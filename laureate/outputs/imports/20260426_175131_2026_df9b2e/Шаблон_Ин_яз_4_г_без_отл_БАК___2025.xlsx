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Z41" i="3" l="1"/>
  <c r="AA41" i="3"/>
  <c r="AB41" i="3"/>
  <c r="Z42" i="3"/>
  <c r="AA42" i="3"/>
  <c r="AB42" i="3"/>
  <c r="Z43" i="3"/>
  <c r="AA43" i="3"/>
  <c r="AB43" i="3"/>
  <c r="Z44" i="3"/>
  <c r="AA44" i="3"/>
  <c r="AB44" i="3"/>
  <c r="Z45" i="3"/>
  <c r="AA45" i="3"/>
  <c r="AB45" i="3"/>
  <c r="Z46" i="3"/>
  <c r="AA46" i="3"/>
  <c r="AB46" i="3"/>
  <c r="Z47" i="3"/>
  <c r="AA47" i="3"/>
  <c r="AB47" i="3"/>
  <c r="Z48" i="3"/>
  <c r="AA48" i="3"/>
  <c r="AB48" i="3"/>
  <c r="Z49" i="3"/>
  <c r="AA49" i="3"/>
  <c r="AB49" i="3"/>
  <c r="Z50" i="3"/>
  <c r="AA50" i="3"/>
  <c r="AB50" i="3"/>
  <c r="Z51" i="3"/>
  <c r="AA51" i="3"/>
  <c r="AB51" i="3"/>
  <c r="Z52" i="3"/>
  <c r="AA52" i="3"/>
  <c r="AB52" i="3"/>
  <c r="Z53" i="3"/>
  <c r="AA53" i="3"/>
  <c r="AB53" i="3"/>
  <c r="Z54" i="3"/>
  <c r="AA54" i="3"/>
  <c r="AB54" i="3"/>
  <c r="Z55" i="3"/>
  <c r="AA55" i="3"/>
  <c r="AB55" i="3"/>
  <c r="Z56" i="3"/>
  <c r="AA56" i="3"/>
  <c r="AB56" i="3"/>
  <c r="Z57" i="3"/>
  <c r="AA57" i="3"/>
  <c r="AB57" i="3"/>
  <c r="Z58" i="3"/>
  <c r="AA58" i="3"/>
  <c r="AB58" i="3"/>
  <c r="Z59" i="3"/>
  <c r="AA59" i="3"/>
  <c r="AB59" i="3"/>
  <c r="Z60" i="3"/>
  <c r="AA60" i="3"/>
  <c r="AB60" i="3"/>
  <c r="Z61" i="3"/>
  <c r="AA61" i="3"/>
  <c r="AB61" i="3"/>
  <c r="Z62" i="3"/>
  <c r="AA62" i="3"/>
  <c r="AB62" i="3"/>
  <c r="Z63" i="3"/>
  <c r="AA63" i="3"/>
  <c r="AB63" i="3"/>
  <c r="Z64" i="3"/>
  <c r="AA64" i="3"/>
  <c r="AB64" i="3"/>
  <c r="Z65" i="3"/>
  <c r="AA65" i="3"/>
  <c r="AB65" i="3"/>
  <c r="Z66" i="3"/>
  <c r="AA66" i="3"/>
  <c r="AB66" i="3"/>
  <c r="Z67" i="3"/>
  <c r="AA67" i="3"/>
  <c r="AB67" i="3"/>
  <c r="Z68" i="3"/>
  <c r="AA68" i="3"/>
  <c r="AB68" i="3"/>
  <c r="Z69" i="3"/>
  <c r="AA69" i="3"/>
  <c r="AB69" i="3"/>
  <c r="Z70" i="3"/>
  <c r="AA70" i="3"/>
  <c r="AB70" i="3"/>
  <c r="Z71" i="3"/>
  <c r="AA71" i="3"/>
  <c r="AB71" i="3"/>
  <c r="Z72" i="3"/>
  <c r="AA72" i="3"/>
  <c r="AB72" i="3"/>
  <c r="Z73" i="3"/>
  <c r="AA73" i="3"/>
  <c r="AB73" i="3"/>
  <c r="Z74" i="3"/>
  <c r="AA74" i="3"/>
  <c r="AB74" i="3"/>
  <c r="Z75" i="3"/>
  <c r="AA75" i="3"/>
  <c r="AB75" i="3"/>
  <c r="Z76" i="3"/>
  <c r="AA76" i="3"/>
  <c r="AB76" i="3"/>
  <c r="Z77" i="3"/>
  <c r="AA77" i="3"/>
  <c r="AB77" i="3"/>
  <c r="Z78" i="3"/>
  <c r="AA78" i="3"/>
  <c r="AB78" i="3"/>
  <c r="Z79" i="3"/>
  <c r="AA79" i="3"/>
  <c r="AB79" i="3"/>
  <c r="Z80" i="3"/>
  <c r="AA80" i="3"/>
  <c r="AB80" i="3"/>
  <c r="Z81" i="3"/>
  <c r="AA81" i="3"/>
  <c r="AB81" i="3"/>
  <c r="Z82" i="3"/>
  <c r="AA82" i="3"/>
  <c r="AB82" i="3"/>
  <c r="Z83" i="3"/>
  <c r="AA83" i="3"/>
  <c r="AB83" i="3"/>
  <c r="Z84" i="3"/>
  <c r="AA84" i="3"/>
  <c r="AB84" i="3"/>
  <c r="Z85" i="3"/>
  <c r="AA85" i="3"/>
  <c r="AB85" i="3"/>
  <c r="Z86" i="3"/>
  <c r="AA86" i="3"/>
  <c r="AB86" i="3"/>
  <c r="Z87" i="3"/>
  <c r="AA87" i="3"/>
  <c r="AB87" i="3"/>
  <c r="Z88" i="3"/>
  <c r="AA88" i="3"/>
  <c r="AB88" i="3"/>
  <c r="Z89" i="3"/>
  <c r="AA89" i="3"/>
  <c r="AB89" i="3"/>
  <c r="Z90" i="3"/>
  <c r="AA90" i="3"/>
  <c r="AB90" i="3"/>
  <c r="Z91" i="3"/>
  <c r="AA91" i="3"/>
  <c r="AB91" i="3"/>
  <c r="Z92" i="3"/>
  <c r="AA92" i="3"/>
  <c r="AB92" i="3"/>
  <c r="Z93" i="3"/>
  <c r="AA93" i="3"/>
  <c r="AB93" i="3"/>
  <c r="Z94" i="3"/>
  <c r="AA94" i="3"/>
  <c r="AB94" i="3"/>
  <c r="Z95" i="3"/>
  <c r="AA95" i="3"/>
  <c r="AB95" i="3"/>
  <c r="Z96" i="3"/>
  <c r="AA96" i="3"/>
  <c r="AB96" i="3"/>
  <c r="Z97" i="3"/>
  <c r="AA97" i="3"/>
  <c r="AB97" i="3"/>
  <c r="Z98" i="3"/>
  <c r="AA98" i="3"/>
  <c r="AB98" i="3"/>
  <c r="Z99" i="3"/>
  <c r="AA99" i="3"/>
  <c r="AB99" i="3"/>
  <c r="Z100" i="3"/>
  <c r="AA100" i="3"/>
  <c r="AB100" i="3"/>
  <c r="Z101" i="3"/>
  <c r="AA101" i="3"/>
  <c r="AB101" i="3"/>
  <c r="Z102" i="3"/>
  <c r="AA102" i="3"/>
  <c r="AB102" i="3"/>
  <c r="Z103" i="3"/>
  <c r="AA103" i="3"/>
  <c r="AB103" i="3"/>
  <c r="Z104" i="3"/>
  <c r="AA104" i="3"/>
  <c r="AB104" i="3"/>
  <c r="Z105" i="3"/>
  <c r="AA105" i="3"/>
  <c r="AB105" i="3"/>
  <c r="Z106" i="3"/>
  <c r="AA106" i="3"/>
  <c r="AB106" i="3"/>
  <c r="Z107" i="3"/>
  <c r="AA107" i="3"/>
  <c r="AB107" i="3"/>
  <c r="Z108" i="3"/>
  <c r="AA108" i="3"/>
  <c r="AB108" i="3"/>
  <c r="Z109" i="3"/>
  <c r="AA109" i="3"/>
  <c r="AB109" i="3"/>
  <c r="Z110" i="3"/>
  <c r="AA110" i="3"/>
  <c r="AB110" i="3"/>
  <c r="Z111" i="3"/>
  <c r="AA111" i="3"/>
  <c r="AB111" i="3"/>
  <c r="Z112" i="3"/>
  <c r="AA112" i="3"/>
  <c r="AB112" i="3"/>
  <c r="Z113" i="3"/>
  <c r="AA113" i="3"/>
  <c r="AB113" i="3"/>
  <c r="Z114" i="3"/>
  <c r="AA114" i="3"/>
  <c r="AB114" i="3"/>
  <c r="Z115" i="3"/>
  <c r="AA115" i="3"/>
  <c r="AB115" i="3"/>
  <c r="Z116" i="3"/>
  <c r="AA116" i="3"/>
  <c r="AB116" i="3"/>
  <c r="Z117" i="3"/>
  <c r="AA117" i="3"/>
  <c r="AB117" i="3"/>
  <c r="Z118" i="3"/>
  <c r="AA118" i="3"/>
  <c r="AB118" i="3"/>
  <c r="Z119" i="3"/>
  <c r="AA119" i="3"/>
  <c r="AB119" i="3"/>
  <c r="Z120" i="3"/>
  <c r="AA120" i="3"/>
  <c r="AB120" i="3"/>
  <c r="Z121" i="3"/>
  <c r="AA121" i="3"/>
  <c r="AB121" i="3"/>
  <c r="Z122" i="3"/>
  <c r="AA122" i="3"/>
  <c r="AB122" i="3"/>
  <c r="Z123" i="3"/>
  <c r="AA123" i="3"/>
  <c r="AB123" i="3"/>
  <c r="Z124" i="3"/>
  <c r="AA124" i="3"/>
  <c r="AB124" i="3"/>
  <c r="Z125" i="3"/>
  <c r="AA125" i="3"/>
  <c r="AB125" i="3"/>
  <c r="Z126" i="3"/>
  <c r="AA126" i="3"/>
  <c r="AB126" i="3"/>
  <c r="Z127" i="3"/>
  <c r="AA127" i="3"/>
  <c r="AB127" i="3"/>
  <c r="Z128" i="3"/>
  <c r="AA128" i="3"/>
  <c r="AB128" i="3"/>
  <c r="Z129" i="3"/>
  <c r="AA129" i="3"/>
  <c r="AB129" i="3"/>
  <c r="Z130" i="3"/>
  <c r="AA130" i="3"/>
  <c r="AB130" i="3"/>
  <c r="Z131" i="3"/>
  <c r="AA131" i="3"/>
  <c r="AB131" i="3"/>
  <c r="Z132" i="3"/>
  <c r="AA132" i="3"/>
  <c r="AB132" i="3"/>
  <c r="Z133" i="3"/>
  <c r="AA133" i="3"/>
  <c r="AB133" i="3"/>
  <c r="Z134" i="3"/>
  <c r="AA134" i="3"/>
  <c r="AB134" i="3"/>
  <c r="Z135" i="3"/>
  <c r="AA135" i="3"/>
  <c r="AB135" i="3"/>
  <c r="Z136" i="3"/>
  <c r="AA136" i="3"/>
  <c r="AB136" i="3"/>
  <c r="Z137" i="3"/>
  <c r="AA137" i="3"/>
  <c r="AB137" i="3"/>
  <c r="Z138" i="3"/>
  <c r="AA138" i="3"/>
  <c r="AB138" i="3"/>
  <c r="Z139" i="3"/>
  <c r="AA139" i="3"/>
  <c r="AB139" i="3"/>
  <c r="Z140" i="3"/>
  <c r="AA140" i="3"/>
  <c r="AB140" i="3"/>
  <c r="Z141" i="3"/>
  <c r="AA141" i="3"/>
  <c r="AB141" i="3"/>
  <c r="Z142" i="3"/>
  <c r="AA142" i="3"/>
  <c r="AB142" i="3"/>
  <c r="Z143" i="3"/>
  <c r="AA143" i="3"/>
  <c r="AB143" i="3"/>
  <c r="Z144" i="3"/>
  <c r="AA144" i="3"/>
  <c r="AB144" i="3"/>
  <c r="Z145" i="3"/>
  <c r="AA145" i="3"/>
  <c r="AB145" i="3"/>
  <c r="Z146" i="3"/>
  <c r="AA146" i="3"/>
  <c r="AB146" i="3"/>
  <c r="Z147" i="3"/>
  <c r="AA147" i="3"/>
  <c r="AB147" i="3"/>
  <c r="Z148" i="3"/>
  <c r="AA148" i="3"/>
  <c r="AB148" i="3"/>
  <c r="Z149" i="3"/>
  <c r="AA149" i="3"/>
  <c r="AB149" i="3"/>
  <c r="Z150" i="3"/>
  <c r="AA150" i="3"/>
  <c r="AB150" i="3"/>
  <c r="Z151" i="3"/>
  <c r="AA151" i="3"/>
  <c r="AB151" i="3"/>
  <c r="Z152" i="3"/>
  <c r="AA152" i="3"/>
  <c r="AB152" i="3"/>
  <c r="Z153" i="3"/>
  <c r="AA153" i="3"/>
  <c r="AB153" i="3"/>
  <c r="Z154" i="3"/>
  <c r="AA154" i="3"/>
  <c r="AB154" i="3"/>
  <c r="Z155" i="3"/>
  <c r="AA155" i="3"/>
  <c r="AB155" i="3"/>
  <c r="Z156" i="3"/>
  <c r="AA156" i="3"/>
  <c r="AB156" i="3"/>
  <c r="Z157" i="3"/>
  <c r="AA157" i="3"/>
  <c r="AB157" i="3"/>
  <c r="Z158" i="3"/>
  <c r="AA158" i="3"/>
  <c r="AB158" i="3"/>
  <c r="Z159" i="3"/>
  <c r="AA159" i="3"/>
  <c r="AB159" i="3"/>
  <c r="Z160" i="3"/>
  <c r="AA160" i="3"/>
  <c r="AB160" i="3"/>
  <c r="Z161" i="3"/>
  <c r="AA161" i="3"/>
  <c r="AB161" i="3"/>
  <c r="Z162" i="3"/>
  <c r="AA162" i="3"/>
  <c r="AB162" i="3"/>
  <c r="Z163" i="3"/>
  <c r="AA163" i="3"/>
  <c r="AB163" i="3"/>
  <c r="Z164" i="3"/>
  <c r="AA164" i="3"/>
  <c r="AB164" i="3"/>
  <c r="Z165" i="3"/>
  <c r="AA165" i="3"/>
  <c r="AB165" i="3"/>
  <c r="Z166" i="3"/>
  <c r="AA166" i="3"/>
  <c r="AB166" i="3"/>
  <c r="Z167" i="3"/>
  <c r="AA167" i="3"/>
  <c r="AB167" i="3"/>
  <c r="Z168" i="3"/>
  <c r="AA168" i="3"/>
  <c r="AB168" i="3"/>
  <c r="Z169" i="3"/>
  <c r="AA169" i="3"/>
  <c r="AB169" i="3"/>
  <c r="Z170" i="3"/>
  <c r="AA170" i="3"/>
  <c r="AB170" i="3"/>
  <c r="Z171" i="3"/>
  <c r="AA171" i="3"/>
  <c r="AB171" i="3"/>
  <c r="Z172" i="3"/>
  <c r="AA172" i="3"/>
  <c r="AB172" i="3"/>
  <c r="Z173" i="3"/>
  <c r="AA173" i="3"/>
  <c r="AB173" i="3"/>
  <c r="Z174" i="3"/>
  <c r="AA174" i="3"/>
  <c r="AB174" i="3"/>
  <c r="Z175" i="3"/>
  <c r="AA175" i="3"/>
  <c r="AB175" i="3"/>
  <c r="Z176" i="3"/>
  <c r="AA176" i="3"/>
  <c r="AB176" i="3"/>
  <c r="Z177" i="3"/>
  <c r="AA177" i="3"/>
  <c r="AB177" i="3"/>
  <c r="Z178" i="3"/>
  <c r="AA178" i="3"/>
  <c r="AB178" i="3"/>
  <c r="Z179" i="3"/>
  <c r="AA179" i="3"/>
  <c r="AB179" i="3"/>
  <c r="Z180" i="3"/>
  <c r="AA180" i="3"/>
  <c r="AB180" i="3"/>
  <c r="Z181" i="3"/>
  <c r="AA181" i="3"/>
  <c r="AB181" i="3"/>
  <c r="Z182" i="3"/>
  <c r="AA182" i="3"/>
  <c r="AB182" i="3"/>
  <c r="Z183" i="3"/>
  <c r="AA183" i="3"/>
  <c r="AB183" i="3"/>
  <c r="Z184" i="3"/>
  <c r="AA184" i="3"/>
  <c r="AB184" i="3"/>
  <c r="Z185" i="3"/>
  <c r="AA185" i="3"/>
  <c r="AB185" i="3"/>
  <c r="Z186" i="3"/>
  <c r="AA186" i="3"/>
  <c r="AB186" i="3"/>
  <c r="Z187" i="3"/>
  <c r="AA187" i="3"/>
  <c r="AB187" i="3"/>
  <c r="Z188" i="3"/>
  <c r="AA188" i="3"/>
  <c r="AB188" i="3"/>
  <c r="Z189" i="3"/>
  <c r="AA189" i="3"/>
  <c r="AB189" i="3"/>
  <c r="Z190" i="3"/>
  <c r="AA190" i="3"/>
  <c r="AB190" i="3"/>
  <c r="Z191" i="3"/>
  <c r="AA191" i="3"/>
  <c r="AB191" i="3"/>
  <c r="Z192" i="3"/>
  <c r="AA192" i="3"/>
  <c r="AB192" i="3"/>
  <c r="Z193" i="3"/>
  <c r="AA193" i="3"/>
  <c r="AB193" i="3"/>
  <c r="Z194" i="3"/>
  <c r="AA194" i="3"/>
  <c r="AB194" i="3"/>
  <c r="Z195" i="3"/>
  <c r="AA195" i="3"/>
  <c r="AB195" i="3"/>
  <c r="Z196" i="3"/>
  <c r="AA196" i="3"/>
  <c r="AB196" i="3"/>
  <c r="Z197" i="3"/>
  <c r="AA197" i="3"/>
  <c r="AB197" i="3"/>
  <c r="Z198" i="3"/>
  <c r="AA198" i="3"/>
  <c r="AB198" i="3"/>
  <c r="Z199" i="3"/>
  <c r="AA199" i="3"/>
  <c r="AB199" i="3"/>
  <c r="Z200" i="3"/>
  <c r="AA200" i="3"/>
  <c r="AB200" i="3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D200" i="1"/>
  <c r="D199" i="1"/>
  <c r="D198" i="1"/>
  <c r="M5" i="2" l="1"/>
  <c r="M3" i="2" l="1"/>
  <c r="M4" i="2"/>
  <c r="M2" i="2"/>
  <c r="A4" i="3" l="1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 s="1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 s="1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 s="1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 s="1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 s="1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 s="1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 s="1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 s="1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 s="1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 s="1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 s="1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 s="1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 s="1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 s="1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 s="1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 s="1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 s="1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 s="1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 s="1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 s="1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 s="1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 s="1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 s="1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 s="1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 s="1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 s="1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 s="1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 s="1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 s="1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 s="1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 s="1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 s="1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 s="1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 s="1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 s="1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 s="1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 s="1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 s="1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 s="1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 s="1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 s="1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 s="1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 s="1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 s="1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 s="1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 s="1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 s="1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 s="1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 s="1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 s="1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 s="1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 s="1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 s="1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 s="1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 s="1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 s="1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 s="1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 s="1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 s="1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 s="1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A251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A252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A256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A260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A261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A262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A263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A264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A292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A296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A297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A298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A394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A395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A396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A397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A398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A435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A436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A437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A440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A445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A446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A447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A448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A449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A450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A458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A459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A460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A461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A462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A468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A469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A471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A472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A473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A474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A476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A480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A481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A482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A484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A485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A486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A488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A493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A494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A495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A497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A498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A500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A3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7" i="3"/>
  <c r="Y38" i="3"/>
  <c r="Y39" i="3"/>
  <c r="Y41" i="3"/>
  <c r="Y42" i="3"/>
  <c r="Y43" i="3"/>
  <c r="Y45" i="3"/>
  <c r="Y46" i="3"/>
  <c r="Y47" i="3"/>
  <c r="Y49" i="3"/>
  <c r="Y50" i="3"/>
  <c r="Y51" i="3"/>
  <c r="Y53" i="3"/>
  <c r="Y54" i="3"/>
  <c r="Y55" i="3"/>
  <c r="Y57" i="3"/>
  <c r="Y58" i="3"/>
  <c r="Y59" i="3"/>
  <c r="Y61" i="3"/>
  <c r="Y62" i="3"/>
  <c r="Y63" i="3"/>
  <c r="Y65" i="3"/>
  <c r="Y67" i="3"/>
  <c r="Y69" i="3"/>
  <c r="Y70" i="3"/>
  <c r="Y71" i="3"/>
  <c r="Y73" i="3"/>
  <c r="Y75" i="3"/>
  <c r="Y77" i="3"/>
  <c r="Y78" i="3"/>
  <c r="Y79" i="3"/>
  <c r="Y81" i="3"/>
  <c r="Y83" i="3"/>
  <c r="Y85" i="3"/>
  <c r="Y86" i="3"/>
  <c r="Y87" i="3"/>
  <c r="Y89" i="3"/>
  <c r="Y91" i="3"/>
  <c r="Y93" i="3"/>
  <c r="Y94" i="3"/>
  <c r="Y95" i="3"/>
  <c r="Y97" i="3"/>
  <c r="Y99" i="3"/>
  <c r="Y101" i="3"/>
  <c r="Y103" i="3"/>
  <c r="Y107" i="3"/>
  <c r="Y109" i="3"/>
  <c r="Y111" i="3"/>
  <c r="Y115" i="3"/>
  <c r="Y117" i="3"/>
  <c r="Y119" i="3"/>
  <c r="Y123" i="3"/>
  <c r="Y125" i="3"/>
  <c r="Y127" i="3"/>
  <c r="Y131" i="3"/>
  <c r="Y133" i="3"/>
  <c r="Y135" i="3"/>
  <c r="Y139" i="3"/>
  <c r="Y141" i="3"/>
  <c r="Y149" i="3"/>
  <c r="Y157" i="3"/>
  <c r="Y165" i="3"/>
  <c r="Y173" i="3"/>
  <c r="Y181" i="3"/>
  <c r="Y189" i="3"/>
  <c r="Y201" i="3"/>
  <c r="Y202" i="3"/>
  <c r="Y203" i="3"/>
  <c r="Z204" i="3"/>
  <c r="Y205" i="3"/>
  <c r="Y206" i="3"/>
  <c r="Y207" i="3"/>
  <c r="Z208" i="3"/>
  <c r="Y209" i="3"/>
  <c r="Y210" i="3"/>
  <c r="Y211" i="3"/>
  <c r="Z212" i="3"/>
  <c r="Y213" i="3"/>
  <c r="Y214" i="3"/>
  <c r="Y215" i="3"/>
  <c r="Z216" i="3"/>
  <c r="Y217" i="3"/>
  <c r="Y218" i="3"/>
  <c r="Y219" i="3"/>
  <c r="Z220" i="3"/>
  <c r="Y221" i="3"/>
  <c r="Y222" i="3"/>
  <c r="Y223" i="3"/>
  <c r="Z224" i="3"/>
  <c r="Y225" i="3"/>
  <c r="Y226" i="3"/>
  <c r="Y227" i="3"/>
  <c r="Z228" i="3"/>
  <c r="Y229" i="3"/>
  <c r="Y230" i="3"/>
  <c r="Y231" i="3"/>
  <c r="Z232" i="3"/>
  <c r="Y233" i="3"/>
  <c r="Y234" i="3"/>
  <c r="Y235" i="3"/>
  <c r="Z236" i="3"/>
  <c r="Y237" i="3"/>
  <c r="Y238" i="3"/>
  <c r="Y239" i="3"/>
  <c r="Z240" i="3"/>
  <c r="Y241" i="3"/>
  <c r="Y242" i="3"/>
  <c r="Y243" i="3"/>
  <c r="Z244" i="3"/>
  <c r="Y245" i="3"/>
  <c r="Y246" i="3"/>
  <c r="Y247" i="3"/>
  <c r="Z248" i="3"/>
  <c r="Y249" i="3"/>
  <c r="Y250" i="3"/>
  <c r="Y251" i="3"/>
  <c r="Z252" i="3"/>
  <c r="Y253" i="3"/>
  <c r="Y254" i="3"/>
  <c r="Y255" i="3"/>
  <c r="Z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Z40" i="3" l="1"/>
  <c r="AA40" i="3"/>
  <c r="AB40" i="3"/>
  <c r="AB39" i="3"/>
  <c r="Z39" i="3"/>
  <c r="AA39" i="3"/>
  <c r="AB38" i="3"/>
  <c r="Z38" i="3"/>
  <c r="AA38" i="3"/>
  <c r="AA37" i="3"/>
  <c r="AB37" i="3"/>
  <c r="Z37" i="3"/>
  <c r="Z36" i="3"/>
  <c r="AA36" i="3"/>
  <c r="AB36" i="3"/>
  <c r="Z35" i="3"/>
  <c r="AB35" i="3"/>
  <c r="AA35" i="3"/>
  <c r="AB34" i="3"/>
  <c r="Z34" i="3"/>
  <c r="AA34" i="3"/>
  <c r="AA33" i="3"/>
  <c r="AB33" i="3"/>
  <c r="Z33" i="3"/>
  <c r="Z32" i="3"/>
  <c r="AA32" i="3"/>
  <c r="AB32" i="3"/>
  <c r="Z31" i="3"/>
  <c r="AB31" i="3"/>
  <c r="AA31" i="3"/>
  <c r="AB30" i="3"/>
  <c r="Z30" i="3"/>
  <c r="AA30" i="3"/>
  <c r="AA29" i="3"/>
  <c r="Z29" i="3"/>
  <c r="AB29" i="3"/>
  <c r="Z28" i="3"/>
  <c r="AA28" i="3"/>
  <c r="AB28" i="3"/>
  <c r="Z27" i="3"/>
  <c r="AB27" i="3"/>
  <c r="AA27" i="3"/>
  <c r="AB26" i="3"/>
  <c r="Z26" i="3"/>
  <c r="AA26" i="3"/>
  <c r="AA25" i="3"/>
  <c r="AB25" i="3"/>
  <c r="Z25" i="3"/>
  <c r="Z24" i="3"/>
  <c r="AA24" i="3"/>
  <c r="AB24" i="3"/>
  <c r="Z23" i="3"/>
  <c r="AB23" i="3"/>
  <c r="AA23" i="3"/>
  <c r="AB22" i="3"/>
  <c r="Z22" i="3"/>
  <c r="AA22" i="3"/>
  <c r="AA21" i="3"/>
  <c r="Z21" i="3"/>
  <c r="AB21" i="3"/>
  <c r="Z20" i="3"/>
  <c r="AA20" i="3"/>
  <c r="AB20" i="3"/>
  <c r="Z19" i="3"/>
  <c r="AA19" i="3"/>
  <c r="AB19" i="3"/>
  <c r="AB18" i="3"/>
  <c r="AA18" i="3"/>
  <c r="Z18" i="3"/>
  <c r="AA17" i="3"/>
  <c r="Z17" i="3"/>
  <c r="AB17" i="3"/>
  <c r="Z16" i="3"/>
  <c r="AA16" i="3"/>
  <c r="AB16" i="3"/>
  <c r="Z15" i="3"/>
  <c r="AA15" i="3"/>
  <c r="AB15" i="3"/>
  <c r="AB14" i="3"/>
  <c r="Z14" i="3"/>
  <c r="AA14" i="3"/>
  <c r="AA13" i="3"/>
  <c r="AB13" i="3"/>
  <c r="Z13" i="3"/>
  <c r="Z12" i="3"/>
  <c r="AA12" i="3"/>
  <c r="AB12" i="3"/>
  <c r="Z11" i="3"/>
  <c r="AA11" i="3"/>
  <c r="AB11" i="3"/>
  <c r="AB10" i="3"/>
  <c r="Z10" i="3"/>
  <c r="AA10" i="3"/>
  <c r="AA9" i="3"/>
  <c r="AB9" i="3"/>
  <c r="Z9" i="3"/>
  <c r="Z8" i="3"/>
  <c r="AA8" i="3"/>
  <c r="AB8" i="3"/>
  <c r="Z7" i="3"/>
  <c r="AA7" i="3"/>
  <c r="AB7" i="3"/>
  <c r="AB6" i="3"/>
  <c r="Z6" i="3"/>
  <c r="AA6" i="3"/>
  <c r="AA5" i="3"/>
  <c r="AB5" i="3"/>
  <c r="Z5" i="3"/>
  <c r="Y4" i="3"/>
  <c r="Z4" i="3"/>
  <c r="AA4" i="3"/>
  <c r="AB4" i="3"/>
  <c r="AA3" i="3"/>
  <c r="AB3" i="3"/>
  <c r="Z3" i="3"/>
  <c r="Y3" i="3"/>
  <c r="Y256" i="3"/>
  <c r="Y252" i="3"/>
  <c r="Y248" i="3"/>
  <c r="Y244" i="3"/>
  <c r="Y240" i="3"/>
  <c r="Y236" i="3"/>
  <c r="Y232" i="3"/>
  <c r="Y228" i="3"/>
  <c r="Y224" i="3"/>
  <c r="Y220" i="3"/>
  <c r="Y216" i="3"/>
  <c r="Y212" i="3"/>
  <c r="Y208" i="3"/>
  <c r="Y204" i="3"/>
  <c r="Y200" i="3"/>
  <c r="Y196" i="3"/>
  <c r="Y192" i="3"/>
  <c r="Y188" i="3"/>
  <c r="Y184" i="3"/>
  <c r="Y180" i="3"/>
  <c r="Y176" i="3"/>
  <c r="Y172" i="3"/>
  <c r="Y168" i="3"/>
  <c r="Y164" i="3"/>
  <c r="Y160" i="3"/>
  <c r="Y156" i="3"/>
  <c r="Y152" i="3"/>
  <c r="Y148" i="3"/>
  <c r="Y144" i="3"/>
  <c r="Y140" i="3"/>
  <c r="Y136" i="3"/>
  <c r="Y132" i="3"/>
  <c r="Y128" i="3"/>
  <c r="Y124" i="3"/>
  <c r="Y120" i="3"/>
  <c r="Y116" i="3"/>
  <c r="Y112" i="3"/>
  <c r="Y108" i="3"/>
  <c r="Y104" i="3"/>
  <c r="Y100" i="3"/>
  <c r="Y96" i="3"/>
  <c r="Y92" i="3"/>
  <c r="Y88" i="3"/>
  <c r="Y84" i="3"/>
  <c r="Y80" i="3"/>
  <c r="Y76" i="3"/>
  <c r="Y72" i="3"/>
  <c r="Y68" i="3"/>
  <c r="Y64" i="3"/>
  <c r="Y60" i="3"/>
  <c r="Y56" i="3"/>
  <c r="Y52" i="3"/>
  <c r="Y48" i="3"/>
  <c r="Y44" i="3"/>
  <c r="Y40" i="3"/>
  <c r="Y36" i="3"/>
  <c r="AB499" i="3"/>
  <c r="AA499" i="3"/>
  <c r="Z499" i="3"/>
  <c r="AA494" i="3"/>
  <c r="AB494" i="3"/>
  <c r="Z494" i="3"/>
  <c r="AA493" i="3"/>
  <c r="AB493" i="3"/>
  <c r="Z493" i="3"/>
  <c r="AA492" i="3"/>
  <c r="AB492" i="3"/>
  <c r="Z492" i="3"/>
  <c r="AA489" i="3"/>
  <c r="AB489" i="3"/>
  <c r="Z489" i="3"/>
  <c r="AA485" i="3"/>
  <c r="AB485" i="3"/>
  <c r="Z485" i="3"/>
  <c r="AA478" i="3"/>
  <c r="AB478" i="3"/>
  <c r="Z478" i="3"/>
  <c r="AA476" i="3"/>
  <c r="AB476" i="3"/>
  <c r="Z476" i="3"/>
  <c r="AA474" i="3"/>
  <c r="AB474" i="3"/>
  <c r="Z474" i="3"/>
  <c r="AA472" i="3"/>
  <c r="AB472" i="3"/>
  <c r="Z472" i="3"/>
  <c r="AA466" i="3"/>
  <c r="AB466" i="3"/>
  <c r="Z466" i="3"/>
  <c r="AA457" i="3"/>
  <c r="AB457" i="3"/>
  <c r="Z457" i="3"/>
  <c r="AB455" i="3"/>
  <c r="AA455" i="3"/>
  <c r="Z455" i="3"/>
  <c r="AA452" i="3"/>
  <c r="AB452" i="3"/>
  <c r="Z452" i="3"/>
  <c r="AA446" i="3"/>
  <c r="AB446" i="3"/>
  <c r="Z446" i="3"/>
  <c r="AA444" i="3"/>
  <c r="AB444" i="3"/>
  <c r="Z444" i="3"/>
  <c r="AA433" i="3"/>
  <c r="AB433" i="3"/>
  <c r="Z433" i="3"/>
  <c r="AA429" i="3"/>
  <c r="AB429" i="3"/>
  <c r="Z429" i="3"/>
  <c r="AB419" i="3"/>
  <c r="AA419" i="3"/>
  <c r="Z419" i="3"/>
  <c r="AA417" i="3"/>
  <c r="AB417" i="3"/>
  <c r="Z417" i="3"/>
  <c r="AB415" i="3"/>
  <c r="AA415" i="3"/>
  <c r="Z415" i="3"/>
  <c r="AA412" i="3"/>
  <c r="AB412" i="3"/>
  <c r="Z412" i="3"/>
  <c r="AA410" i="3"/>
  <c r="AB410" i="3"/>
  <c r="Z410" i="3"/>
  <c r="AA408" i="3"/>
  <c r="AB408" i="3"/>
  <c r="Z408" i="3"/>
  <c r="AB403" i="3"/>
  <c r="AA403" i="3"/>
  <c r="Z403" i="3"/>
  <c r="AA402" i="3"/>
  <c r="AB402" i="3"/>
  <c r="Z402" i="3"/>
  <c r="AA398" i="3"/>
  <c r="AB398" i="3"/>
  <c r="Z398" i="3"/>
  <c r="AA396" i="3"/>
  <c r="AB396" i="3"/>
  <c r="Z396" i="3"/>
  <c r="AA394" i="3"/>
  <c r="AB394" i="3"/>
  <c r="Z394" i="3"/>
  <c r="AA388" i="3"/>
  <c r="AB388" i="3"/>
  <c r="Z388" i="3"/>
  <c r="AA385" i="3"/>
  <c r="AB385" i="3"/>
  <c r="Z385" i="3"/>
  <c r="AA382" i="3"/>
  <c r="AB382" i="3"/>
  <c r="Z382" i="3"/>
  <c r="AA380" i="3"/>
  <c r="AB380" i="3"/>
  <c r="Z380" i="3"/>
  <c r="AA377" i="3"/>
  <c r="AB377" i="3"/>
  <c r="Z377" i="3"/>
  <c r="AA365" i="3"/>
  <c r="AB365" i="3"/>
  <c r="Z365" i="3"/>
  <c r="AA362" i="3"/>
  <c r="AB362" i="3"/>
  <c r="Z362" i="3"/>
  <c r="AA358" i="3"/>
  <c r="AB358" i="3"/>
  <c r="Z358" i="3"/>
  <c r="AA349" i="3"/>
  <c r="AB349" i="3"/>
  <c r="Z349" i="3"/>
  <c r="AA344" i="3"/>
  <c r="AB344" i="3"/>
  <c r="Z344" i="3"/>
  <c r="AA341" i="3"/>
  <c r="AB341" i="3"/>
  <c r="Z341" i="3"/>
  <c r="AB339" i="3"/>
  <c r="AA339" i="3"/>
  <c r="Z339" i="3"/>
  <c r="AA336" i="3"/>
  <c r="AB336" i="3"/>
  <c r="Z336" i="3"/>
  <c r="AA332" i="3"/>
  <c r="AB332" i="3"/>
  <c r="Z332" i="3"/>
  <c r="AA326" i="3"/>
  <c r="AB326" i="3"/>
  <c r="Z326" i="3"/>
  <c r="AA324" i="3"/>
  <c r="AB324" i="3"/>
  <c r="Z324" i="3"/>
  <c r="AA320" i="3"/>
  <c r="AB320" i="3"/>
  <c r="Z320" i="3"/>
  <c r="AB315" i="3"/>
  <c r="AA315" i="3"/>
  <c r="Z315" i="3"/>
  <c r="AB311" i="3"/>
  <c r="AA311" i="3"/>
  <c r="Z311" i="3"/>
  <c r="AA302" i="3"/>
  <c r="AB302" i="3"/>
  <c r="Z302" i="3"/>
  <c r="AA298" i="3"/>
  <c r="AB298" i="3"/>
  <c r="Z298" i="3"/>
  <c r="AA296" i="3"/>
  <c r="AB296" i="3"/>
  <c r="Z296" i="3"/>
  <c r="AB287" i="3"/>
  <c r="AA287" i="3"/>
  <c r="Z287" i="3"/>
  <c r="AA284" i="3"/>
  <c r="AB284" i="3"/>
  <c r="Z284" i="3"/>
  <c r="AA274" i="3"/>
  <c r="AB274" i="3"/>
  <c r="Z274" i="3"/>
  <c r="AA272" i="3"/>
  <c r="AB272" i="3"/>
  <c r="Z272" i="3"/>
  <c r="AA269" i="3"/>
  <c r="AB269" i="3"/>
  <c r="Z269" i="3"/>
  <c r="AA264" i="3"/>
  <c r="AB264" i="3"/>
  <c r="Z264" i="3"/>
  <c r="AA500" i="3"/>
  <c r="AB500" i="3"/>
  <c r="Z500" i="3"/>
  <c r="AA497" i="3"/>
  <c r="AB497" i="3"/>
  <c r="Z497" i="3"/>
  <c r="AA490" i="3"/>
  <c r="AB490" i="3"/>
  <c r="Z490" i="3"/>
  <c r="AB487" i="3"/>
  <c r="AA487" i="3"/>
  <c r="Z487" i="3"/>
  <c r="AB483" i="3"/>
  <c r="AA483" i="3"/>
  <c r="Z483" i="3"/>
  <c r="AA477" i="3"/>
  <c r="AB477" i="3"/>
  <c r="Z477" i="3"/>
  <c r="AA473" i="3"/>
  <c r="AB473" i="3"/>
  <c r="Z473" i="3"/>
  <c r="AB471" i="3"/>
  <c r="AA471" i="3"/>
  <c r="Z471" i="3"/>
  <c r="AA470" i="3"/>
  <c r="AB470" i="3"/>
  <c r="Z470" i="3"/>
  <c r="AA468" i="3"/>
  <c r="AB468" i="3"/>
  <c r="Z468" i="3"/>
  <c r="AA464" i="3"/>
  <c r="AB464" i="3"/>
  <c r="Z464" i="3"/>
  <c r="AA462" i="3"/>
  <c r="AB462" i="3"/>
  <c r="Z462" i="3"/>
  <c r="AB459" i="3"/>
  <c r="AA459" i="3"/>
  <c r="Z459" i="3"/>
  <c r="AA456" i="3"/>
  <c r="AB456" i="3"/>
  <c r="Z456" i="3"/>
  <c r="AA453" i="3"/>
  <c r="AB453" i="3"/>
  <c r="Z453" i="3"/>
  <c r="AB451" i="3"/>
  <c r="AA451" i="3"/>
  <c r="Z451" i="3"/>
  <c r="AA449" i="3"/>
  <c r="AB449" i="3"/>
  <c r="Z449" i="3"/>
  <c r="AA441" i="3"/>
  <c r="AB441" i="3"/>
  <c r="Z441" i="3"/>
  <c r="AB439" i="3"/>
  <c r="AA439" i="3"/>
  <c r="Z439" i="3"/>
  <c r="AB431" i="3"/>
  <c r="AA431" i="3"/>
  <c r="Z431" i="3"/>
  <c r="AA416" i="3"/>
  <c r="AB416" i="3"/>
  <c r="Z416" i="3"/>
  <c r="AA413" i="3"/>
  <c r="AB413" i="3"/>
  <c r="Z413" i="3"/>
  <c r="AB411" i="3"/>
  <c r="AA411" i="3"/>
  <c r="Z411" i="3"/>
  <c r="AA409" i="3"/>
  <c r="AB409" i="3"/>
  <c r="Z409" i="3"/>
  <c r="AA405" i="3"/>
  <c r="AB405" i="3"/>
  <c r="Z405" i="3"/>
  <c r="AA401" i="3"/>
  <c r="AB401" i="3"/>
  <c r="Z401" i="3"/>
  <c r="AA392" i="3"/>
  <c r="AB392" i="3"/>
  <c r="Z392" i="3"/>
  <c r="AA390" i="3"/>
  <c r="AB390" i="3"/>
  <c r="Z390" i="3"/>
  <c r="AB387" i="3"/>
  <c r="AA387" i="3"/>
  <c r="Z387" i="3"/>
  <c r="AB383" i="3"/>
  <c r="AA383" i="3"/>
  <c r="Z383" i="3"/>
  <c r="AA381" i="3"/>
  <c r="AB381" i="3"/>
  <c r="Z381" i="3"/>
  <c r="AA378" i="3"/>
  <c r="AB378" i="3"/>
  <c r="Z378" i="3"/>
  <c r="AA376" i="3"/>
  <c r="AB376" i="3"/>
  <c r="Z376" i="3"/>
  <c r="AA373" i="3"/>
  <c r="AB373" i="3"/>
  <c r="Z373" i="3"/>
  <c r="AA370" i="3"/>
  <c r="AB370" i="3"/>
  <c r="Z370" i="3"/>
  <c r="AA368" i="3"/>
  <c r="AB368" i="3"/>
  <c r="Z368" i="3"/>
  <c r="AA366" i="3"/>
  <c r="AB366" i="3"/>
  <c r="Z366" i="3"/>
  <c r="AA364" i="3"/>
  <c r="AB364" i="3"/>
  <c r="Z364" i="3"/>
  <c r="AA360" i="3"/>
  <c r="AB360" i="3"/>
  <c r="Z360" i="3"/>
  <c r="AA357" i="3"/>
  <c r="AB357" i="3"/>
  <c r="Z357" i="3"/>
  <c r="AB355" i="3"/>
  <c r="AA355" i="3"/>
  <c r="Z355" i="3"/>
  <c r="AA353" i="3"/>
  <c r="AB353" i="3"/>
  <c r="Z353" i="3"/>
  <c r="AB351" i="3"/>
  <c r="AA351" i="3"/>
  <c r="Z351" i="3"/>
  <c r="AB347" i="3"/>
  <c r="AA347" i="3"/>
  <c r="Z347" i="3"/>
  <c r="AA345" i="3"/>
  <c r="AB345" i="3"/>
  <c r="Z345" i="3"/>
  <c r="AA342" i="3"/>
  <c r="AB342" i="3"/>
  <c r="Z342" i="3"/>
  <c r="AA338" i="3"/>
  <c r="AB338" i="3"/>
  <c r="Z338" i="3"/>
  <c r="AA330" i="3"/>
  <c r="AB330" i="3"/>
  <c r="Z330" i="3"/>
  <c r="AB327" i="3"/>
  <c r="AA327" i="3"/>
  <c r="Z327" i="3"/>
  <c r="AA325" i="3"/>
  <c r="AB325" i="3"/>
  <c r="Z325" i="3"/>
  <c r="AA321" i="3"/>
  <c r="AB321" i="3"/>
  <c r="Z321" i="3"/>
  <c r="AA316" i="3"/>
  <c r="AB316" i="3"/>
  <c r="Z316" i="3"/>
  <c r="AA313" i="3"/>
  <c r="AB313" i="3"/>
  <c r="Z313" i="3"/>
  <c r="AA309" i="3"/>
  <c r="AB309" i="3"/>
  <c r="Z309" i="3"/>
  <c r="AB307" i="3"/>
  <c r="AA307" i="3"/>
  <c r="Z307" i="3"/>
  <c r="AA301" i="3"/>
  <c r="AB301" i="3"/>
  <c r="Z301" i="3"/>
  <c r="AA297" i="3"/>
  <c r="AB297" i="3"/>
  <c r="Z297" i="3"/>
  <c r="AB295" i="3"/>
  <c r="AA295" i="3"/>
  <c r="Z295" i="3"/>
  <c r="AA292" i="3"/>
  <c r="AB292" i="3"/>
  <c r="Z292" i="3"/>
  <c r="AA290" i="3"/>
  <c r="AB290" i="3"/>
  <c r="Z290" i="3"/>
  <c r="AA288" i="3"/>
  <c r="AB288" i="3"/>
  <c r="Z288" i="3"/>
  <c r="AA286" i="3"/>
  <c r="AB286" i="3"/>
  <c r="Z286" i="3"/>
  <c r="AA280" i="3"/>
  <c r="AB280" i="3"/>
  <c r="Z280" i="3"/>
  <c r="AA278" i="3"/>
  <c r="AB278" i="3"/>
  <c r="Z278" i="3"/>
  <c r="AA276" i="3"/>
  <c r="AB276" i="3"/>
  <c r="Z276" i="3"/>
  <c r="AA273" i="3"/>
  <c r="AB273" i="3"/>
  <c r="Z273" i="3"/>
  <c r="AB271" i="3"/>
  <c r="AA271" i="3"/>
  <c r="Z271" i="3"/>
  <c r="AB267" i="3"/>
  <c r="AA267" i="3"/>
  <c r="Z267" i="3"/>
  <c r="AA265" i="3"/>
  <c r="AB265" i="3"/>
  <c r="Z265" i="3"/>
  <c r="AB263" i="3"/>
  <c r="AA263" i="3"/>
  <c r="Z263" i="3"/>
  <c r="AA260" i="3"/>
  <c r="AB260" i="3"/>
  <c r="Z260" i="3"/>
  <c r="AA496" i="3"/>
  <c r="AB496" i="3"/>
  <c r="Z496" i="3"/>
  <c r="AB495" i="3"/>
  <c r="AA495" i="3"/>
  <c r="Z495" i="3"/>
  <c r="AB491" i="3"/>
  <c r="AA491" i="3"/>
  <c r="Z491" i="3"/>
  <c r="AA488" i="3"/>
  <c r="AB488" i="3"/>
  <c r="Z488" i="3"/>
  <c r="AA486" i="3"/>
  <c r="AB486" i="3"/>
  <c r="Z486" i="3"/>
  <c r="AA482" i="3"/>
  <c r="AB482" i="3"/>
  <c r="Z482" i="3"/>
  <c r="AB479" i="3"/>
  <c r="AA479" i="3"/>
  <c r="Z479" i="3"/>
  <c r="AB475" i="3"/>
  <c r="AA475" i="3"/>
  <c r="Z475" i="3"/>
  <c r="AA469" i="3"/>
  <c r="AB469" i="3"/>
  <c r="Z469" i="3"/>
  <c r="AA465" i="3"/>
  <c r="AB465" i="3"/>
  <c r="Z465" i="3"/>
  <c r="AB463" i="3"/>
  <c r="AA463" i="3"/>
  <c r="Z463" i="3"/>
  <c r="AA458" i="3"/>
  <c r="AB458" i="3"/>
  <c r="Z458" i="3"/>
  <c r="AA450" i="3"/>
  <c r="AB450" i="3"/>
  <c r="Z450" i="3"/>
  <c r="AA448" i="3"/>
  <c r="AB448" i="3"/>
  <c r="Z448" i="3"/>
  <c r="AB447" i="3"/>
  <c r="AA447" i="3"/>
  <c r="Z447" i="3"/>
  <c r="AB443" i="3"/>
  <c r="AA443" i="3"/>
  <c r="Z443" i="3"/>
  <c r="AA440" i="3"/>
  <c r="AB440" i="3"/>
  <c r="Z440" i="3"/>
  <c r="AA438" i="3"/>
  <c r="AB438" i="3"/>
  <c r="Z438" i="3"/>
  <c r="AA436" i="3"/>
  <c r="AB436" i="3"/>
  <c r="Z436" i="3"/>
  <c r="AA434" i="3"/>
  <c r="AB434" i="3"/>
  <c r="Z434" i="3"/>
  <c r="AA432" i="3"/>
  <c r="AB432" i="3"/>
  <c r="Z432" i="3"/>
  <c r="AA430" i="3"/>
  <c r="AB430" i="3"/>
  <c r="Z430" i="3"/>
  <c r="AA428" i="3"/>
  <c r="AB428" i="3"/>
  <c r="Z428" i="3"/>
  <c r="AA426" i="3"/>
  <c r="AB426" i="3"/>
  <c r="Z426" i="3"/>
  <c r="AA425" i="3"/>
  <c r="AB425" i="3"/>
  <c r="Z425" i="3"/>
  <c r="AB423" i="3"/>
  <c r="AA423" i="3"/>
  <c r="Z423" i="3"/>
  <c r="AA422" i="3"/>
  <c r="AB422" i="3"/>
  <c r="Z422" i="3"/>
  <c r="AA418" i="3"/>
  <c r="AB418" i="3"/>
  <c r="Z418" i="3"/>
  <c r="AA406" i="3"/>
  <c r="AB406" i="3"/>
  <c r="Z406" i="3"/>
  <c r="AA404" i="3"/>
  <c r="AB404" i="3"/>
  <c r="Z404" i="3"/>
  <c r="AB399" i="3"/>
  <c r="AA399" i="3"/>
  <c r="Z399" i="3"/>
  <c r="AA397" i="3"/>
  <c r="AB397" i="3"/>
  <c r="Z397" i="3"/>
  <c r="AB395" i="3"/>
  <c r="AA395" i="3"/>
  <c r="Z395" i="3"/>
  <c r="AA393" i="3"/>
  <c r="AB393" i="3"/>
  <c r="Z393" i="3"/>
  <c r="AB391" i="3"/>
  <c r="AA391" i="3"/>
  <c r="Z391" i="3"/>
  <c r="AA389" i="3"/>
  <c r="AB389" i="3"/>
  <c r="Z389" i="3"/>
  <c r="AA384" i="3"/>
  <c r="AB384" i="3"/>
  <c r="Z384" i="3"/>
  <c r="AB379" i="3"/>
  <c r="AA379" i="3"/>
  <c r="Z379" i="3"/>
  <c r="AB375" i="3"/>
  <c r="AA375" i="3"/>
  <c r="Z375" i="3"/>
  <c r="AA372" i="3"/>
  <c r="AB372" i="3"/>
  <c r="Z372" i="3"/>
  <c r="AA369" i="3"/>
  <c r="AB369" i="3"/>
  <c r="Z369" i="3"/>
  <c r="AB359" i="3"/>
  <c r="AA359" i="3"/>
  <c r="Z359" i="3"/>
  <c r="AA354" i="3"/>
  <c r="AB354" i="3"/>
  <c r="Z354" i="3"/>
  <c r="AA352" i="3"/>
  <c r="AB352" i="3"/>
  <c r="Z352" i="3"/>
  <c r="AA350" i="3"/>
  <c r="AB350" i="3"/>
  <c r="Z350" i="3"/>
  <c r="AA348" i="3"/>
  <c r="AB348" i="3"/>
  <c r="Z348" i="3"/>
  <c r="AB343" i="3"/>
  <c r="AA343" i="3"/>
  <c r="Z343" i="3"/>
  <c r="AB335" i="3"/>
  <c r="AA335" i="3"/>
  <c r="Z335" i="3"/>
  <c r="AB331" i="3"/>
  <c r="AA331" i="3"/>
  <c r="Z331" i="3"/>
  <c r="AA329" i="3"/>
  <c r="AB329" i="3"/>
  <c r="Z329" i="3"/>
  <c r="AA328" i="3"/>
  <c r="AB328" i="3"/>
  <c r="Z328" i="3"/>
  <c r="AB323" i="3"/>
  <c r="AA323" i="3"/>
  <c r="Z323" i="3"/>
  <c r="AB319" i="3"/>
  <c r="AA319" i="3"/>
  <c r="Z319" i="3"/>
  <c r="AA314" i="3"/>
  <c r="AB314" i="3"/>
  <c r="Z314" i="3"/>
  <c r="AA312" i="3"/>
  <c r="AB312" i="3"/>
  <c r="Z312" i="3"/>
  <c r="AA308" i="3"/>
  <c r="AB308" i="3"/>
  <c r="Z308" i="3"/>
  <c r="AA306" i="3"/>
  <c r="AB306" i="3"/>
  <c r="Z306" i="3"/>
  <c r="AA305" i="3"/>
  <c r="AB305" i="3"/>
  <c r="Z305" i="3"/>
  <c r="AA304" i="3"/>
  <c r="AB304" i="3"/>
  <c r="Z304" i="3"/>
  <c r="AA293" i="3"/>
  <c r="AB293" i="3"/>
  <c r="Z293" i="3"/>
  <c r="AB291" i="3"/>
  <c r="AA291" i="3"/>
  <c r="Z291" i="3"/>
  <c r="AA285" i="3"/>
  <c r="AB285" i="3"/>
  <c r="Z285" i="3"/>
  <c r="AB283" i="3"/>
  <c r="AA283" i="3"/>
  <c r="Z283" i="3"/>
  <c r="AA281" i="3"/>
  <c r="AB281" i="3"/>
  <c r="Z281" i="3"/>
  <c r="AB279" i="3"/>
  <c r="AA279" i="3"/>
  <c r="Z279" i="3"/>
  <c r="AA270" i="3"/>
  <c r="AB270" i="3"/>
  <c r="Z270" i="3"/>
  <c r="AA498" i="3"/>
  <c r="AB498" i="3"/>
  <c r="Z498" i="3"/>
  <c r="AA484" i="3"/>
  <c r="AB484" i="3"/>
  <c r="Z484" i="3"/>
  <c r="AA481" i="3"/>
  <c r="AB481" i="3"/>
  <c r="Z481" i="3"/>
  <c r="AA480" i="3"/>
  <c r="AB480" i="3"/>
  <c r="Z480" i="3"/>
  <c r="AB467" i="3"/>
  <c r="AA467" i="3"/>
  <c r="Z467" i="3"/>
  <c r="AA461" i="3"/>
  <c r="AB461" i="3"/>
  <c r="Z461" i="3"/>
  <c r="AA460" i="3"/>
  <c r="AB460" i="3"/>
  <c r="Z460" i="3"/>
  <c r="AA454" i="3"/>
  <c r="AB454" i="3"/>
  <c r="Z454" i="3"/>
  <c r="AA445" i="3"/>
  <c r="AB445" i="3"/>
  <c r="Z445" i="3"/>
  <c r="AA442" i="3"/>
  <c r="AB442" i="3"/>
  <c r="Z442" i="3"/>
  <c r="AA437" i="3"/>
  <c r="AB437" i="3"/>
  <c r="Z437" i="3"/>
  <c r="AB435" i="3"/>
  <c r="AA435" i="3"/>
  <c r="Z435" i="3"/>
  <c r="AB427" i="3"/>
  <c r="AA427" i="3"/>
  <c r="Z427" i="3"/>
  <c r="AA424" i="3"/>
  <c r="AB424" i="3"/>
  <c r="Z424" i="3"/>
  <c r="AA421" i="3"/>
  <c r="AB421" i="3"/>
  <c r="Z421" i="3"/>
  <c r="AA420" i="3"/>
  <c r="AB420" i="3"/>
  <c r="Z420" i="3"/>
  <c r="AA414" i="3"/>
  <c r="AB414" i="3"/>
  <c r="Z414" i="3"/>
  <c r="AB407" i="3"/>
  <c r="AA407" i="3"/>
  <c r="Z407" i="3"/>
  <c r="AA400" i="3"/>
  <c r="AB400" i="3"/>
  <c r="Z400" i="3"/>
  <c r="AA386" i="3"/>
  <c r="AB386" i="3"/>
  <c r="Z386" i="3"/>
  <c r="AA374" i="3"/>
  <c r="AB374" i="3"/>
  <c r="Z374" i="3"/>
  <c r="AB371" i="3"/>
  <c r="AA371" i="3"/>
  <c r="Z371" i="3"/>
  <c r="AB367" i="3"/>
  <c r="AA367" i="3"/>
  <c r="Z367" i="3"/>
  <c r="AB363" i="3"/>
  <c r="AA363" i="3"/>
  <c r="Z363" i="3"/>
  <c r="AA361" i="3"/>
  <c r="AB361" i="3"/>
  <c r="Z361" i="3"/>
  <c r="AA356" i="3"/>
  <c r="AB356" i="3"/>
  <c r="Z356" i="3"/>
  <c r="AA346" i="3"/>
  <c r="AB346" i="3"/>
  <c r="Z346" i="3"/>
  <c r="AA340" i="3"/>
  <c r="AB340" i="3"/>
  <c r="Z340" i="3"/>
  <c r="AA337" i="3"/>
  <c r="AB337" i="3"/>
  <c r="Z337" i="3"/>
  <c r="AA334" i="3"/>
  <c r="AB334" i="3"/>
  <c r="Z334" i="3"/>
  <c r="AA333" i="3"/>
  <c r="AB333" i="3"/>
  <c r="Z333" i="3"/>
  <c r="AA322" i="3"/>
  <c r="AB322" i="3"/>
  <c r="Z322" i="3"/>
  <c r="AA318" i="3"/>
  <c r="AB318" i="3"/>
  <c r="Z318" i="3"/>
  <c r="AA317" i="3"/>
  <c r="AB317" i="3"/>
  <c r="Z317" i="3"/>
  <c r="AA310" i="3"/>
  <c r="AB310" i="3"/>
  <c r="Z310" i="3"/>
  <c r="AB303" i="3"/>
  <c r="AA303" i="3"/>
  <c r="Z303" i="3"/>
  <c r="AA300" i="3"/>
  <c r="AB300" i="3"/>
  <c r="Z300" i="3"/>
  <c r="AB299" i="3"/>
  <c r="AA299" i="3"/>
  <c r="Z299" i="3"/>
  <c r="AA294" i="3"/>
  <c r="AB294" i="3"/>
  <c r="Z294" i="3"/>
  <c r="AA289" i="3"/>
  <c r="AB289" i="3"/>
  <c r="Z289" i="3"/>
  <c r="AA282" i="3"/>
  <c r="AB282" i="3"/>
  <c r="Z282" i="3"/>
  <c r="AA277" i="3"/>
  <c r="AB277" i="3"/>
  <c r="Z277" i="3"/>
  <c r="AB275" i="3"/>
  <c r="AA275" i="3"/>
  <c r="Z275" i="3"/>
  <c r="AA268" i="3"/>
  <c r="AB268" i="3"/>
  <c r="Z268" i="3"/>
  <c r="AA266" i="3"/>
  <c r="AB266" i="3"/>
  <c r="Z266" i="3"/>
  <c r="AA262" i="3"/>
  <c r="AB262" i="3"/>
  <c r="Z262" i="3"/>
  <c r="AA261" i="3"/>
  <c r="AB261" i="3"/>
  <c r="Z261" i="3"/>
  <c r="Z258" i="3"/>
  <c r="Z254" i="3"/>
  <c r="Z250" i="3"/>
  <c r="Z246" i="3"/>
  <c r="Z242" i="3"/>
  <c r="Z238" i="3"/>
  <c r="Z234" i="3"/>
  <c r="Z230" i="3"/>
  <c r="Z226" i="3"/>
  <c r="Z222" i="3"/>
  <c r="Z218" i="3"/>
  <c r="Z214" i="3"/>
  <c r="Z210" i="3"/>
  <c r="Z206" i="3"/>
  <c r="Z202" i="3"/>
  <c r="Z259" i="3"/>
  <c r="Z255" i="3"/>
  <c r="Z251" i="3"/>
  <c r="Z247" i="3"/>
  <c r="Z243" i="3"/>
  <c r="Z239" i="3"/>
  <c r="Z235" i="3"/>
  <c r="Z231" i="3"/>
  <c r="Z227" i="3"/>
  <c r="Z223" i="3"/>
  <c r="Z219" i="3"/>
  <c r="Z215" i="3"/>
  <c r="Z211" i="3"/>
  <c r="Z207" i="3"/>
  <c r="Z203" i="3"/>
  <c r="AB259" i="3"/>
  <c r="AA259" i="3"/>
  <c r="AA258" i="3"/>
  <c r="AB258" i="3"/>
  <c r="AA257" i="3"/>
  <c r="AB257" i="3"/>
  <c r="AA256" i="3"/>
  <c r="AB256" i="3"/>
  <c r="AB255" i="3"/>
  <c r="AA255" i="3"/>
  <c r="AA254" i="3"/>
  <c r="AB254" i="3"/>
  <c r="AA253" i="3"/>
  <c r="AB253" i="3"/>
  <c r="AA252" i="3"/>
  <c r="AB252" i="3"/>
  <c r="AB251" i="3"/>
  <c r="AA251" i="3"/>
  <c r="AA250" i="3"/>
  <c r="AB250" i="3"/>
  <c r="AA249" i="3"/>
  <c r="AB249" i="3"/>
  <c r="AA248" i="3"/>
  <c r="AB248" i="3"/>
  <c r="AB247" i="3"/>
  <c r="AA247" i="3"/>
  <c r="AA246" i="3"/>
  <c r="AB246" i="3"/>
  <c r="AA245" i="3"/>
  <c r="AB245" i="3"/>
  <c r="AA244" i="3"/>
  <c r="AB244" i="3"/>
  <c r="AB243" i="3"/>
  <c r="AA243" i="3"/>
  <c r="AA242" i="3"/>
  <c r="AB242" i="3"/>
  <c r="AA241" i="3"/>
  <c r="AB241" i="3"/>
  <c r="AA240" i="3"/>
  <c r="AB240" i="3"/>
  <c r="AB239" i="3"/>
  <c r="AA239" i="3"/>
  <c r="AA238" i="3"/>
  <c r="AB238" i="3"/>
  <c r="AA237" i="3"/>
  <c r="AB237" i="3"/>
  <c r="AA236" i="3"/>
  <c r="AB236" i="3"/>
  <c r="AB235" i="3"/>
  <c r="AA235" i="3"/>
  <c r="AA234" i="3"/>
  <c r="AB234" i="3"/>
  <c r="AA233" i="3"/>
  <c r="AB233" i="3"/>
  <c r="AA232" i="3"/>
  <c r="AB232" i="3"/>
  <c r="AB231" i="3"/>
  <c r="AA231" i="3"/>
  <c r="AA230" i="3"/>
  <c r="AB230" i="3"/>
  <c r="AA229" i="3"/>
  <c r="AB229" i="3"/>
  <c r="AA228" i="3"/>
  <c r="AB228" i="3"/>
  <c r="AB227" i="3"/>
  <c r="AA227" i="3"/>
  <c r="AA226" i="3"/>
  <c r="AB226" i="3"/>
  <c r="AA225" i="3"/>
  <c r="AB225" i="3"/>
  <c r="AA224" i="3"/>
  <c r="AB224" i="3"/>
  <c r="AB223" i="3"/>
  <c r="AA223" i="3"/>
  <c r="AA222" i="3"/>
  <c r="AB222" i="3"/>
  <c r="AA221" i="3"/>
  <c r="AB221" i="3"/>
  <c r="AA220" i="3"/>
  <c r="AB220" i="3"/>
  <c r="AB219" i="3"/>
  <c r="AA219" i="3"/>
  <c r="AA218" i="3"/>
  <c r="AB218" i="3"/>
  <c r="AA217" i="3"/>
  <c r="AB217" i="3"/>
  <c r="AA216" i="3"/>
  <c r="AB216" i="3"/>
  <c r="AB215" i="3"/>
  <c r="AA215" i="3"/>
  <c r="AA214" i="3"/>
  <c r="AB214" i="3"/>
  <c r="AA213" i="3"/>
  <c r="AB213" i="3"/>
  <c r="AA212" i="3"/>
  <c r="AB212" i="3"/>
  <c r="AB211" i="3"/>
  <c r="AA211" i="3"/>
  <c r="AA210" i="3"/>
  <c r="AB210" i="3"/>
  <c r="AA209" i="3"/>
  <c r="AB209" i="3"/>
  <c r="AA208" i="3"/>
  <c r="AB208" i="3"/>
  <c r="AB207" i="3"/>
  <c r="AA207" i="3"/>
  <c r="AA206" i="3"/>
  <c r="AB206" i="3"/>
  <c r="AA205" i="3"/>
  <c r="AB205" i="3"/>
  <c r="AA204" i="3"/>
  <c r="AB204" i="3"/>
  <c r="AB203" i="3"/>
  <c r="AA203" i="3"/>
  <c r="AA202" i="3"/>
  <c r="AB202" i="3"/>
  <c r="AA201" i="3"/>
  <c r="AB201" i="3"/>
  <c r="Z257" i="3"/>
  <c r="Z253" i="3"/>
  <c r="Z249" i="3"/>
  <c r="Z245" i="3"/>
  <c r="Z241" i="3"/>
  <c r="Z237" i="3"/>
  <c r="Z233" i="3"/>
  <c r="Z229" i="3"/>
  <c r="Z225" i="3"/>
  <c r="Z221" i="3"/>
  <c r="Z217" i="3"/>
  <c r="Z213" i="3"/>
  <c r="Z209" i="3"/>
  <c r="Z205" i="3"/>
  <c r="Z201" i="3"/>
</calcChain>
</file>

<file path=xl/sharedStrings.xml><?xml version="1.0" encoding="utf-8"?>
<sst xmlns="http://schemas.openxmlformats.org/spreadsheetml/2006/main" count="7034" uniqueCount="1454">
  <si>
    <t>DayKaz</t>
  </si>
  <si>
    <t>MonthKaz</t>
  </si>
  <si>
    <t>ProtocolKaz</t>
  </si>
  <si>
    <t>FioKaz</t>
  </si>
  <si>
    <t>CodeKaz</t>
  </si>
  <si>
    <t>BachelorKaz</t>
  </si>
  <si>
    <t>FormaKaz</t>
  </si>
  <si>
    <t>DayRus</t>
  </si>
  <si>
    <t>MonthRus</t>
  </si>
  <si>
    <t>ProtocolRus</t>
  </si>
  <si>
    <t>FioRus</t>
  </si>
  <si>
    <t>BachelorRus</t>
  </si>
  <si>
    <t>CodeRus</t>
  </si>
  <si>
    <t>FormaRus</t>
  </si>
  <si>
    <t>FioEng</t>
  </si>
  <si>
    <t>BachelorEng</t>
  </si>
  <si>
    <t>CodeEng</t>
  </si>
  <si>
    <t>FormaEng</t>
  </si>
  <si>
    <t>DayEng</t>
  </si>
  <si>
    <t>MonthEng</t>
  </si>
  <si>
    <t>Reg.nomer</t>
  </si>
  <si>
    <t>DayEnd</t>
  </si>
  <si>
    <t>MonthEnd</t>
  </si>
  <si>
    <t>Деньказ</t>
  </si>
  <si>
    <t>МесяцКаз</t>
  </si>
  <si>
    <t>ПротоколКаз</t>
  </si>
  <si>
    <t>ФиоКаз</t>
  </si>
  <si>
    <t>КодКаз</t>
  </si>
  <si>
    <t>бакалавКаз</t>
  </si>
  <si>
    <t>ФормаКаз</t>
  </si>
  <si>
    <t>Деньрус</t>
  </si>
  <si>
    <t>МесяцРус</t>
  </si>
  <si>
    <t>ПротоколРус</t>
  </si>
  <si>
    <t>ФиоРус</t>
  </si>
  <si>
    <t>БакалаврРус</t>
  </si>
  <si>
    <t>КодРус</t>
  </si>
  <si>
    <t>ФормаРус</t>
  </si>
  <si>
    <t>ФиоАнг</t>
  </si>
  <si>
    <t>БакалаврАнг</t>
  </si>
  <si>
    <t>КодеАнг</t>
  </si>
  <si>
    <t>ФормаАнг</t>
  </si>
  <si>
    <t>ДеньАнг</t>
  </si>
  <si>
    <t>МесяцАнг</t>
  </si>
  <si>
    <t>Регист.номер</t>
  </si>
  <si>
    <t>День.пол</t>
  </si>
  <si>
    <t>Месяц.пол</t>
  </si>
  <si>
    <t>ИИН</t>
  </si>
  <si>
    <t>Фамилия, имя, отчество</t>
  </si>
  <si>
    <t>Уровень образования</t>
  </si>
  <si>
    <t>Специальность / образовательная программа</t>
  </si>
  <si>
    <t>Серия диплома</t>
  </si>
  <si>
    <t>Номер диплома</t>
  </si>
  <si>
    <t>Url</t>
  </si>
  <si>
    <t>Обучающийся</t>
  </si>
  <si>
    <t>Хабдрахманова Карлыгаш Галимжановна</t>
  </si>
  <si>
    <t>Бакалавр</t>
  </si>
  <si>
    <t>BD</t>
  </si>
  <si>
    <t>маусымдағы</t>
  </si>
  <si>
    <t>күндізгі</t>
  </si>
  <si>
    <t>full-time</t>
  </si>
  <si>
    <t>June</t>
  </si>
  <si>
    <t>июня</t>
  </si>
  <si>
    <t>очное</t>
  </si>
  <si>
    <t>26</t>
  </si>
  <si>
    <t>маусым</t>
  </si>
  <si>
    <t>12</t>
  </si>
  <si>
    <t>07</t>
  </si>
  <si>
    <t>17</t>
  </si>
  <si>
    <t>10</t>
  </si>
  <si>
    <t>11</t>
  </si>
  <si>
    <t>diploma.export.student-type.student</t>
  </si>
  <si>
    <t>2025</t>
  </si>
  <si>
    <t>21</t>
  </si>
  <si>
    <t>94</t>
  </si>
  <si>
    <t>Абайқызы  Мейірімге</t>
  </si>
  <si>
    <t>"6В01705 - Шетел тілі: екі шетел тілі (ағылшын)", В018-Шет тілі мұғалімдерін даярлау</t>
  </si>
  <si>
    <t>білім</t>
  </si>
  <si>
    <t>Abaikyzy  Meiirim</t>
  </si>
  <si>
    <t>Education</t>
  </si>
  <si>
    <t>"6B01705 - Foreign language: two foreign languages (English)", B018-Training of foreign language teachers</t>
  </si>
  <si>
    <t xml:space="preserve">Абайқызы  Мейірім  </t>
  </si>
  <si>
    <t>образования</t>
  </si>
  <si>
    <t>"6B01705 - Иностранный язык: два иностранных языка (английский)", В018-Подготовка учителей иностранного языка</t>
  </si>
  <si>
    <t>28</t>
  </si>
  <si>
    <t>041027600630</t>
  </si>
  <si>
    <t>Абатбекова  Фарангиз  Атабековнаға</t>
  </si>
  <si>
    <t>Abatbekova  Farangiz</t>
  </si>
  <si>
    <t>Абатбековой  Фарангиз  Атабековне</t>
  </si>
  <si>
    <t>040105601263</t>
  </si>
  <si>
    <t>01</t>
  </si>
  <si>
    <t>Абдиганиева  Диёра  Илхамжановнаға</t>
  </si>
  <si>
    <t>Abdiganiyeva  Diyora</t>
  </si>
  <si>
    <t>Абдиганиевой  Диёре  Илхамжановне</t>
  </si>
  <si>
    <t>040401602290</t>
  </si>
  <si>
    <t>85</t>
  </si>
  <si>
    <t>Абдигаппаров  Хаёт  Сайдимамутовичке</t>
  </si>
  <si>
    <t>Abdigapparov  Khayot</t>
  </si>
  <si>
    <t>Абдигаппарову  Хаёту  Сайдимамутовичу</t>
  </si>
  <si>
    <t>040730502005</t>
  </si>
  <si>
    <t>209</t>
  </si>
  <si>
    <t>Абдуллади  Арайлым  Анасқызына</t>
  </si>
  <si>
    <t>Abdulladi  Arailym</t>
  </si>
  <si>
    <t>Абдуллади  Арайлым  Анасқызы</t>
  </si>
  <si>
    <t>030927600143</t>
  </si>
  <si>
    <t>210</t>
  </si>
  <si>
    <t>Абдурахманова  Эъзоза  Хасанқызына</t>
  </si>
  <si>
    <t>Abdurakhmanova  Ezoza</t>
  </si>
  <si>
    <t>Абдурахманова  Эъзоза  Хасанқызы</t>
  </si>
  <si>
    <t>040925600937</t>
  </si>
  <si>
    <t>211</t>
  </si>
  <si>
    <t>Абдыхай  Сандуғаш  Талғатқызына</t>
  </si>
  <si>
    <t>Abdykhay  Sandugash</t>
  </si>
  <si>
    <t>Абдыхай  Сандуғаш  Талғатқызы</t>
  </si>
  <si>
    <t>040409600981</t>
  </si>
  <si>
    <t>212</t>
  </si>
  <si>
    <t>Абдыхахарова  Аяжан  Асхатқызына</t>
  </si>
  <si>
    <t>Abdykhakharova  Ayazhan</t>
  </si>
  <si>
    <t>Абдыхахарова  Аяжан  Асхатқызы</t>
  </si>
  <si>
    <t>030624601818</t>
  </si>
  <si>
    <t>16</t>
  </si>
  <si>
    <t>Агибаева  Мадина  Амантаевнаға</t>
  </si>
  <si>
    <t>Agibayeva  Madina</t>
  </si>
  <si>
    <t>Агибаевой  Мадине  Амантаевне</t>
  </si>
  <si>
    <t>040701651190</t>
  </si>
  <si>
    <t>Адилбекова  Сабина  Нуркеновнаға</t>
  </si>
  <si>
    <t>Адилбековой  Сабине  Нуркеновне</t>
  </si>
  <si>
    <t>040611651322</t>
  </si>
  <si>
    <t>215</t>
  </si>
  <si>
    <t>Айдаралиева  Зарина  Маханбетқызына</t>
  </si>
  <si>
    <t>Aidaraliyeva Zarina</t>
  </si>
  <si>
    <t>Айдаралиева  Зарина  Маханбетқызы</t>
  </si>
  <si>
    <t>040129601006</t>
  </si>
  <si>
    <t>60</t>
  </si>
  <si>
    <t>Айдарова  Данагуль  Айдаровнаға</t>
  </si>
  <si>
    <t>Aidarova  Danagul</t>
  </si>
  <si>
    <t>Айдаровой  Данагуль  Айдаровне</t>
  </si>
  <si>
    <t>040320651497</t>
  </si>
  <si>
    <t>216</t>
  </si>
  <si>
    <t>Айтбаева  Балнур  Қайратқызына</t>
  </si>
  <si>
    <t>Aitbayeva  Balnur</t>
  </si>
  <si>
    <t>Айтбаева  Балнур  Қайратқызы</t>
  </si>
  <si>
    <t>040508650252</t>
  </si>
  <si>
    <t>02</t>
  </si>
  <si>
    <t>Айтбай  Нұрман  Базарбайұлына</t>
  </si>
  <si>
    <t>Aitbay  Nurman</t>
  </si>
  <si>
    <t>Айтбай  Нұрман  Базарбайұлы</t>
  </si>
  <si>
    <t>040204500930</t>
  </si>
  <si>
    <t>115</t>
  </si>
  <si>
    <t>Айтимбет  Ақбота  Берікқызына</t>
  </si>
  <si>
    <t>Aitimbet  Akbota</t>
  </si>
  <si>
    <t>Айтимбет  Ақбота  Берікқызы</t>
  </si>
  <si>
    <t>030529601297</t>
  </si>
  <si>
    <t>118</t>
  </si>
  <si>
    <t>Алғабас  Жанат  Бекмұханқызына</t>
  </si>
  <si>
    <t>Algabas  Zhanat</t>
  </si>
  <si>
    <t>Алғабас  Жанат  Бекмұханқызы</t>
  </si>
  <si>
    <t>040403601263</t>
  </si>
  <si>
    <t>119</t>
  </si>
  <si>
    <t>Аллаберган  Айгерім  Құралбекқызына</t>
  </si>
  <si>
    <t>Allabergan  Aigerim</t>
  </si>
  <si>
    <t>Аллаберган  Айгерім  Құралбекқызы</t>
  </si>
  <si>
    <t>031211601726</t>
  </si>
  <si>
    <t>120</t>
  </si>
  <si>
    <t>Алмабай  Айдана  Бекжанқызына</t>
  </si>
  <si>
    <t>Almabay  Aidana</t>
  </si>
  <si>
    <t>Алмабай  Айдана  Бекжанқызы</t>
  </si>
  <si>
    <t>040429600801</t>
  </si>
  <si>
    <t>121</t>
  </si>
  <si>
    <t>Алмабек  Нұрай  Ғалымжанқызына</t>
  </si>
  <si>
    <t>Almabek  Nuray</t>
  </si>
  <si>
    <t>Алмабек  Нұрай  Ғалымжанқызы</t>
  </si>
  <si>
    <t>040627600679</t>
  </si>
  <si>
    <t>122</t>
  </si>
  <si>
    <t>Алметова  Анель  Багланқызына</t>
  </si>
  <si>
    <t>Almetova  Anel</t>
  </si>
  <si>
    <t>Алметова  Анель  Багланқызы</t>
  </si>
  <si>
    <t>040208601590</t>
  </si>
  <si>
    <t>175</t>
  </si>
  <si>
    <t>Алтынбекқызы  Айжанға</t>
  </si>
  <si>
    <t>Altynbekkyzy  Aizhan</t>
  </si>
  <si>
    <t xml:space="preserve">Алтынбекқызы  Айжан  </t>
  </si>
  <si>
    <t>030916600590</t>
  </si>
  <si>
    <t>86</t>
  </si>
  <si>
    <t>Алтынбеков  Нұрмұхамед  Айдынұлына</t>
  </si>
  <si>
    <t>Altynbekov  Nurmukhamed</t>
  </si>
  <si>
    <t>Алтынбеков  Нұрмұхамед  Айдынұлы</t>
  </si>
  <si>
    <t>030712501364</t>
  </si>
  <si>
    <t>87</t>
  </si>
  <si>
    <t>Алшынбай  Анель  Нургалиқызына</t>
  </si>
  <si>
    <t>Alshynbay  Anel</t>
  </si>
  <si>
    <t>Алшынбай  Анель  Нургалиқызы</t>
  </si>
  <si>
    <t>040114600713</t>
  </si>
  <si>
    <t>Аман  Ақмарал  Нұржанқызына</t>
  </si>
  <si>
    <t>Aman  Akmaral</t>
  </si>
  <si>
    <t>Аман  Ақмарал  Нұржанқызы</t>
  </si>
  <si>
    <t>040506600493</t>
  </si>
  <si>
    <t>123</t>
  </si>
  <si>
    <t>Аман  Мөлдір  Даниярқызына</t>
  </si>
  <si>
    <t>Aman  Moldir</t>
  </si>
  <si>
    <t>Аман  Мөлдір  Даниярқызы</t>
  </si>
  <si>
    <t>040129601660</t>
  </si>
  <si>
    <t>71</t>
  </si>
  <si>
    <t>Аманбайқызы  Ұлжалғасқа</t>
  </si>
  <si>
    <t>Amanbaikyzy  Ulzhalgas</t>
  </si>
  <si>
    <t xml:space="preserve">Аманбайқызы  Ұлжалғас  </t>
  </si>
  <si>
    <t>030619601266</t>
  </si>
  <si>
    <t>220</t>
  </si>
  <si>
    <t>Аманжол  Ақбота  Оналбайқызына</t>
  </si>
  <si>
    <t>Amanzhol  Akbota</t>
  </si>
  <si>
    <t>Аманжол  Ақбота  Оналбайқызы</t>
  </si>
  <si>
    <t>040302651240</t>
  </si>
  <si>
    <t>221</t>
  </si>
  <si>
    <t>Аманкелді  Аяулым  Бақытқызына</t>
  </si>
  <si>
    <t>Amankeldi  Ayaulym</t>
  </si>
  <si>
    <t>Аманкелді  Аяулым  Бақытқызы</t>
  </si>
  <si>
    <t>040209600518</t>
  </si>
  <si>
    <t>05</t>
  </si>
  <si>
    <t>Амирхан  Нариман  Асетулына</t>
  </si>
  <si>
    <t>Amirkhan  Nariman</t>
  </si>
  <si>
    <t>Амирхан  Нариману  Асетулы</t>
  </si>
  <si>
    <t>030916551607</t>
  </si>
  <si>
    <t>61</t>
  </si>
  <si>
    <t>Андеш  Мерей  Қайратқызына</t>
  </si>
  <si>
    <t>Andesh  Merey</t>
  </si>
  <si>
    <t>Андеш  Мерей  Қайратқызы</t>
  </si>
  <si>
    <t>040905600135</t>
  </si>
  <si>
    <t>79</t>
  </si>
  <si>
    <t>Атамуратова Фариза Ергалиевнаға</t>
  </si>
  <si>
    <t>Atamuratova  Fariza</t>
  </si>
  <si>
    <t>Атамуратовой Фаризе Ергалиевне</t>
  </si>
  <si>
    <t>020727000255</t>
  </si>
  <si>
    <t>129</t>
  </si>
  <si>
    <t>Ахимаан  Калиманға</t>
  </si>
  <si>
    <t>Akhimaan  Kaliman</t>
  </si>
  <si>
    <t xml:space="preserve">Ахимаан  Калиман  </t>
  </si>
  <si>
    <t>041207601904</t>
  </si>
  <si>
    <t>130</t>
  </si>
  <si>
    <t>Ахметова  Ақерке  Мухамедқызына</t>
  </si>
  <si>
    <t>Akhmetova  Akerke</t>
  </si>
  <si>
    <t>Ахметова  Ақерке  Мухамедқызы</t>
  </si>
  <si>
    <t>040127600949</t>
  </si>
  <si>
    <t>06</t>
  </si>
  <si>
    <t>Ашкенов  Диас  Даулетовичке</t>
  </si>
  <si>
    <t>Ashkenov  Dias</t>
  </si>
  <si>
    <t>Ашкенову  Диасу  Даулетовичу</t>
  </si>
  <si>
    <t>041122550151</t>
  </si>
  <si>
    <t>Ашықбек  Гүлсезім  Асылқызына</t>
  </si>
  <si>
    <t>Ashykbek  Gulsezim</t>
  </si>
  <si>
    <t>Ашықбек  Гүлсезім  Асылқызы</t>
  </si>
  <si>
    <t>030824600887</t>
  </si>
  <si>
    <t>228</t>
  </si>
  <si>
    <t>Бақытбек  Фарида  Мұханбетжанқызына</t>
  </si>
  <si>
    <t>Bakytbek  Farida</t>
  </si>
  <si>
    <t>Бақытбек  Фарида  Мұханбетжанқызы</t>
  </si>
  <si>
    <t>040524600838</t>
  </si>
  <si>
    <t>Балтабаева  Анель  Садуакасовнаға</t>
  </si>
  <si>
    <t>Baltabayeva  Anel</t>
  </si>
  <si>
    <t>Балтабаевой  Анель  Садуакасовне</t>
  </si>
  <si>
    <t>040416651568</t>
  </si>
  <si>
    <t>18</t>
  </si>
  <si>
    <t>Балтабаева  Асель  Садуакасовнаға</t>
  </si>
  <si>
    <t>Baltabayeva  Assel</t>
  </si>
  <si>
    <t>Балтабаевой Асель  Садуакасовне</t>
  </si>
  <si>
    <t>040416651558</t>
  </si>
  <si>
    <t>156</t>
  </si>
  <si>
    <t>Бахраева  Алтынай  Дуйсембаевнаға</t>
  </si>
  <si>
    <t>Bakhrayeva  Altynay</t>
  </si>
  <si>
    <t>Бахраевой  Алтынай  Дуйсембаевне</t>
  </si>
  <si>
    <t>010406651419</t>
  </si>
  <si>
    <t>08</t>
  </si>
  <si>
    <t>Бахытқызы  Аружанға</t>
  </si>
  <si>
    <t>Bakytkyzy  Aruzhan</t>
  </si>
  <si>
    <t xml:space="preserve">Бахытқызы  Аружан  </t>
  </si>
  <si>
    <t>040105600473</t>
  </si>
  <si>
    <t>Бегенжан  Айбек  Екшенбайұлына</t>
  </si>
  <si>
    <t>Begenzhan  Aibek</t>
  </si>
  <si>
    <t>Бегенжан  Айбек  Екшенбайұлы</t>
  </si>
  <si>
    <t>040808501744</t>
  </si>
  <si>
    <t>Белоусова  Карина  Денисовнаға</t>
  </si>
  <si>
    <t>Beloussova  Karina</t>
  </si>
  <si>
    <t>Белоусовой  Карине  Денисовне</t>
  </si>
  <si>
    <t>030704650901</t>
  </si>
  <si>
    <t>Беркинбай  Камила  Султанқызына</t>
  </si>
  <si>
    <t>Berkinbay  Kamila</t>
  </si>
  <si>
    <t>Беркинбай  Камила  Султанқызы</t>
  </si>
  <si>
    <t>040329601678</t>
  </si>
  <si>
    <t>13</t>
  </si>
  <si>
    <t>Болатбек  Айгерім  Болатбекқызына</t>
  </si>
  <si>
    <t>Bolatbek  Aigerim</t>
  </si>
  <si>
    <t>Болатбек  Айгерім  Болатбекқызы</t>
  </si>
  <si>
    <t>040323600786</t>
  </si>
  <si>
    <t>14</t>
  </si>
  <si>
    <t>Боранбай  Дариға  Манатқызы</t>
  </si>
  <si>
    <t>Boranbay  Dariga</t>
  </si>
  <si>
    <t>031122601386</t>
  </si>
  <si>
    <t>97</t>
  </si>
  <si>
    <t>Ғабиденқызы  Ақжүніске</t>
  </si>
  <si>
    <t>Gabidenkyzy  Akzhunis</t>
  </si>
  <si>
    <t xml:space="preserve">Ғабиденқызы  Ақжүніс  </t>
  </si>
  <si>
    <t>040628600962</t>
  </si>
  <si>
    <t>231</t>
  </si>
  <si>
    <t>Гайыпова  Ұлбике  Багтжанқызына</t>
  </si>
  <si>
    <t>Gaiypova  Ulbike</t>
  </si>
  <si>
    <t>Гайыпова  Ұлбике  Багтжанқызы</t>
  </si>
  <si>
    <t>040319600685</t>
  </si>
  <si>
    <t>03</t>
  </si>
  <si>
    <t>Гиёева  Нигина  Бахрулаевнаға</t>
  </si>
  <si>
    <t>Giyoeva  Nigina</t>
  </si>
  <si>
    <t>Гиёевой  Нигине  Бахрулаевне</t>
  </si>
  <si>
    <t>030315050223</t>
  </si>
  <si>
    <t>04</t>
  </si>
  <si>
    <t>Гиеева  Сабина  Абдурасуловнаға</t>
  </si>
  <si>
    <t>Gieeva  Sabina</t>
  </si>
  <si>
    <t>Гиеевой  Сабине  Абдурасуловне</t>
  </si>
  <si>
    <t>030226050150</t>
  </si>
  <si>
    <t>15</t>
  </si>
  <si>
    <t>Дарменова  Света  Берккызына</t>
  </si>
  <si>
    <t>Darmenova  Sveta</t>
  </si>
  <si>
    <t>Дарменовой  Свете  Берккызы</t>
  </si>
  <si>
    <t>040422650265</t>
  </si>
  <si>
    <t>Даутаева  Карина  Даутайқызына</t>
  </si>
  <si>
    <t>Dautayeva  Karina</t>
  </si>
  <si>
    <t>Даутаева  Карина  Даутайқызы</t>
  </si>
  <si>
    <t>030409601135</t>
  </si>
  <si>
    <t>19</t>
  </si>
  <si>
    <t>Дәрібай  Тоқжан  Ерланқызына</t>
  </si>
  <si>
    <t>Daribay  Tokzhan</t>
  </si>
  <si>
    <t>Дәрібай  Тоқжан  Ерланқызы</t>
  </si>
  <si>
    <t>031022601451</t>
  </si>
  <si>
    <t>Ділдәбек  Аружан  Абдіғафурқызына</t>
  </si>
  <si>
    <t>Dildabek  Aruzhan</t>
  </si>
  <si>
    <t>Ділдәбек  Аружан  Абдіғафурқызы</t>
  </si>
  <si>
    <t>040605601231</t>
  </si>
  <si>
    <t>20</t>
  </si>
  <si>
    <t>Досмағанбет  Нұрдина  Абзалқызына</t>
  </si>
  <si>
    <t>Dosmaganbet  Nurdina</t>
  </si>
  <si>
    <t>Досмағанбет  Нұрдина  Абзалқызы</t>
  </si>
  <si>
    <t>040117600697</t>
  </si>
  <si>
    <t>Дусебекова  Асель  Кенессаринкызына</t>
  </si>
  <si>
    <t>Dussebekova  Assel</t>
  </si>
  <si>
    <t>Дусебековой  Асель  Кенессаринкызы</t>
  </si>
  <si>
    <t>040107651469</t>
  </si>
  <si>
    <t>22</t>
  </si>
  <si>
    <t>Дусен  Мөлдір  Даулетқызына</t>
  </si>
  <si>
    <t>Dussen  Moldir</t>
  </si>
  <si>
    <t>Дусен  Мөлдір  Даулетқызы</t>
  </si>
  <si>
    <t>040310600567</t>
  </si>
  <si>
    <t>Дүйсембай  Қаракөз  Дидарқызына</t>
  </si>
  <si>
    <t>Duisembay  Karakoz</t>
  </si>
  <si>
    <t>Дүйсембай  Қаракөз  Дидарқызы</t>
  </si>
  <si>
    <t>031005650497</t>
  </si>
  <si>
    <t>23</t>
  </si>
  <si>
    <t>Дүйсенбаева  Мерей  Усайынқызына</t>
  </si>
  <si>
    <t>Duisenbayeva  Merey</t>
  </si>
  <si>
    <t>Дүйсенбаева  Мерей  Усайынқызы</t>
  </si>
  <si>
    <t>040601650585</t>
  </si>
  <si>
    <t>24</t>
  </si>
  <si>
    <t>Елтай  Зарина  Мұхтарқызына</t>
  </si>
  <si>
    <t>Yeltay  Zarina</t>
  </si>
  <si>
    <t>Елтай  Зарина  Мұхтарқызы</t>
  </si>
  <si>
    <t>040209600964</t>
  </si>
  <si>
    <t>Ерайдарқызы  Алуаға</t>
  </si>
  <si>
    <t>Yeraidarkyzy  Alua</t>
  </si>
  <si>
    <t xml:space="preserve">Ерайдарқызы  Алуа  </t>
  </si>
  <si>
    <t>040711600498</t>
  </si>
  <si>
    <t>25</t>
  </si>
  <si>
    <t>Ерболатқызы  Розаға</t>
  </si>
  <si>
    <t>Yerbolatkyzy  Roza</t>
  </si>
  <si>
    <t xml:space="preserve">Ерболатқызы  Роза  </t>
  </si>
  <si>
    <t>041118651203</t>
  </si>
  <si>
    <t>Ербосын  Фариза  Ерғалиқызына</t>
  </si>
  <si>
    <t>Yerbossyn  Fariza</t>
  </si>
  <si>
    <t>Ербосын  Фариза  Ерғалиқызы</t>
  </si>
  <si>
    <t>040723600324</t>
  </si>
  <si>
    <t>27</t>
  </si>
  <si>
    <t>Ергеш  Венера  Маратқызына</t>
  </si>
  <si>
    <t>Yergesh  Venera</t>
  </si>
  <si>
    <t>Ергеш  Венера  Маратқызы</t>
  </si>
  <si>
    <t>040620600116</t>
  </si>
  <si>
    <t>Ерқасымова  Арайлым  Габидуллақызына</t>
  </si>
  <si>
    <t>Yerkassymova  Arailym</t>
  </si>
  <si>
    <t>Ерқасымова  Арайлым  Габидуллақызы</t>
  </si>
  <si>
    <t>040615600218</t>
  </si>
  <si>
    <t>36</t>
  </si>
  <si>
    <t>Ермекова  Аружан  Ержановнаға</t>
  </si>
  <si>
    <t>Yermekova  Aruzhan</t>
  </si>
  <si>
    <t>Ермековой  Аружан  Ержановне</t>
  </si>
  <si>
    <t>040419651188</t>
  </si>
  <si>
    <t>32</t>
  </si>
  <si>
    <t>Есжанова  Жасмин  Сапаровнаға</t>
  </si>
  <si>
    <t>Yeszhanova  Zhasmin</t>
  </si>
  <si>
    <t>Есжановой  Жасмин  Сапаровне</t>
  </si>
  <si>
    <t>030615651230</t>
  </si>
  <si>
    <t>33</t>
  </si>
  <si>
    <t>Есимхан  Айсұлу  Мырзаханқызына</t>
  </si>
  <si>
    <t>Yessimkhan  Aisulu</t>
  </si>
  <si>
    <t>Есимхан  Айсұлу  Мырзаханқызы</t>
  </si>
  <si>
    <t>041017600943</t>
  </si>
  <si>
    <t>34</t>
  </si>
  <si>
    <t>Есиркеп  Гулнар  Дарменайқызына</t>
  </si>
  <si>
    <t>Yessirkep  Gulnar</t>
  </si>
  <si>
    <t>Есиркеп  Гулнар  Дарменайқызы</t>
  </si>
  <si>
    <t>040229600755</t>
  </si>
  <si>
    <t>35</t>
  </si>
  <si>
    <t>Есиркеп  Меруерт  Арманқызына</t>
  </si>
  <si>
    <t>Yessirkep  Meruyert</t>
  </si>
  <si>
    <t>Есиркеп  Меруерт  Арманқызы</t>
  </si>
  <si>
    <t>040321600587</t>
  </si>
  <si>
    <t>143</t>
  </si>
  <si>
    <t>Есімкеева  Аида  Алтынбекқызына</t>
  </si>
  <si>
    <t>Yessimkeyeva  Aida</t>
  </si>
  <si>
    <t>Есімкеева  Аида  Алтынбекқызы</t>
  </si>
  <si>
    <t>030613600176</t>
  </si>
  <si>
    <t>Еспенбет  Ақтоты  Муратбекқызына</t>
  </si>
  <si>
    <t>Yespenbet Aktoty</t>
  </si>
  <si>
    <t>Еспенбет  Ақтоты  Муратбекқызы</t>
  </si>
  <si>
    <t>031120600288</t>
  </si>
  <si>
    <t>37</t>
  </si>
  <si>
    <t>Естибай  Аружан  Каржаубайқызына</t>
  </si>
  <si>
    <t>Yestibay  Aruzhan</t>
  </si>
  <si>
    <t>Естибай  Аружан  Каржаубайқызы</t>
  </si>
  <si>
    <t>031208601482</t>
  </si>
  <si>
    <t>227</t>
  </si>
  <si>
    <t>Әшірбек  Әзізби  Қуанышұлына</t>
  </si>
  <si>
    <t>Ashirbek  Azizbi</t>
  </si>
  <si>
    <t>Әшірбек  Әзізби  Қуанышұлы</t>
  </si>
  <si>
    <t>040920551680</t>
  </si>
  <si>
    <t>38</t>
  </si>
  <si>
    <t>Жалгасбаева  Улдай  Оңдасынкызына</t>
  </si>
  <si>
    <t>Zhalgasbayeva  Ulday</t>
  </si>
  <si>
    <t>Жалгасбаевой  Улдай  Оңдасынкызы</t>
  </si>
  <si>
    <t>040907600483</t>
  </si>
  <si>
    <t>39</t>
  </si>
  <si>
    <t>Жанабек  Аружан  Ерболқызына</t>
  </si>
  <si>
    <t>Zhanabek  Aruzhan</t>
  </si>
  <si>
    <t>Жанабек  Аружан  Ерболқызы</t>
  </si>
  <si>
    <t>040507602009</t>
  </si>
  <si>
    <t>40</t>
  </si>
  <si>
    <t>Жанжигитова  Жазира  Тынысбеккызына</t>
  </si>
  <si>
    <t>Zhanzhigitova  Zhazira</t>
  </si>
  <si>
    <t>Жанжигитовой  Жазире  Тынысбеккызы</t>
  </si>
  <si>
    <t>040115650642</t>
  </si>
  <si>
    <t>68</t>
  </si>
  <si>
    <t>Жолдасбекова  Дильназ  Қанатқызына</t>
  </si>
  <si>
    <t>Zholdasbekova  Dilnaz</t>
  </si>
  <si>
    <t>Жолдасбекова  Дильназ  Қанатқызы</t>
  </si>
  <si>
    <t>040614601469</t>
  </si>
  <si>
    <t>161</t>
  </si>
  <si>
    <t>Жорақұл  Сымбат  Бекмырзақызына</t>
  </si>
  <si>
    <t>Zhorakul  Symbat</t>
  </si>
  <si>
    <t>Жорақұл  Сымбат  Бекмырзақызы</t>
  </si>
  <si>
    <t>031002600711</t>
  </si>
  <si>
    <t>162</t>
  </si>
  <si>
    <t>Жулдызбек  Нұрайға</t>
  </si>
  <si>
    <t>Zhuldyzbek  Nuray</t>
  </si>
  <si>
    <t xml:space="preserve">Жулдызбек  Нұрай  </t>
  </si>
  <si>
    <t>040117601328</t>
  </si>
  <si>
    <t>164</t>
  </si>
  <si>
    <t>Жылқаман  Зайна  Алтынбекқызына</t>
  </si>
  <si>
    <t>Zhylkaman  Zaina</t>
  </si>
  <si>
    <t>Жылқаман  Зайна  Алтынбекқызы</t>
  </si>
  <si>
    <t>030820600311</t>
  </si>
  <si>
    <t>69</t>
  </si>
  <si>
    <t>Иброхимова  Айнура  Адхам кизина</t>
  </si>
  <si>
    <t>Ibrokhimova  Ainura</t>
  </si>
  <si>
    <t>Иброхимовой  Айнуре  Адхам кизи</t>
  </si>
  <si>
    <t>040920601521</t>
  </si>
  <si>
    <t>167</t>
  </si>
  <si>
    <t>Исламбай  Ұлбосын  Бахитқызына</t>
  </si>
  <si>
    <t>Islambay  Ulbossyn</t>
  </si>
  <si>
    <t>Исламбай  Ұлбосын  Бахитқызы</t>
  </si>
  <si>
    <t>031106601081</t>
  </si>
  <si>
    <t>232</t>
  </si>
  <si>
    <t>Исламбекова  Меруерт  Нурлановнаға</t>
  </si>
  <si>
    <t>Islambekova  Meruyert</t>
  </si>
  <si>
    <t>Исламбековой  Меруерт  Нурлановне</t>
  </si>
  <si>
    <t>040801650770</t>
  </si>
  <si>
    <t>168</t>
  </si>
  <si>
    <t>Исламхан  Дариға  Асқарқызына</t>
  </si>
  <si>
    <t>Islamkhan  Dariga</t>
  </si>
  <si>
    <t>Исламхан  Дариға  Асқарқызы</t>
  </si>
  <si>
    <t>030628601651</t>
  </si>
  <si>
    <t>233</t>
  </si>
  <si>
    <t>Исманова  Нұрайым  Ержанқызына</t>
  </si>
  <si>
    <t>Ismanova  Nuraiym</t>
  </si>
  <si>
    <t>Исманова  Нұрайым  Ержанқызы</t>
  </si>
  <si>
    <t>040720601316</t>
  </si>
  <si>
    <t>46</t>
  </si>
  <si>
    <t>Кадиримбетова  Жансая  Кутлымураткызына</t>
  </si>
  <si>
    <t>Kadirimbetova  Zhansaya</t>
  </si>
  <si>
    <t>Кадиримбетовой  Жансае  Кутлымураткызы</t>
  </si>
  <si>
    <t>030624650192</t>
  </si>
  <si>
    <t>09</t>
  </si>
  <si>
    <t>Кадирханова  Әселхан  Болатбекқызына</t>
  </si>
  <si>
    <t>Kadirkhanova  Asselkhan</t>
  </si>
  <si>
    <t>Кадирханова  Әселхан  Болатбекқызы</t>
  </si>
  <si>
    <t>040801650295</t>
  </si>
  <si>
    <t>48</t>
  </si>
  <si>
    <t>Караманова  Гүлжанат  Парахатқызына</t>
  </si>
  <si>
    <t>Karamanova  Gulzhanat</t>
  </si>
  <si>
    <t>Караманова  Гүлжанат  Парахатқызы</t>
  </si>
  <si>
    <t>040415651532</t>
  </si>
  <si>
    <t>49</t>
  </si>
  <si>
    <t>Каржаубаева  Жібек  Сайлауқызына</t>
  </si>
  <si>
    <t>Karzhaubayeva  Zhibek</t>
  </si>
  <si>
    <t>Каржаубаева  Жібек  Сайлауқызы</t>
  </si>
  <si>
    <t>030916601538</t>
  </si>
  <si>
    <t>131</t>
  </si>
  <si>
    <t>Картабаева  Асель  Жамбылбековнаға</t>
  </si>
  <si>
    <t>Kartabayeva  Assel</t>
  </si>
  <si>
    <t>Картабаевой  Асель  Жамбылбековне</t>
  </si>
  <si>
    <t>031125651329</t>
  </si>
  <si>
    <t>132</t>
  </si>
  <si>
    <t>Келдібек  Аяулым  Нұрланқызына</t>
  </si>
  <si>
    <t>Keldibek  Ayaulym</t>
  </si>
  <si>
    <t>Келдібек  Аяулым  Нұрланқызы</t>
  </si>
  <si>
    <t>040622600880</t>
  </si>
  <si>
    <t>50</t>
  </si>
  <si>
    <t>Кемал  Балжан  Ерболқызына</t>
  </si>
  <si>
    <t>Kemal  Balzhan</t>
  </si>
  <si>
    <t>Кемал  Балжан  Ерболқызы</t>
  </si>
  <si>
    <t>040205601475</t>
  </si>
  <si>
    <t>51</t>
  </si>
  <si>
    <t>Кемелбекова  Камила  Аханқызына</t>
  </si>
  <si>
    <t>Kemelbekova  Kamila</t>
  </si>
  <si>
    <t>Кемелбекова  Камила  Аханқызы</t>
  </si>
  <si>
    <t>030308600831</t>
  </si>
  <si>
    <t>191</t>
  </si>
  <si>
    <t>Кенес  Ақбаян  Ермекқызына</t>
  </si>
  <si>
    <t>Kenes  Akbayan</t>
  </si>
  <si>
    <t>Кенес  Ақбаян  Ермекқызы</t>
  </si>
  <si>
    <t>030919600982</t>
  </si>
  <si>
    <t>192</t>
  </si>
  <si>
    <t>Кенесбаев  Нуржан  Полатұлына</t>
  </si>
  <si>
    <t>Kenesbayev  Nurzhan</t>
  </si>
  <si>
    <t>Кенесбаев  Нуржан  Полатұлы</t>
  </si>
  <si>
    <t>031209502182</t>
  </si>
  <si>
    <t>193</t>
  </si>
  <si>
    <t>Кенесбаева  Назерке  Суюндыкқызына</t>
  </si>
  <si>
    <t>Kenesbayeva  Nazerke</t>
  </si>
  <si>
    <t>Кенесбаева  Назерке  Суюндыкқызы</t>
  </si>
  <si>
    <t>040516601387</t>
  </si>
  <si>
    <t>194</t>
  </si>
  <si>
    <t>Кенжебай  Айдана  Ерболатқызына</t>
  </si>
  <si>
    <t>Kenzhebay  Aidana</t>
  </si>
  <si>
    <t>Кенжебай  Айдана  Ерболатқызы</t>
  </si>
  <si>
    <t>040825601753</t>
  </si>
  <si>
    <t>Клёнова  Валерия  Владиславовнаға</t>
  </si>
  <si>
    <t>Klyonova  Valeriya</t>
  </si>
  <si>
    <t>Клёновой  Валерии  Владиславовне</t>
  </si>
  <si>
    <t>030604650649</t>
  </si>
  <si>
    <t>114</t>
  </si>
  <si>
    <t>Кожахметова Айбөпе Алпысқызына</t>
  </si>
  <si>
    <t>Kozhakhmetova  Aibope</t>
  </si>
  <si>
    <t>Кожахметова Айбөпе Алпысқызы</t>
  </si>
  <si>
    <t>020225650558</t>
  </si>
  <si>
    <t>201</t>
  </si>
  <si>
    <t>Куралбай  Дана  Оралбекқызына</t>
  </si>
  <si>
    <t>Kuralbay  Dana</t>
  </si>
  <si>
    <t>Куралбай  Дана  Оралбекқызы</t>
  </si>
  <si>
    <t>040310600735</t>
  </si>
  <si>
    <t>98</t>
  </si>
  <si>
    <t>Қабыл  Зейнеп  Нұрмұханбетқызына</t>
  </si>
  <si>
    <t>Kabyl  Zeinep</t>
  </si>
  <si>
    <t>Қабыл  Зейнеп  Нұрмұханбетқызы</t>
  </si>
  <si>
    <t>040120601700</t>
  </si>
  <si>
    <t>99</t>
  </si>
  <si>
    <t>Қази  Рамазан  Елубайұлына</t>
  </si>
  <si>
    <t>Kazi  Ramazan</t>
  </si>
  <si>
    <t>Қази  Рамазан  Елубайұлы</t>
  </si>
  <si>
    <t>031122551079</t>
  </si>
  <si>
    <t>100</t>
  </si>
  <si>
    <t>Қалыбекова  Махаббат  Даниярқызына</t>
  </si>
  <si>
    <t>Kalybekova  Makhabbat</t>
  </si>
  <si>
    <t>Қалыбекова  Махаббат  Даниярқызы</t>
  </si>
  <si>
    <t>040125601311</t>
  </si>
  <si>
    <t>101</t>
  </si>
  <si>
    <t>Қасымова  Зарина  Мейрамбайқызына</t>
  </si>
  <si>
    <t>Kassymova  Zarina</t>
  </si>
  <si>
    <t>Қасымова  Зарина  Мейрамбайқызы</t>
  </si>
  <si>
    <t>040323600984</t>
  </si>
  <si>
    <t>102</t>
  </si>
  <si>
    <t>Қоблан  Аяжан  Көмекқызына</t>
  </si>
  <si>
    <t>Koblan  Ayazhan</t>
  </si>
  <si>
    <t>Қоблан  Аяжан  Көмекқызы</t>
  </si>
  <si>
    <t>040708651055</t>
  </si>
  <si>
    <t>188</t>
  </si>
  <si>
    <t>Қордабаева  Аяулым  Төреханқызына</t>
  </si>
  <si>
    <t>Kordabayeva  Ayaulim</t>
  </si>
  <si>
    <t>Қордабаева  Аяулым  Төреханқызы</t>
  </si>
  <si>
    <t>020309651007</t>
  </si>
  <si>
    <t>103</t>
  </si>
  <si>
    <t>Қуанышқалиқызы  Таңшолпанға</t>
  </si>
  <si>
    <t>Kuanyshkalikyzy  Tangsholpan</t>
  </si>
  <si>
    <t xml:space="preserve">Қуанышқалиқызы  Таңшолпан  </t>
  </si>
  <si>
    <t>040813650875</t>
  </si>
  <si>
    <t>104</t>
  </si>
  <si>
    <t>Құдайберген  Айжан  Ерболқызына</t>
  </si>
  <si>
    <t>Kudaibergen  Aizhan</t>
  </si>
  <si>
    <t>Құдайберген  Айжан  Ерболқызы</t>
  </si>
  <si>
    <t>030516600773</t>
  </si>
  <si>
    <t>105</t>
  </si>
  <si>
    <t>Құрал  Айдана  Абдунасырқызына</t>
  </si>
  <si>
    <t>Kural  Aidana</t>
  </si>
  <si>
    <t>Құрал  Айдана  Абдунасырқызы</t>
  </si>
  <si>
    <t>040421601291</t>
  </si>
  <si>
    <t>106</t>
  </si>
  <si>
    <t>Құрбанәлі  Аяулым  Ермекқызына</t>
  </si>
  <si>
    <t>Kurbanali  Ayaulym</t>
  </si>
  <si>
    <t>Құрбанәлі  Аяулым  Ермекқызы</t>
  </si>
  <si>
    <t>030822601329</t>
  </si>
  <si>
    <t>109</t>
  </si>
  <si>
    <t>Құрманәлі  Ақниет  Ахметқызына</t>
  </si>
  <si>
    <t>Kurmanali  Akniyet</t>
  </si>
  <si>
    <t>Құрманәлі  Ақниет  Ахметқызы</t>
  </si>
  <si>
    <t>031231600599</t>
  </si>
  <si>
    <t>107</t>
  </si>
  <si>
    <t>Қыдыралиев  Дархан  Дүйсенәліұлына</t>
  </si>
  <si>
    <t>Kydyraliyev  Darkhan</t>
  </si>
  <si>
    <t>Қыдыралиев  Дархан  Дүйсенәліұлы</t>
  </si>
  <si>
    <t>040317500300</t>
  </si>
  <si>
    <t>62</t>
  </si>
  <si>
    <t>Майлхан  Айнұрға</t>
  </si>
  <si>
    <t>Mailkhan  Ainur</t>
  </si>
  <si>
    <t xml:space="preserve">Майлхан  Айнұр  </t>
  </si>
  <si>
    <t>040429651380</t>
  </si>
  <si>
    <t>54</t>
  </si>
  <si>
    <t>Майрамбаева  Аида  Прімханқызына</t>
  </si>
  <si>
    <t>Mairambayeva  Aida</t>
  </si>
  <si>
    <t>Майрамбаева  Аида  Прімханқызы</t>
  </si>
  <si>
    <t>030910651363</t>
  </si>
  <si>
    <t>55</t>
  </si>
  <si>
    <t>Малаева  Арайлым  Саяхатовнаға</t>
  </si>
  <si>
    <t>Malayeva  Arailym</t>
  </si>
  <si>
    <t>Малаевой  Арайлым  Саяхатовне</t>
  </si>
  <si>
    <t>031002601036</t>
  </si>
  <si>
    <t>56</t>
  </si>
  <si>
    <t>Малик  Аружан  Адылханқызына</t>
  </si>
  <si>
    <t>Malik  Aruzhan</t>
  </si>
  <si>
    <t>Малик  Аружан  Адылханқызы</t>
  </si>
  <si>
    <t>031220600221</t>
  </si>
  <si>
    <t>241</t>
  </si>
  <si>
    <t>Маратқызы  Сәнияға</t>
  </si>
  <si>
    <t>Maratkyzy  Saniya</t>
  </si>
  <si>
    <t xml:space="preserve">Маратқызы  Сәния  </t>
  </si>
  <si>
    <t>031028600199</t>
  </si>
  <si>
    <t>57</t>
  </si>
  <si>
    <t>Махатбек  Әсем  Сакенқызына</t>
  </si>
  <si>
    <t>Makhatbek  Assem</t>
  </si>
  <si>
    <t>Махатбек  Әсем  Сакенқызы</t>
  </si>
  <si>
    <t>040517601035</t>
  </si>
  <si>
    <t>217</t>
  </si>
  <si>
    <t>Мейрамова  Жарқынай  Бейбітқызына</t>
  </si>
  <si>
    <t>Meiramova  Zharkynay</t>
  </si>
  <si>
    <t>Мейрамова  Жарқынай  Бейбітқызы</t>
  </si>
  <si>
    <t>040208650192</t>
  </si>
  <si>
    <t>110</t>
  </si>
  <si>
    <t>Молдан  Ерсұлтан  Қуанышұлына</t>
  </si>
  <si>
    <t>Moldan  Yersultan</t>
  </si>
  <si>
    <t>Молдан  Ерсұлтан  Қуанышұлы</t>
  </si>
  <si>
    <t>040521500578</t>
  </si>
  <si>
    <t>95</t>
  </si>
  <si>
    <t>Мукатаева  Дияра  Саябековнаға</t>
  </si>
  <si>
    <t>Mukatayeva  Diyara</t>
  </si>
  <si>
    <t>Мукатаевой  Дияре  Саябековне</t>
  </si>
  <si>
    <t>030711651629</t>
  </si>
  <si>
    <t>31</t>
  </si>
  <si>
    <t>Мукушева  Дарина  Жоламановнаға</t>
  </si>
  <si>
    <t>Mukusheva  Darina</t>
  </si>
  <si>
    <t>Мукушевой  Дарине  Жоламановне</t>
  </si>
  <si>
    <t>031017651351</t>
  </si>
  <si>
    <t>58</t>
  </si>
  <si>
    <t>Мусаев  Нурислам  Манасулына</t>
  </si>
  <si>
    <t>Mussayev  Nurislam</t>
  </si>
  <si>
    <t>Мусаеву  Нурисламу  Манасулы</t>
  </si>
  <si>
    <t>031227500401</t>
  </si>
  <si>
    <t>59</t>
  </si>
  <si>
    <t>Муталипова  Севара  Хасанқызына</t>
  </si>
  <si>
    <t>Mutalipova  Sevara</t>
  </si>
  <si>
    <t>Муталипова  Севара  Хасанқызы</t>
  </si>
  <si>
    <t>040405601036</t>
  </si>
  <si>
    <t>222</t>
  </si>
  <si>
    <t>Мұхтар  Аружан  Абенқызына</t>
  </si>
  <si>
    <t>Mukhtar  Aruzhan</t>
  </si>
  <si>
    <t>Мұхтар  Аружан  Абенқызы</t>
  </si>
  <si>
    <t>041208600723</t>
  </si>
  <si>
    <t>88</t>
  </si>
  <si>
    <t>Мырзабек  Ақнұр  Ерикқызына</t>
  </si>
  <si>
    <t>Myrzabek  Aknur</t>
  </si>
  <si>
    <t>Мырзабек  Ақнұр  Ерикқызы</t>
  </si>
  <si>
    <t>040326601196</t>
  </si>
  <si>
    <t>63</t>
  </si>
  <si>
    <t>Мырзағалиқызы  Балжанға</t>
  </si>
  <si>
    <t>Myrzagalikyzy  Balzhan</t>
  </si>
  <si>
    <t xml:space="preserve">Мырзағалиқызы  Балжан  </t>
  </si>
  <si>
    <t>040206600978</t>
  </si>
  <si>
    <t>223</t>
  </si>
  <si>
    <t>Мырзатай  Ақбота  Сейтхалқызына</t>
  </si>
  <si>
    <t>Myrzatay  Akbota</t>
  </si>
  <si>
    <t>Мырзатай  Ақбота  Сейтхалқызы</t>
  </si>
  <si>
    <t>040305600420</t>
  </si>
  <si>
    <t>89</t>
  </si>
  <si>
    <t>Мырзахмет  Қанат  Байдүйсенұлына</t>
  </si>
  <si>
    <t>Myrzakhmet  Kanat</t>
  </si>
  <si>
    <t>Мырзахмет  Қанат  Байдүйсенұлы</t>
  </si>
  <si>
    <t>030913501783</t>
  </si>
  <si>
    <t>64</t>
  </si>
  <si>
    <t>Насирова  Аружан  Бауыржанкызына</t>
  </si>
  <si>
    <t>Nassirova  Aruzhan</t>
  </si>
  <si>
    <t>Насировой  Аружан  Бауыржанкызы</t>
  </si>
  <si>
    <t>040827651804</t>
  </si>
  <si>
    <t>65</t>
  </si>
  <si>
    <t>Нематуллаева  Дилруза  Хайруллаевнага</t>
  </si>
  <si>
    <t>Nematullayeva  Dilruza</t>
  </si>
  <si>
    <t>Нематуллаевой  Дилрузе  Хайруллаевне</t>
  </si>
  <si>
    <t>031027601301</t>
  </si>
  <si>
    <t>66</t>
  </si>
  <si>
    <t>Нуркенова  Айжан  Бауыржанқызына</t>
  </si>
  <si>
    <t>Nurkenova  Aizhan</t>
  </si>
  <si>
    <t>Нуркенова  Айжан  Бауыржанқызы</t>
  </si>
  <si>
    <t>041012600400</t>
  </si>
  <si>
    <t>67</t>
  </si>
  <si>
    <t>Нурметова  Дилноза  Фахриддинқызына</t>
  </si>
  <si>
    <t>Nurmetova  Dilnoza</t>
  </si>
  <si>
    <t>Нурметова  Дилноза  Фахриддинқызы</t>
  </si>
  <si>
    <t>030304600522</t>
  </si>
  <si>
    <t>169</t>
  </si>
  <si>
    <t>Нурпеисова  Анара  Жаслановнаға</t>
  </si>
  <si>
    <t>Nurpeissova  Anara</t>
  </si>
  <si>
    <t>Нурпеисовой  Анаре  Жаслановне</t>
  </si>
  <si>
    <t>040402651581</t>
  </si>
  <si>
    <t>155</t>
  </si>
  <si>
    <t>Нұрғазы  Шұғыла  Еркінқызына</t>
  </si>
  <si>
    <t>Nurgazy  Shugyla</t>
  </si>
  <si>
    <t>Нұрғазы  Шұғыла  Еркінқызы</t>
  </si>
  <si>
    <t>040111600981</t>
  </si>
  <si>
    <t>45</t>
  </si>
  <si>
    <t>Нұрқали  Зере  Қасымқызына</t>
  </si>
  <si>
    <t>Nurkali  Zere</t>
  </si>
  <si>
    <t>Нұрқали  Зере  Қасымқызы</t>
  </si>
  <si>
    <t>041017601208</t>
  </si>
  <si>
    <t>52</t>
  </si>
  <si>
    <t>Озганбаева  Меруерт  Қуандыққызына</t>
  </si>
  <si>
    <t>Ozganbayeva  Meruyert</t>
  </si>
  <si>
    <t>Озганбаева  Меруерт  Қуандыққызы</t>
  </si>
  <si>
    <t>031026600267</t>
  </si>
  <si>
    <t>53</t>
  </si>
  <si>
    <t>Олжабай  Аякөз  Асанқызына</t>
  </si>
  <si>
    <t>Olzhabay  Ayakoz</t>
  </si>
  <si>
    <t>Олжабай  Аякөз  Асанқызы</t>
  </si>
  <si>
    <t>031102600349</t>
  </si>
  <si>
    <t>Омарова  Даяна  Алмасовнаға</t>
  </si>
  <si>
    <t>Omarova  Dayana</t>
  </si>
  <si>
    <t>Омаровой  Даяне  Алмасовне</t>
  </si>
  <si>
    <t>040705651033</t>
  </si>
  <si>
    <t>29</t>
  </si>
  <si>
    <t>Оразбай  Гауһар  Асилқызына</t>
  </si>
  <si>
    <t>Orazbay  Gauhar</t>
  </si>
  <si>
    <t>Оразбай  Гауһар  Асилқызы</t>
  </si>
  <si>
    <t>040129600305</t>
  </si>
  <si>
    <t>237</t>
  </si>
  <si>
    <t>Оразымбетова  Арайлым  Савитқизына</t>
  </si>
  <si>
    <t>Orazymbetova  Arailym</t>
  </si>
  <si>
    <t>Оразымбетова  Арайлым  Савитқизы</t>
  </si>
  <si>
    <t>030819600542</t>
  </si>
  <si>
    <t>Оралбекова  Амина  Дауреновнаға</t>
  </si>
  <si>
    <t>Oralbekova  Amina</t>
  </si>
  <si>
    <t>Оралбековой  Амине  Дауреновне</t>
  </si>
  <si>
    <t>030331650932</t>
  </si>
  <si>
    <t>172</t>
  </si>
  <si>
    <t>Орналы  Айжан  Ғалымқызына</t>
  </si>
  <si>
    <t>Ornaly  Aizhan</t>
  </si>
  <si>
    <t>Орналы  Айжан  Ғалымқызы</t>
  </si>
  <si>
    <t>040828600335</t>
  </si>
  <si>
    <t>30</t>
  </si>
  <si>
    <t>Орынбасар  Динара  Қайратқызына</t>
  </si>
  <si>
    <t>Orynbassar  Dinara</t>
  </si>
  <si>
    <t>Орынбасар  Динара  Қайратқызы</t>
  </si>
  <si>
    <t>030602601243</t>
  </si>
  <si>
    <t>72</t>
  </si>
  <si>
    <t>Орынбек  Әсем  Темірбекқызына</t>
  </si>
  <si>
    <t>Orynbek  Assem</t>
  </si>
  <si>
    <t>Орынбек  Әсем  Темірбекқызы</t>
  </si>
  <si>
    <t>040728601121</t>
  </si>
  <si>
    <t>242</t>
  </si>
  <si>
    <t>Отарбай  Фатима  Ырғызбайқызына</t>
  </si>
  <si>
    <t>Otarbay  Fatima</t>
  </si>
  <si>
    <t>Отарбай  Фатима  Ырғызбайқызы</t>
  </si>
  <si>
    <t>040113600195</t>
  </si>
  <si>
    <t>111</t>
  </si>
  <si>
    <t>Өткенбаева  Салтанат  Қайратқызына</t>
  </si>
  <si>
    <t>Otkenbayeva  Saltanat</t>
  </si>
  <si>
    <t>Өткенбаева  Салтанат  Қайратқызы</t>
  </si>
  <si>
    <t>030728601625</t>
  </si>
  <si>
    <t>203</t>
  </si>
  <si>
    <t>Панабек  Ақзере  Азаматқызына</t>
  </si>
  <si>
    <t>Panabek  Akzere</t>
  </si>
  <si>
    <t>Панабек  Ақзере  Азаматқызы</t>
  </si>
  <si>
    <t>040707601986</t>
  </si>
  <si>
    <t>157</t>
  </si>
  <si>
    <t>Пердебаева  Ардақ  Азатқызына</t>
  </si>
  <si>
    <t>Perdebayeva  Ardak</t>
  </si>
  <si>
    <t>Пердебаева  Ардақ  Азатқызы</t>
  </si>
  <si>
    <t>040407600287</t>
  </si>
  <si>
    <t>73</t>
  </si>
  <si>
    <t>Пердебаева  Индира  Мирасқызына</t>
  </si>
  <si>
    <t>Perdebayeva  Indira</t>
  </si>
  <si>
    <t>Пердебаева  Индира  Мирасқызы</t>
  </si>
  <si>
    <t>040712600873</t>
  </si>
  <si>
    <t>74</t>
  </si>
  <si>
    <t>Пердебай  Гүлназым  Анарбайқызына</t>
  </si>
  <si>
    <t>Perdebay  Gulnazym</t>
  </si>
  <si>
    <t>Пердебай  Гүлназым  Анарбайқызы</t>
  </si>
  <si>
    <t>040627600510</t>
  </si>
  <si>
    <t>Помаранова  Наталья  Геннадьевнаға</t>
  </si>
  <si>
    <t>Pomaranova  Natalya</t>
  </si>
  <si>
    <t>Помарановой  Наталье  Геннадьевне</t>
  </si>
  <si>
    <t>031231650664</t>
  </si>
  <si>
    <t>76</t>
  </si>
  <si>
    <t>Райимбек  Жанерке  Пулотқызына</t>
  </si>
  <si>
    <t>Raiimbek  Zhanerke</t>
  </si>
  <si>
    <t>Райимбек  Жанерке  Пулотқызы</t>
  </si>
  <si>
    <t>031124601327</t>
  </si>
  <si>
    <t>77</t>
  </si>
  <si>
    <t>Раматулла  Арайлым  Әбибуллақызына</t>
  </si>
  <si>
    <t>Ramatulla  Arailym</t>
  </si>
  <si>
    <t>Раматулла  Арайлым  Әбибуллақызы</t>
  </si>
  <si>
    <t>040208600146</t>
  </si>
  <si>
    <t>243</t>
  </si>
  <si>
    <t>Рахман  Назерке  Еркінбекқызына</t>
  </si>
  <si>
    <t>Rakhman  Nazerke</t>
  </si>
  <si>
    <t>Рахман  Назерке  Еркінбекқызы</t>
  </si>
  <si>
    <t>031029601432</t>
  </si>
  <si>
    <t>113</t>
  </si>
  <si>
    <t>Рыскулова Гулназа Фархадқызына</t>
  </si>
  <si>
    <t>Ryskulova Gulnaza</t>
  </si>
  <si>
    <t>Рыскулова Гулназа Фархадқызы</t>
  </si>
  <si>
    <t>021108600439</t>
  </si>
  <si>
    <t>249</t>
  </si>
  <si>
    <t>Сағындық  Мөлдір  Сапаралықызына</t>
  </si>
  <si>
    <t>Sagyndyk  Moldir</t>
  </si>
  <si>
    <t>Сағындық  Мөлдір  Сапаралықызы</t>
  </si>
  <si>
    <t>040114601619</t>
  </si>
  <si>
    <t>47</t>
  </si>
  <si>
    <t>Сағындық  Сандуғаш  Ерболатқызына</t>
  </si>
  <si>
    <t>Sagyndyk  Sandugash</t>
  </si>
  <si>
    <t>Сағындық  Сандуғаш  Ерболатқызы</t>
  </si>
  <si>
    <t>040314600648</t>
  </si>
  <si>
    <t>Саидмурадова  Мафтуна  Алишеровнаға</t>
  </si>
  <si>
    <t>Saidmuradova  Maftuna</t>
  </si>
  <si>
    <t>Саидмурадовой  Мафтуне  Алишеровне</t>
  </si>
  <si>
    <t>030516600057</t>
  </si>
  <si>
    <t>246</t>
  </si>
  <si>
    <t>Сайлаубек  Мерей  Жамбылқызына</t>
  </si>
  <si>
    <t>Sailaubek  Merey</t>
  </si>
  <si>
    <t>Сайлаубек  Мерей  Жамбылқызы</t>
  </si>
  <si>
    <t>031129600326</t>
  </si>
  <si>
    <t>78</t>
  </si>
  <si>
    <t>Салхан  Ардақ  Талғатқызына</t>
  </si>
  <si>
    <t>Salkhan  Ardak</t>
  </si>
  <si>
    <t>Салхан  Ардақ  Талғатқызы</t>
  </si>
  <si>
    <t>040618600769</t>
  </si>
  <si>
    <t>252</t>
  </si>
  <si>
    <t>Сатыбалды  Әсем  Маратқызына</t>
  </si>
  <si>
    <t>Satybaldy  Assem</t>
  </si>
  <si>
    <t>Сатыбалды  Әсем  Маратқызы</t>
  </si>
  <si>
    <t>040212601205</t>
  </si>
  <si>
    <t>253</t>
  </si>
  <si>
    <t>Сауран  Саят  Нурсултанулына</t>
  </si>
  <si>
    <t>Sauran  Sayat</t>
  </si>
  <si>
    <t>Сауран  Саяту  Нурсултанулы</t>
  </si>
  <si>
    <t>040605501887</t>
  </si>
  <si>
    <t>70</t>
  </si>
  <si>
    <t>Сейтмахан  Әл-фараби  Нұрмаханұлына</t>
  </si>
  <si>
    <t>Seitmahan  Al-farabi</t>
  </si>
  <si>
    <t>Сейтмахан  Әл-фараби  Нұрмаханұлы</t>
  </si>
  <si>
    <t>030320500474</t>
  </si>
  <si>
    <t>138</t>
  </si>
  <si>
    <t>Сәбит  Мәлика  Қуанышқызына</t>
  </si>
  <si>
    <t>Sabit  Malika</t>
  </si>
  <si>
    <t>Сәбит  Мәлика  Қуанышқызы</t>
  </si>
  <si>
    <t>040110650714</t>
  </si>
  <si>
    <t>258</t>
  </si>
  <si>
    <t>Смадиярова  Жансая  Казыбекқызына</t>
  </si>
  <si>
    <t>Smadiyarova  Zhansaya</t>
  </si>
  <si>
    <t>Смадиярова  Жансая  Казыбекқызы</t>
  </si>
  <si>
    <t>040104600844</t>
  </si>
  <si>
    <t>Советова  Ажар  Еркебұланқызына</t>
  </si>
  <si>
    <t>Sovetova  Azhar</t>
  </si>
  <si>
    <t>Советова  Ажар  Еркебұланқызы</t>
  </si>
  <si>
    <t>040103650092</t>
  </si>
  <si>
    <t>80</t>
  </si>
  <si>
    <t>Советхан  Айдос  Бауржанұлына</t>
  </si>
  <si>
    <t>Sovetkhan  Aidos</t>
  </si>
  <si>
    <t>Советхан  Айдос  Бауржанұлы</t>
  </si>
  <si>
    <t>031203501419</t>
  </si>
  <si>
    <t>Сугурченова  Айя  Нурлановнаға</t>
  </si>
  <si>
    <t>Sugurchenova  Aiya</t>
  </si>
  <si>
    <t>Сугурченовой  Айе  Нурлановне</t>
  </si>
  <si>
    <t>031123650954</t>
  </si>
  <si>
    <t>133</t>
  </si>
  <si>
    <t>Суйнбай  Мөлдір  Муратқызына</t>
  </si>
  <si>
    <t>Suinbay  Moldir</t>
  </si>
  <si>
    <t>Суйнбай  Мөлдір  Муратқызы</t>
  </si>
  <si>
    <t>040409601672</t>
  </si>
  <si>
    <t>81</t>
  </si>
  <si>
    <t>Сулайманова  Лайло  Анварқызына</t>
  </si>
  <si>
    <t>Sulaimanova  Lailo</t>
  </si>
  <si>
    <t>Сулайманова  Лайло  Анварқызы</t>
  </si>
  <si>
    <t>040410600759</t>
  </si>
  <si>
    <t>82</t>
  </si>
  <si>
    <t>Султанбаева  Гулбану  Сериковнаға</t>
  </si>
  <si>
    <t>Sultanbayeva  Gulbanu</t>
  </si>
  <si>
    <t>Султанбаевой  Гулбану  Сериковне</t>
  </si>
  <si>
    <t>040730651056</t>
  </si>
  <si>
    <t>83</t>
  </si>
  <si>
    <t>Сұлтанбекова  Айнұр  Дастанқызына</t>
  </si>
  <si>
    <t>Sultanbekova  Ainur</t>
  </si>
  <si>
    <t>Сұлтанбекова  Айнұр  Дастанқызы</t>
  </si>
  <si>
    <t>030710601489</t>
  </si>
  <si>
    <t>84</t>
  </si>
  <si>
    <t>Сұлтанғалиева  Айдана  Молдаханқызына</t>
  </si>
  <si>
    <t>Sultangaliyeva  Aidana</t>
  </si>
  <si>
    <t>Сұлтанғалиева  Айдана  Молдаханқызы</t>
  </si>
  <si>
    <t>031213650170</t>
  </si>
  <si>
    <t>Таңат  Аяжан  Аяғанқызына</t>
  </si>
  <si>
    <t>Tanat  Ayazhan</t>
  </si>
  <si>
    <t>Таңат  Аяжан  Аяғанқызы</t>
  </si>
  <si>
    <t>040618650396</t>
  </si>
  <si>
    <t>266</t>
  </si>
  <si>
    <t>Ташмаханбет  Сезім  Әсілқызына</t>
  </si>
  <si>
    <t>Tashmakhanbet  Sezim</t>
  </si>
  <si>
    <t>Ташмаханбет  Сезім  Әсілқызы</t>
  </si>
  <si>
    <t>041203600677</t>
  </si>
  <si>
    <t>Темірәлиева  Нұрай  Сабыралиқызына</t>
  </si>
  <si>
    <t>Temiraliyeva  Nuray</t>
  </si>
  <si>
    <t>Темірәлиева  Нұрай  Сабыралиқызы</t>
  </si>
  <si>
    <t>040420600169</t>
  </si>
  <si>
    <t>90</t>
  </si>
  <si>
    <t>Тулебаева  Райхана  Максатовнаға</t>
  </si>
  <si>
    <t>Tulebayeva  Raikhana</t>
  </si>
  <si>
    <t>Тулебаевой  Райхане  Максатовне</t>
  </si>
  <si>
    <t>040321601456</t>
  </si>
  <si>
    <t>Турдикулова  Комила  Бахтиёровнага</t>
  </si>
  <si>
    <t>Turdikulova  Komila</t>
  </si>
  <si>
    <t>Турдикуловой  Комиле  Бахтиёровне</t>
  </si>
  <si>
    <t>040110601141</t>
  </si>
  <si>
    <t>Тұрсынбаева  Мөлдір  Жамбылқызына</t>
  </si>
  <si>
    <t>Tursynbayeva  Moldir</t>
  </si>
  <si>
    <t>Тұрсынбаева  Мөлдір  Жамбылқызы</t>
  </si>
  <si>
    <t>040113600171</t>
  </si>
  <si>
    <t>91</t>
  </si>
  <si>
    <t>Тұрсынбай  Ғани  Даниярұлына</t>
  </si>
  <si>
    <t>Tursynbay  Gani</t>
  </si>
  <si>
    <t>Тұрсынбай  Ғани  Даниярұлы</t>
  </si>
  <si>
    <t>040612500463</t>
  </si>
  <si>
    <t>42</t>
  </si>
  <si>
    <t>Узбекбаева  Балжанай  Жамбул қизина</t>
  </si>
  <si>
    <t>Uzbekbayeva  Balzhanay</t>
  </si>
  <si>
    <t>Узбекбаева  Балжанай  Жамбул қизи</t>
  </si>
  <si>
    <t>040415600578</t>
  </si>
  <si>
    <t>92</t>
  </si>
  <si>
    <t>Узбекова  Нигора  Исламханқызына</t>
  </si>
  <si>
    <t>Uzbekova  Nigora</t>
  </si>
  <si>
    <t>Узбекова  Нигора  Исламханқызы</t>
  </si>
  <si>
    <t>030606600752</t>
  </si>
  <si>
    <t>93</t>
  </si>
  <si>
    <t>Умирбекова  Сабина  Бахтжановнаға</t>
  </si>
  <si>
    <t>Umirbekova  Sabina</t>
  </si>
  <si>
    <t>Умирбековой  Сабине  Бахтжановне</t>
  </si>
  <si>
    <t>040530600922</t>
  </si>
  <si>
    <t>44</t>
  </si>
  <si>
    <t>Уролова  Мухлиса  Баходир кизина</t>
  </si>
  <si>
    <t>Uralova  Mukhlissa</t>
  </si>
  <si>
    <t>Уроловой  Мухлисе  Баходир кизи</t>
  </si>
  <si>
    <t>040508600682</t>
  </si>
  <si>
    <t>112</t>
  </si>
  <si>
    <t>Үшкемпіров  Әкімжан  Маратұлына</t>
  </si>
  <si>
    <t>Ushkempirov  Akimzhan</t>
  </si>
  <si>
    <t>Үшкемпіров  Әкімжан  Маратұлы</t>
  </si>
  <si>
    <t>030825500777</t>
  </si>
  <si>
    <t>Фрибус  Виктор  Алексеевичке</t>
  </si>
  <si>
    <t>Fribus  Viktor</t>
  </si>
  <si>
    <t>Фрибус  Виктору  Алексеевичу</t>
  </si>
  <si>
    <t>960703352023</t>
  </si>
  <si>
    <t>260</t>
  </si>
  <si>
    <t>Хамитова  Дарига  Алибековнаға</t>
  </si>
  <si>
    <t>Khamitova  Dariga</t>
  </si>
  <si>
    <t>Хамитовой  Дариге  Алибековне</t>
  </si>
  <si>
    <t>041017650583</t>
  </si>
  <si>
    <t>271</t>
  </si>
  <si>
    <t>Хыдырбаева  Айнұр  Жарылғапқызына</t>
  </si>
  <si>
    <t>Khydyrbayeva  Ainur</t>
  </si>
  <si>
    <t>Хыдырбаева  Айнұр  Жарылғапқызы</t>
  </si>
  <si>
    <t>040322650935</t>
  </si>
  <si>
    <t>272</t>
  </si>
  <si>
    <t>Шайдарова  Алина  Мейіржанқызы</t>
  </si>
  <si>
    <t>Shaidarova  Alina</t>
  </si>
  <si>
    <t>041008650306</t>
  </si>
  <si>
    <t>273</t>
  </si>
  <si>
    <t>Шамуратова  Ақниет  Аманжолқызына</t>
  </si>
  <si>
    <t>Shamuratova  Akniyet</t>
  </si>
  <si>
    <t>Шамуратова  Ақниет  Аманжолқызы</t>
  </si>
  <si>
    <t>031021650335</t>
  </si>
  <si>
    <t>204</t>
  </si>
  <si>
    <t>Шерикбай  Даниял  Ертайұлына</t>
  </si>
  <si>
    <t>Sherikbay  Daniyal</t>
  </si>
  <si>
    <t>Шерикбай  Даниял  Ертайұлы</t>
  </si>
  <si>
    <t>040520550767</t>
  </si>
  <si>
    <t>274</t>
  </si>
  <si>
    <t>Ыбраймбек  Қымбат  Қуанышбекқызына</t>
  </si>
  <si>
    <t>Ybraimbek  Kymbat</t>
  </si>
  <si>
    <t>Ыбраймбек  Қымбат  Қуанышбекқызы</t>
  </si>
  <si>
    <t>040409601266</t>
  </si>
  <si>
    <t>Эргашова  Сабогул  Икрамжановнаға</t>
  </si>
  <si>
    <t>Ergashova  Sabogul</t>
  </si>
  <si>
    <t>Эргашовой  Сабогул  Икрамжановне</t>
  </si>
  <si>
    <t>030727601682</t>
  </si>
  <si>
    <t>96</t>
  </si>
  <si>
    <t>Юлдаш  Саидмурат  Халмурадулына</t>
  </si>
  <si>
    <t>Yuldash  Saidmurat</t>
  </si>
  <si>
    <t>Юлдаш  Саидмурату  Халмурадулы</t>
  </si>
  <si>
    <t>030520500858</t>
  </si>
  <si>
    <t>Yussantayeva  Rushana</t>
  </si>
  <si>
    <t>Юсантаевой Рушане  Бахтияровне</t>
  </si>
  <si>
    <t>030212601719</t>
  </si>
  <si>
    <t>Yakovlev  Stanislav</t>
  </si>
  <si>
    <t>Яковлеву  Станиславу  Юрьевичу</t>
  </si>
  <si>
    <t>020724551384</t>
  </si>
  <si>
    <t>189</t>
  </si>
  <si>
    <t>Yakshimetova  Ayaulym</t>
  </si>
  <si>
    <t>Якшиметова  Аяулым  Орынбасарқызы</t>
  </si>
  <si>
    <t>040706601667</t>
  </si>
  <si>
    <t xml:space="preserve"> Adilbekova  Sabina</t>
  </si>
  <si>
    <t>Жалгасбаева Улдай Ондасынкызы</t>
  </si>
  <si>
    <t>B018 Подготовка учителей иностранного языка</t>
  </si>
  <si>
    <t>6B01705 Иностранный язык: два иностранных языка (английский)</t>
  </si>
  <si>
    <t>00025721425</t>
  </si>
  <si>
    <t>2025-06-20 16:54</t>
  </si>
  <si>
    <t>Беркинбай Камила Султанқызы</t>
  </si>
  <si>
    <t>00025695825</t>
  </si>
  <si>
    <t>2025-06-20 16:46</t>
  </si>
  <si>
    <t>Белоусова Карина Денисовна</t>
  </si>
  <si>
    <t>00025695725</t>
  </si>
  <si>
    <t>2025-06-20 16:45</t>
  </si>
  <si>
    <t>Атамуратова Фариза Ергалиевна</t>
  </si>
  <si>
    <t>00025695625</t>
  </si>
  <si>
    <t>00025692325</t>
  </si>
  <si>
    <t>Сатыбалды Әсем Маратқызы</t>
  </si>
  <si>
    <t>00025692125</t>
  </si>
  <si>
    <t>2025-06-20 16:44</t>
  </si>
  <si>
    <t>Махатбек Әсем Сакенқызы</t>
  </si>
  <si>
    <t>00025690625</t>
  </si>
  <si>
    <t>Маратқызы Сәния</t>
  </si>
  <si>
    <t>00025690325</t>
  </si>
  <si>
    <t>Малик Аружан Адылханқызы</t>
  </si>
  <si>
    <t>00025690225</t>
  </si>
  <si>
    <t>Қордабаева Аяулым Төреханқызы</t>
  </si>
  <si>
    <t>00025690125</t>
  </si>
  <si>
    <t>00025690025</t>
  </si>
  <si>
    <t>Кадирханова Әселхан Болатбекқызы</t>
  </si>
  <si>
    <t>00025685625</t>
  </si>
  <si>
    <t>2025-06-20 16:42</t>
  </si>
  <si>
    <t>Кадиримбетова Жансая Кутлымураткызы</t>
  </si>
  <si>
    <t>00025685525</t>
  </si>
  <si>
    <t>Әшірбек Әзізби Қуанышұлы</t>
  </si>
  <si>
    <t>00025684725</t>
  </si>
  <si>
    <t>2025-06-20 16:41</t>
  </si>
  <si>
    <t>Якшиметова Аяулым Орынбасарқызы</t>
  </si>
  <si>
    <t>00025681725</t>
  </si>
  <si>
    <t>2025-06-20 16:40</t>
  </si>
  <si>
    <t>Яковлев Станислав Юрьевич</t>
  </si>
  <si>
    <t>00025681425</t>
  </si>
  <si>
    <t>Юсантаева Рушана Бахтияровна</t>
  </si>
  <si>
    <t>00025681225</t>
  </si>
  <si>
    <t>Юлдаш Саидмурат Халмурадулы</t>
  </si>
  <si>
    <t>00025680725</t>
  </si>
  <si>
    <t>Эргашова Сабогул Икрамжановна</t>
  </si>
  <si>
    <t>00025680525</t>
  </si>
  <si>
    <t>Ыбраймбек Қымбат Қуанышбекқызы</t>
  </si>
  <si>
    <t>00025680425</t>
  </si>
  <si>
    <t>Шерикбай Даниял Ертайұлы</t>
  </si>
  <si>
    <t>00025680325</t>
  </si>
  <si>
    <t>Шамуратова Ақниет Аманжолқызы</t>
  </si>
  <si>
    <t>00025680225</t>
  </si>
  <si>
    <t>Шайдарова Алина Мейіржанқызы</t>
  </si>
  <si>
    <t>00025680025</t>
  </si>
  <si>
    <t>Хыдырбаева Айнұр Жарылғапқызы</t>
  </si>
  <si>
    <t>00025679925</t>
  </si>
  <si>
    <t>Хамитова Дарига Алибековна</t>
  </si>
  <si>
    <t>00025677925</t>
  </si>
  <si>
    <t>2025-06-20 16:39</t>
  </si>
  <si>
    <t>Фрибус Виктор Алексеевич</t>
  </si>
  <si>
    <t>00025677825</t>
  </si>
  <si>
    <t>Үшкемпіров Әкімжан Маратұлы</t>
  </si>
  <si>
    <t>00025677625</t>
  </si>
  <si>
    <t>Уролова Мухлиса Баходир кизи</t>
  </si>
  <si>
    <t>00025677525</t>
  </si>
  <si>
    <t>Умирбекова Сабина Бахтжановна</t>
  </si>
  <si>
    <t>00025677425</t>
  </si>
  <si>
    <t>Узбекова Нигора Исламханқызы</t>
  </si>
  <si>
    <t>00025677325</t>
  </si>
  <si>
    <t>Узбекбаева Балжанай Жамбул қизи</t>
  </si>
  <si>
    <t>00025677225</t>
  </si>
  <si>
    <t>Тұрсынбай Ғани Даниярұлы</t>
  </si>
  <si>
    <t>00025677125</t>
  </si>
  <si>
    <t>Тұрсынбаева Мөлдір Жамбылқызы</t>
  </si>
  <si>
    <t>00025677025</t>
  </si>
  <si>
    <t>Турдикулова Комила Бахтиёровна</t>
  </si>
  <si>
    <t>00025671025</t>
  </si>
  <si>
    <t>2025-06-20 16:38</t>
  </si>
  <si>
    <t>Тулебаева Райхана Максатовна</t>
  </si>
  <si>
    <t>00025670125</t>
  </si>
  <si>
    <t>Темірәлиева Нұрай Сабыралиқызы</t>
  </si>
  <si>
    <t>00025669725</t>
  </si>
  <si>
    <t>Ташмаханбет Сезім Әсілқызы</t>
  </si>
  <si>
    <t>00025669625</t>
  </si>
  <si>
    <t>Таңат Аяжан Аяғанқызы</t>
  </si>
  <si>
    <t>00025669525</t>
  </si>
  <si>
    <t>Сұлтанғалиева Айдана Молдаханқызы</t>
  </si>
  <si>
    <t>00025669425</t>
  </si>
  <si>
    <t>Сұлтанбекова Айнұр Дастанқызы</t>
  </si>
  <si>
    <t>00025669325</t>
  </si>
  <si>
    <t>Султанбаева Гулбану Сериковна</t>
  </si>
  <si>
    <t>00025669225</t>
  </si>
  <si>
    <t>Сулайманова Лайло Анварқызы</t>
  </si>
  <si>
    <t>00025669125</t>
  </si>
  <si>
    <t>Суйнбай Мөлдір Муратқызы</t>
  </si>
  <si>
    <t>00025669025</t>
  </si>
  <si>
    <t>Сугурченова Айя Нурлановна</t>
  </si>
  <si>
    <t>00025668925</t>
  </si>
  <si>
    <t>Советхан Айдос Бауржанұлы</t>
  </si>
  <si>
    <t>00025668825</t>
  </si>
  <si>
    <t>Советова Ажар Еркебұланқызы</t>
  </si>
  <si>
    <t>00025668625</t>
  </si>
  <si>
    <t>Смадиярова Жансая Казыбекқызы</t>
  </si>
  <si>
    <t>00025668525</t>
  </si>
  <si>
    <t>Сәбит Мәлика Қуанышқызы</t>
  </si>
  <si>
    <t>00025668425</t>
  </si>
  <si>
    <t>Сейтмахан Әл-фараби Нұрмаханұлы</t>
  </si>
  <si>
    <t>00025668325</t>
  </si>
  <si>
    <t>2025-06-20 16:37</t>
  </si>
  <si>
    <t>Сауран Саят Нурсултанулы</t>
  </si>
  <si>
    <t>00025668225</t>
  </si>
  <si>
    <t>Салхан Ардақ Талғатқызы</t>
  </si>
  <si>
    <t>00025666425</t>
  </si>
  <si>
    <t>2025-06-20 16:36</t>
  </si>
  <si>
    <t>Сайлаубек Мерей Жамбылқызы</t>
  </si>
  <si>
    <t>00025666325</t>
  </si>
  <si>
    <t>Саидмурадова Мафтуна Алишеровна</t>
  </si>
  <si>
    <t>00025666225</t>
  </si>
  <si>
    <t>Сағындық Сандуғаш Ерболатқызы</t>
  </si>
  <si>
    <t>00025666125</t>
  </si>
  <si>
    <t>Сағындық Мөлдір Сапаралықызы</t>
  </si>
  <si>
    <t>00025666025</t>
  </si>
  <si>
    <t>Рахман Назерке Еркінбекқызы</t>
  </si>
  <si>
    <t>00025665925</t>
  </si>
  <si>
    <t>Раматулла Арайлым Әбибуллақызы</t>
  </si>
  <si>
    <t>00025665825</t>
  </si>
  <si>
    <t>Райимбек Жанерке Пулотқызы</t>
  </si>
  <si>
    <t>00025665725</t>
  </si>
  <si>
    <t>2025-06-20 16:35</t>
  </si>
  <si>
    <t>Помаранова Наталья Геннадьевна</t>
  </si>
  <si>
    <t>00025665625</t>
  </si>
  <si>
    <t>Пердебай Гүлназым Анарбайқызы</t>
  </si>
  <si>
    <t>00025665525</t>
  </si>
  <si>
    <t>Пердебаева Индира Мирасқызы</t>
  </si>
  <si>
    <t>00025665425</t>
  </si>
  <si>
    <t>Пердебаева Ардақ Азатқызы</t>
  </si>
  <si>
    <t>00025665325</t>
  </si>
  <si>
    <t>Панабек Ақзере Азаматқызы</t>
  </si>
  <si>
    <t>00025665225</t>
  </si>
  <si>
    <t>Өткенбаева Салтанат Қайратқызы</t>
  </si>
  <si>
    <t>00025665125</t>
  </si>
  <si>
    <t>Отарбай Фатима Ырғызбайқызы</t>
  </si>
  <si>
    <t>00025665025</t>
  </si>
  <si>
    <t>Орынбек Әсем Темірбекқызы</t>
  </si>
  <si>
    <t>00025664925</t>
  </si>
  <si>
    <t>Орынбасар Динара Қайратқызы</t>
  </si>
  <si>
    <t>00025664825</t>
  </si>
  <si>
    <t>Орналы Айжан Ғалымқызы</t>
  </si>
  <si>
    <t>00025664725</t>
  </si>
  <si>
    <t>Оралбекова Амина Дауреновна</t>
  </si>
  <si>
    <t>00025664625</t>
  </si>
  <si>
    <t>Оразымбетова Арайлым Савитқизы</t>
  </si>
  <si>
    <t>00025664525</t>
  </si>
  <si>
    <t>Оразбай Гауһар Асилқызы</t>
  </si>
  <si>
    <t>00025664425</t>
  </si>
  <si>
    <t>Омарова Даяна Алмасовна</t>
  </si>
  <si>
    <t>00025664325</t>
  </si>
  <si>
    <t>Олжабай Аякөз Асанқызы</t>
  </si>
  <si>
    <t>00025664225</t>
  </si>
  <si>
    <t>Озганбаева Меруерт Қуандыққызы</t>
  </si>
  <si>
    <t>00025664125</t>
  </si>
  <si>
    <t>Нұрқали Зере Қасымқызы</t>
  </si>
  <si>
    <t>00025659825</t>
  </si>
  <si>
    <t>2025-06-20 16:33</t>
  </si>
  <si>
    <t>Нұрғазы Шұғыла Еркінқызы</t>
  </si>
  <si>
    <t>00025659525</t>
  </si>
  <si>
    <t>Нурпеисова Анара Жаслановна</t>
  </si>
  <si>
    <t>00025659325</t>
  </si>
  <si>
    <t>Нурметова Дилноза Фахриддинқызы</t>
  </si>
  <si>
    <t>00025659025</t>
  </si>
  <si>
    <t>Нуркенова Айжан Бауыржанқызы</t>
  </si>
  <si>
    <t>00025658825</t>
  </si>
  <si>
    <t>Нематуллаева Дилруза Хайруллаевна</t>
  </si>
  <si>
    <t>00025658625</t>
  </si>
  <si>
    <t>Насирова Аружан Бауыржанкызы</t>
  </si>
  <si>
    <t>00025658425</t>
  </si>
  <si>
    <t>Мырзахмет Қанат Байдүйсенұлы</t>
  </si>
  <si>
    <t>00025658325</t>
  </si>
  <si>
    <t>Мырзатай Ақбота Сейтхалқызы</t>
  </si>
  <si>
    <t>00025658225</t>
  </si>
  <si>
    <t>Мырзағалиқызы Балжан</t>
  </si>
  <si>
    <t>00025658125</t>
  </si>
  <si>
    <t>Мырзабек Ақнұр Ерикқызы</t>
  </si>
  <si>
    <t>00025658025</t>
  </si>
  <si>
    <t>Мұхтар Аружан Абенқызы</t>
  </si>
  <si>
    <t>00025657925</t>
  </si>
  <si>
    <t>Муталипова Севара Хасанқызы</t>
  </si>
  <si>
    <t>00025657625</t>
  </si>
  <si>
    <t>Мусаев Нурислам Манасулы</t>
  </si>
  <si>
    <t>00025657425</t>
  </si>
  <si>
    <t>Мукушева Дарина Жоламановна</t>
  </si>
  <si>
    <t>00025657125</t>
  </si>
  <si>
    <t>Мукатаева Дияра Саябековна</t>
  </si>
  <si>
    <t>00025656925</t>
  </si>
  <si>
    <t>Молдан Ерсұлтан Қуанышұлы</t>
  </si>
  <si>
    <t>00025656725</t>
  </si>
  <si>
    <t>Мейрамова Жарқынай Бейбітқызы</t>
  </si>
  <si>
    <t>00025656425</t>
  </si>
  <si>
    <t>Малаева Арайлым Саяхатовна</t>
  </si>
  <si>
    <t>00025654925</t>
  </si>
  <si>
    <t>2025-06-20 16:31</t>
  </si>
  <si>
    <t>Майрамбаева Аида Прімханқызы</t>
  </si>
  <si>
    <t>00025654525</t>
  </si>
  <si>
    <t>Майлхан Айнұр</t>
  </si>
  <si>
    <t>00025654125</t>
  </si>
  <si>
    <t>Қыдыралиев Дархан Дүйсенәліұлы</t>
  </si>
  <si>
    <t>00025653825</t>
  </si>
  <si>
    <t>Құрманәлі Ақниет Ахметқызы</t>
  </si>
  <si>
    <t>00025651725</t>
  </si>
  <si>
    <t>Құрбанәлі Аяулым Ермекқызы</t>
  </si>
  <si>
    <t>00025651525</t>
  </si>
  <si>
    <t>Құрал Айдана Абдунасырқызы</t>
  </si>
  <si>
    <t>00025651325</t>
  </si>
  <si>
    <t>Құдайберген Айжан Ерболқызы</t>
  </si>
  <si>
    <t>00025651125</t>
  </si>
  <si>
    <t>Қуанышқалиқызы Таңшолпан</t>
  </si>
  <si>
    <t>00025650925</t>
  </si>
  <si>
    <t>Қоблан Аяжан Көмекқызы</t>
  </si>
  <si>
    <t>00025650825</t>
  </si>
  <si>
    <t>Қасымова Зарина Мейрамбайқызы</t>
  </si>
  <si>
    <t>00025650625</t>
  </si>
  <si>
    <t>Қалыбекова Махаббат Даниярқызы</t>
  </si>
  <si>
    <t>00025650525</t>
  </si>
  <si>
    <t>Қази Рамазан Елубайұлы</t>
  </si>
  <si>
    <t>00025650325</t>
  </si>
  <si>
    <t>Қабыл Зейнеп Нұрмұханбетқызы</t>
  </si>
  <si>
    <t>00025649825</t>
  </si>
  <si>
    <t>2025-06-20 16:30</t>
  </si>
  <si>
    <t>Куралбай Дана Оралбекқызы</t>
  </si>
  <si>
    <t>00025649625</t>
  </si>
  <si>
    <t>Клёнова Валерия Владиславовна</t>
  </si>
  <si>
    <t>00025649525</t>
  </si>
  <si>
    <t>Кенжебай Айдана Ерболатқызы</t>
  </si>
  <si>
    <t>00025649425</t>
  </si>
  <si>
    <t>Кенесбаева Назерке Суюндыкқызы</t>
  </si>
  <si>
    <t>00025649325</t>
  </si>
  <si>
    <t>Кенесбаев Нуржан Полатұлы</t>
  </si>
  <si>
    <t>00025649225</t>
  </si>
  <si>
    <t>Кенес Ақбаян Ермекқызы</t>
  </si>
  <si>
    <t>00025649025</t>
  </si>
  <si>
    <t>Кемелбекова Камила Аханқызы</t>
  </si>
  <si>
    <t>00025648825</t>
  </si>
  <si>
    <t>Кемал Балжан Ерболқызы</t>
  </si>
  <si>
    <t>00025648725</t>
  </si>
  <si>
    <t>Келдібек Аяулым Нұрланқызы</t>
  </si>
  <si>
    <t>00025648625</t>
  </si>
  <si>
    <t>Картабаева Асель Жамбылбековна</t>
  </si>
  <si>
    <t>00025648525</t>
  </si>
  <si>
    <t>Каржаубаева Жібек Сайлауқызы</t>
  </si>
  <si>
    <t>00025648425</t>
  </si>
  <si>
    <t>Караманова Гүлжанат Парахатқызы</t>
  </si>
  <si>
    <t>00025648325</t>
  </si>
  <si>
    <t>Исманова Нұрайым Ержанқызы</t>
  </si>
  <si>
    <t>00025648125</t>
  </si>
  <si>
    <t>2025-06-20 16:28</t>
  </si>
  <si>
    <t>Исламхан Дариға Асқарқызы</t>
  </si>
  <si>
    <t>00025647925</t>
  </si>
  <si>
    <t>Исламбекова Меруерт Нурлановна</t>
  </si>
  <si>
    <t>00025647725</t>
  </si>
  <si>
    <t>Исламбай Ұлбосын Бахитқызы</t>
  </si>
  <si>
    <t>00025647425</t>
  </si>
  <si>
    <t>Иброхимова Айнура Адхам кизи</t>
  </si>
  <si>
    <t>00025646325</t>
  </si>
  <si>
    <t>2025-06-20 16:27</t>
  </si>
  <si>
    <t>Жылқаман Зайна Алтынбекқызы</t>
  </si>
  <si>
    <t>00025646225</t>
  </si>
  <si>
    <t>Жулдызбек Нұрай</t>
  </si>
  <si>
    <t>00025646025</t>
  </si>
  <si>
    <t>Жорақұл Сымбат Бекмырзақызы</t>
  </si>
  <si>
    <t>00025645925</t>
  </si>
  <si>
    <t>Жолдасбекова Дильназ Қанатқызы</t>
  </si>
  <si>
    <t>00025645725</t>
  </si>
  <si>
    <t>Жанжигитова Жазира Тынысбеккызы</t>
  </si>
  <si>
    <t>00025642725</t>
  </si>
  <si>
    <t>2025-06-20 16:26</t>
  </si>
  <si>
    <t>Жанабек Аружан Ерболқызы</t>
  </si>
  <si>
    <t>00025642325</t>
  </si>
  <si>
    <t>Естибай Аружан Каржаубайқызы</t>
  </si>
  <si>
    <t>00025642225</t>
  </si>
  <si>
    <t>Еспенбет Ақтоты Муратбекқызы</t>
  </si>
  <si>
    <t>00025642125</t>
  </si>
  <si>
    <t>Есімкеева Аида Алтынбекқызы</t>
  </si>
  <si>
    <t>00025642025</t>
  </si>
  <si>
    <t>Есиркеп Меруерт Арманқызы</t>
  </si>
  <si>
    <t>00025641825</t>
  </si>
  <si>
    <t>Есиркеп Гулнар Дарменайқызы</t>
  </si>
  <si>
    <t>00025641725</t>
  </si>
  <si>
    <t>Есимхан Айсұлу Мырзаханқызы</t>
  </si>
  <si>
    <t>00025641525</t>
  </si>
  <si>
    <t>Есжанова Жасмин Сапаровна</t>
  </si>
  <si>
    <t>00025641225</t>
  </si>
  <si>
    <t>2025-06-20 16:25</t>
  </si>
  <si>
    <t>Ермекова Аружан Ержановна</t>
  </si>
  <si>
    <t>00025641125</t>
  </si>
  <si>
    <t>Ерқасымова Арайлым Габидуллақызы</t>
  </si>
  <si>
    <t>00025641025</t>
  </si>
  <si>
    <t>Ергеш Венера Маратқызы</t>
  </si>
  <si>
    <t>00025638825</t>
  </si>
  <si>
    <t>Ербосын Фариза Ерғалиқызы</t>
  </si>
  <si>
    <t>00025638125</t>
  </si>
  <si>
    <t>2025-06-20 16:24</t>
  </si>
  <si>
    <t>Ерболатқызы Роза</t>
  </si>
  <si>
    <t>00025637925</t>
  </si>
  <si>
    <t>Ерайдарқызы Алуа</t>
  </si>
  <si>
    <t>00025637625</t>
  </si>
  <si>
    <t>Елтай Зарина Мұхтарқызы</t>
  </si>
  <si>
    <t>00025637325</t>
  </si>
  <si>
    <t>Дүйсенбаева Мерей Усайынқызы</t>
  </si>
  <si>
    <t>00025637125</t>
  </si>
  <si>
    <t>Дүйсембай Қаракөз Дидарқызы</t>
  </si>
  <si>
    <t>00025637025</t>
  </si>
  <si>
    <t>Дусен Мөлдір Даулетқызы</t>
  </si>
  <si>
    <t>00025636925</t>
  </si>
  <si>
    <t>Дусебекова Асель Кенессаринкызы</t>
  </si>
  <si>
    <t>00025636725</t>
  </si>
  <si>
    <t>Досмағанбет Нұрдина Абзалқызы</t>
  </si>
  <si>
    <t>00025636525</t>
  </si>
  <si>
    <t>Ділдәбек Аружан Абдіғафурқызы</t>
  </si>
  <si>
    <t>00025636425</t>
  </si>
  <si>
    <t>Дәрібай Тоқжан Ерланқызы</t>
  </si>
  <si>
    <t>00025636225</t>
  </si>
  <si>
    <t>Даутаева Карина Даутайқызы</t>
  </si>
  <si>
    <t>00025636025</t>
  </si>
  <si>
    <t>Дарменова Света Берккызы</t>
  </si>
  <si>
    <t>00025635825</t>
  </si>
  <si>
    <t>Гиёева Нигина Бахрулаевна</t>
  </si>
  <si>
    <t>00025635625</t>
  </si>
  <si>
    <t>Гиеева Сабина Абдурасуловна</t>
  </si>
  <si>
    <t>00025635325</t>
  </si>
  <si>
    <t>Гайыпова Ұлбике Багтжанқызы</t>
  </si>
  <si>
    <t>00025635125</t>
  </si>
  <si>
    <t>Ғабиденқызы Ақжүніс</t>
  </si>
  <si>
    <t>00025635025</t>
  </si>
  <si>
    <t>Боранбай Дариға Манатқызы</t>
  </si>
  <si>
    <t>00025634925</t>
  </si>
  <si>
    <t>Болатбек Айгерім Болатбекқызы</t>
  </si>
  <si>
    <t>00025634825</t>
  </si>
  <si>
    <t>Бегенжан Айбек Екшенбайұлы</t>
  </si>
  <si>
    <t>00025633025</t>
  </si>
  <si>
    <t>2025-06-20 16:22</t>
  </si>
  <si>
    <t>Бахытқызы Аружан</t>
  </si>
  <si>
    <t>00025632925</t>
  </si>
  <si>
    <t>Бахраева Алтынай Дуйсембаевна</t>
  </si>
  <si>
    <t>00025632825</t>
  </si>
  <si>
    <t>Балтабаева Асель Садуакасовна</t>
  </si>
  <si>
    <t>00025631625</t>
  </si>
  <si>
    <t>Балтабаева Анель Садуакасовна</t>
  </si>
  <si>
    <t>00025631325</t>
  </si>
  <si>
    <t>Бақытбек Фарида Мұханбетжанқызы</t>
  </si>
  <si>
    <t>00025631225</t>
  </si>
  <si>
    <t>Ашықбек Гүлсезім Асылқызы</t>
  </si>
  <si>
    <t>00025628425</t>
  </si>
  <si>
    <t>2025-06-20 16:21</t>
  </si>
  <si>
    <t>Ашкенов Диас Даулетович</t>
  </si>
  <si>
    <t>00025628325</t>
  </si>
  <si>
    <t>Ахметова Ақерке Мухамедқызы</t>
  </si>
  <si>
    <t>00025628225</t>
  </si>
  <si>
    <t>Ахимаан Калиман</t>
  </si>
  <si>
    <t>00025628125</t>
  </si>
  <si>
    <t>Андеш Мерей Қайратқызы</t>
  </si>
  <si>
    <t>00025628025</t>
  </si>
  <si>
    <t>Амирхан Нариман Асетулы</t>
  </si>
  <si>
    <t>00025627925</t>
  </si>
  <si>
    <t>Аманкелді Аяулым Бақытқызы</t>
  </si>
  <si>
    <t>00025627825</t>
  </si>
  <si>
    <t>Аманжол Ақбота Оналбайқызы</t>
  </si>
  <si>
    <t>00025627725</t>
  </si>
  <si>
    <t>Аманбайқызы Ұлжалғас</t>
  </si>
  <si>
    <t>00025627525</t>
  </si>
  <si>
    <t>Аман Мөлдір Даниярқызы</t>
  </si>
  <si>
    <t>00025627325</t>
  </si>
  <si>
    <t>Аман Ақмарал Нұржанқызы</t>
  </si>
  <si>
    <t>00025627125</t>
  </si>
  <si>
    <t>Алшынбай Анель Нургалиқызы</t>
  </si>
  <si>
    <t>00025627025</t>
  </si>
  <si>
    <t>Алтынбеков Нұрмұхамед Айдынұлы</t>
  </si>
  <si>
    <t>00025626925</t>
  </si>
  <si>
    <t>Алтынбекқызы Айжан</t>
  </si>
  <si>
    <t>00025626525</t>
  </si>
  <si>
    <t>Алметова Анель Багланқызы</t>
  </si>
  <si>
    <t>00025624125</t>
  </si>
  <si>
    <t>2025-06-20 16:19</t>
  </si>
  <si>
    <t>Алмабек Нұрай Ғалымжанқызы</t>
  </si>
  <si>
    <t>00025623825</t>
  </si>
  <si>
    <t>Алмабай Айдана Бекжанқызы</t>
  </si>
  <si>
    <t>00025623425</t>
  </si>
  <si>
    <t>Аллаберган Айгерім Құралбекқызы</t>
  </si>
  <si>
    <t>00025623225</t>
  </si>
  <si>
    <t>Алғабас Жанат Бекмұханқызы</t>
  </si>
  <si>
    <t>00025623125</t>
  </si>
  <si>
    <t>Айтимбет Ақбота Берікқызы</t>
  </si>
  <si>
    <t>00025622725</t>
  </si>
  <si>
    <t>Айтбай Нұрман Базарбайұлы</t>
  </si>
  <si>
    <t>00025622625</t>
  </si>
  <si>
    <t>Айтбаева Балнур Қайратқызы</t>
  </si>
  <si>
    <t>00025622425</t>
  </si>
  <si>
    <t>Айдарова Данагуль Айдаровна</t>
  </si>
  <si>
    <t>00025622325</t>
  </si>
  <si>
    <t>Айдаралиева Зарина Маханбетқызы</t>
  </si>
  <si>
    <t>00025622225</t>
  </si>
  <si>
    <t>Адилбекова Сабина Нуркеновна</t>
  </si>
  <si>
    <t>00025622125</t>
  </si>
  <si>
    <t>Агибаева Мадина Амантаевна</t>
  </si>
  <si>
    <t>00025622025</t>
  </si>
  <si>
    <t>Абдыхахарова Аяжан Асхатқызы</t>
  </si>
  <si>
    <t>00025621925</t>
  </si>
  <si>
    <t>Абдыхай Сандуғаш Талғатқызы</t>
  </si>
  <si>
    <t>00025621825</t>
  </si>
  <si>
    <t>Абдурахманова Эъзоза Хасанқызы</t>
  </si>
  <si>
    <t>00025621725</t>
  </si>
  <si>
    <t>Абдуллади Арайлым Анасқызы</t>
  </si>
  <si>
    <t>00025621625</t>
  </si>
  <si>
    <t>Абдигаппаров Хаёт Сайдимамутович</t>
  </si>
  <si>
    <t>00025621525</t>
  </si>
  <si>
    <t>Абдиганиева Диёра Илхамжановна</t>
  </si>
  <si>
    <t>00025621425</t>
  </si>
  <si>
    <t>Абатбекова Фарангиз Атабековна</t>
  </si>
  <si>
    <t>00025621325</t>
  </si>
  <si>
    <t>2025-06-20 16:18</t>
  </si>
  <si>
    <t>Абайқызы Мейірім</t>
  </si>
  <si>
    <t>00025621225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</si>
</sst>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0"/>
      <name val="Arial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0" borderId="0" xfId="0" applyNumberFormat="1"/>
    <xf numFmtId="0" fontId="0" fillId="0" borderId="0" xfId="0" applyNumberFormat="1" applyFont="1" applyAlignment="1">
      <alignment horizontal="left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/>
    <xf numFmtId="0" fontId="1" fillId="0" borderId="0" xfId="1" applyFont="1" applyFill="1" applyBorder="1"/>
    <xf numFmtId="0" fontId="1" fillId="0" borderId="0" xfId="0" applyFont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bdrahmanovakg\AppData\Local\Temp\6e4e55c2-37ee-4d57-9856-f0ea43bf485b_&#1087;&#1088;&#1072;&#1074;&#1080;&#1083;&#1100;&#1085;&#1099;&#1081;.zip.85b\&#1064;&#1072;&#1073;&#1083;&#1086;&#1085;_4_&#1075;&#1086;&#1076;&#1072;_&#1048;&#1071;_&#1086;&#1095;&#1085;&#1086;&#1077;_20_06_2025_&#1089;&#1080;&#1085;&#1080;&#10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4"/>
    </sheetNames>
    <sheetDataSet>
      <sheetData sheetId="0"/>
      <sheetData sheetId="1">
        <row r="325">
          <cell r="A325" t="str">
            <v>Юсантаева  Рушана  Бахтияровнаға</v>
          </cell>
        </row>
        <row r="326">
          <cell r="A326" t="str">
            <v>Яковлев  Станислав  Юрьевичке</v>
          </cell>
        </row>
        <row r="328">
          <cell r="A328" t="str">
            <v>Якшиметова  Аяулым  Орынбасарқызына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0"/>
  <sheetViews>
    <sheetView topLeftCell="A166" workbookViewId="0">
      <selection activeCell="K22" sqref="K22"/>
    </sheetView>
  </sheetViews>
  <sheetFormatPr defaultRowHeight="15" x14ac:dyDescent="0.25"/>
  <cols>
    <col min="1" max="1" width="16" style="1" customWidth="1"/>
    <col min="2" max="2" width="15.140625" style="1" customWidth="1"/>
    <col min="3" max="3" width="9.140625" style="1"/>
    <col min="4" max="4" width="38.5703125" style="1" customWidth="1"/>
    <col min="5" max="5" width="27.7109375" style="1" customWidth="1"/>
    <col min="6" max="6" width="21.140625" style="1" customWidth="1"/>
    <col min="7" max="7" width="13.42578125" style="1" customWidth="1"/>
    <col min="8" max="8" width="13.140625" style="1" customWidth="1"/>
    <col min="9" max="10" width="9.140625" style="1"/>
    <col min="11" max="11" width="36.42578125" style="1" customWidth="1"/>
    <col min="12" max="12" width="24.140625" style="1" customWidth="1"/>
    <col min="13" max="13" width="29" style="1" customWidth="1"/>
    <col min="14" max="14" width="16.5703125" style="1" customWidth="1"/>
    <col min="15" max="15" width="23.28515625" style="1" customWidth="1"/>
    <col min="16" max="16" width="15.7109375" style="1" customWidth="1"/>
    <col min="17" max="17" width="33.42578125" style="1" customWidth="1"/>
    <col min="18" max="22" width="9.140625" style="1"/>
    <col min="23" max="23" width="12.42578125" style="1" customWidth="1"/>
    <col min="24" max="24" width="13.140625" style="1" bestFit="1" customWidth="1"/>
    <col min="25" max="16384" width="9.140625" style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4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3" t="s">
        <v>46</v>
      </c>
    </row>
    <row r="3" spans="1:24" s="11" customFormat="1" ht="15.75" x14ac:dyDescent="0.25">
      <c r="A3" s="7" t="s">
        <v>72</v>
      </c>
      <c r="B3" s="8" t="s">
        <v>57</v>
      </c>
      <c r="C3" s="7" t="s">
        <v>73</v>
      </c>
      <c r="D3" s="9" t="s">
        <v>74</v>
      </c>
      <c r="E3" s="10" t="s">
        <v>75</v>
      </c>
      <c r="F3" s="10" t="s">
        <v>76</v>
      </c>
      <c r="G3" s="10" t="s">
        <v>58</v>
      </c>
      <c r="H3" s="10" t="s">
        <v>77</v>
      </c>
      <c r="I3" s="10" t="s">
        <v>78</v>
      </c>
      <c r="J3" s="10" t="s">
        <v>79</v>
      </c>
      <c r="K3" s="10" t="s">
        <v>59</v>
      </c>
      <c r="L3" s="7" t="s">
        <v>72</v>
      </c>
      <c r="M3" s="10" t="s">
        <v>60</v>
      </c>
      <c r="N3" s="7" t="s">
        <v>72</v>
      </c>
      <c r="O3" s="8" t="s">
        <v>61</v>
      </c>
      <c r="P3" s="7" t="s">
        <v>73</v>
      </c>
      <c r="Q3" s="11" t="s">
        <v>80</v>
      </c>
      <c r="R3" s="10" t="s">
        <v>81</v>
      </c>
      <c r="S3" s="10" t="s">
        <v>82</v>
      </c>
      <c r="T3" s="8" t="s">
        <v>62</v>
      </c>
      <c r="U3" s="7"/>
      <c r="V3" s="7" t="s">
        <v>83</v>
      </c>
      <c r="W3" s="8" t="s">
        <v>64</v>
      </c>
      <c r="X3" s="9" t="s">
        <v>84</v>
      </c>
    </row>
    <row r="4" spans="1:24" s="11" customFormat="1" ht="15.75" x14ac:dyDescent="0.25">
      <c r="A4" s="7" t="s">
        <v>72</v>
      </c>
      <c r="B4" s="8" t="s">
        <v>57</v>
      </c>
      <c r="C4" s="7" t="s">
        <v>69</v>
      </c>
      <c r="D4" s="9" t="s">
        <v>85</v>
      </c>
      <c r="E4" s="10" t="s">
        <v>75</v>
      </c>
      <c r="F4" s="10" t="s">
        <v>76</v>
      </c>
      <c r="G4" s="10" t="s">
        <v>58</v>
      </c>
      <c r="H4" s="10" t="s">
        <v>86</v>
      </c>
      <c r="I4" s="10" t="s">
        <v>78</v>
      </c>
      <c r="J4" s="10" t="s">
        <v>79</v>
      </c>
      <c r="K4" s="10" t="s">
        <v>59</v>
      </c>
      <c r="L4" s="7" t="s">
        <v>72</v>
      </c>
      <c r="M4" s="10" t="s">
        <v>60</v>
      </c>
      <c r="N4" s="7" t="s">
        <v>72</v>
      </c>
      <c r="O4" s="8" t="s">
        <v>61</v>
      </c>
      <c r="P4" s="7" t="s">
        <v>69</v>
      </c>
      <c r="Q4" s="11" t="s">
        <v>87</v>
      </c>
      <c r="R4" s="10" t="s">
        <v>81</v>
      </c>
      <c r="S4" s="10" t="s">
        <v>82</v>
      </c>
      <c r="T4" s="8" t="s">
        <v>62</v>
      </c>
      <c r="U4" s="7"/>
      <c r="V4" s="7" t="s">
        <v>83</v>
      </c>
      <c r="W4" s="8" t="s">
        <v>64</v>
      </c>
      <c r="X4" s="9" t="s">
        <v>88</v>
      </c>
    </row>
    <row r="5" spans="1:24" s="11" customFormat="1" ht="15.75" x14ac:dyDescent="0.25">
      <c r="A5" s="7" t="s">
        <v>72</v>
      </c>
      <c r="B5" s="8" t="s">
        <v>57</v>
      </c>
      <c r="C5" s="7" t="s">
        <v>89</v>
      </c>
      <c r="D5" s="9" t="s">
        <v>90</v>
      </c>
      <c r="E5" s="10" t="s">
        <v>75</v>
      </c>
      <c r="F5" s="10" t="s">
        <v>76</v>
      </c>
      <c r="G5" s="10" t="s">
        <v>58</v>
      </c>
      <c r="H5" s="10" t="s">
        <v>91</v>
      </c>
      <c r="I5" s="10" t="s">
        <v>78</v>
      </c>
      <c r="J5" s="10" t="s">
        <v>79</v>
      </c>
      <c r="K5" s="10" t="s">
        <v>59</v>
      </c>
      <c r="L5" s="7" t="s">
        <v>72</v>
      </c>
      <c r="M5" s="10" t="s">
        <v>60</v>
      </c>
      <c r="N5" s="7" t="s">
        <v>72</v>
      </c>
      <c r="O5" s="8" t="s">
        <v>61</v>
      </c>
      <c r="P5" s="7" t="s">
        <v>89</v>
      </c>
      <c r="Q5" s="11" t="s">
        <v>92</v>
      </c>
      <c r="R5" s="10" t="s">
        <v>81</v>
      </c>
      <c r="S5" s="10" t="s">
        <v>82</v>
      </c>
      <c r="T5" s="8" t="s">
        <v>62</v>
      </c>
      <c r="U5" s="7"/>
      <c r="V5" s="7" t="s">
        <v>83</v>
      </c>
      <c r="W5" s="8" t="s">
        <v>64</v>
      </c>
      <c r="X5" s="9" t="s">
        <v>93</v>
      </c>
    </row>
    <row r="6" spans="1:24" s="11" customFormat="1" ht="15.75" x14ac:dyDescent="0.25">
      <c r="A6" s="7" t="s">
        <v>72</v>
      </c>
      <c r="B6" s="8" t="s">
        <v>57</v>
      </c>
      <c r="C6" s="7" t="s">
        <v>94</v>
      </c>
      <c r="D6" s="9" t="s">
        <v>95</v>
      </c>
      <c r="E6" s="10" t="s">
        <v>75</v>
      </c>
      <c r="F6" s="10" t="s">
        <v>76</v>
      </c>
      <c r="G6" s="10" t="s">
        <v>58</v>
      </c>
      <c r="H6" s="10" t="s">
        <v>96</v>
      </c>
      <c r="I6" s="10" t="s">
        <v>78</v>
      </c>
      <c r="J6" s="10" t="s">
        <v>79</v>
      </c>
      <c r="K6" s="10" t="s">
        <v>59</v>
      </c>
      <c r="L6" s="7" t="s">
        <v>72</v>
      </c>
      <c r="M6" s="10" t="s">
        <v>60</v>
      </c>
      <c r="N6" s="7" t="s">
        <v>72</v>
      </c>
      <c r="O6" s="8" t="s">
        <v>61</v>
      </c>
      <c r="P6" s="7" t="s">
        <v>94</v>
      </c>
      <c r="Q6" s="11" t="s">
        <v>97</v>
      </c>
      <c r="R6" s="10" t="s">
        <v>81</v>
      </c>
      <c r="S6" s="10" t="s">
        <v>82</v>
      </c>
      <c r="T6" s="8" t="s">
        <v>62</v>
      </c>
      <c r="U6" s="7"/>
      <c r="V6" s="7" t="s">
        <v>83</v>
      </c>
      <c r="W6" s="8" t="s">
        <v>64</v>
      </c>
      <c r="X6" s="9" t="s">
        <v>98</v>
      </c>
    </row>
    <row r="7" spans="1:24" s="11" customFormat="1" ht="15.75" x14ac:dyDescent="0.25">
      <c r="A7" s="7" t="s">
        <v>72</v>
      </c>
      <c r="B7" s="8" t="s">
        <v>57</v>
      </c>
      <c r="C7" s="7" t="s">
        <v>99</v>
      </c>
      <c r="D7" s="9" t="s">
        <v>100</v>
      </c>
      <c r="E7" s="10" t="s">
        <v>75</v>
      </c>
      <c r="F7" s="10" t="s">
        <v>76</v>
      </c>
      <c r="G7" s="10" t="s">
        <v>58</v>
      </c>
      <c r="H7" s="10" t="s">
        <v>101</v>
      </c>
      <c r="I7" s="10" t="s">
        <v>78</v>
      </c>
      <c r="J7" s="10" t="s">
        <v>79</v>
      </c>
      <c r="K7" s="10" t="s">
        <v>59</v>
      </c>
      <c r="L7" s="7" t="s">
        <v>72</v>
      </c>
      <c r="M7" s="10" t="s">
        <v>60</v>
      </c>
      <c r="N7" s="7" t="s">
        <v>72</v>
      </c>
      <c r="O7" s="8" t="s">
        <v>61</v>
      </c>
      <c r="P7" s="7" t="s">
        <v>99</v>
      </c>
      <c r="Q7" s="11" t="s">
        <v>102</v>
      </c>
      <c r="R7" s="10" t="s">
        <v>81</v>
      </c>
      <c r="S7" s="10" t="s">
        <v>82</v>
      </c>
      <c r="T7" s="8" t="s">
        <v>62</v>
      </c>
      <c r="U7" s="7"/>
      <c r="V7" s="7" t="s">
        <v>83</v>
      </c>
      <c r="W7" s="8" t="s">
        <v>64</v>
      </c>
      <c r="X7" s="9" t="s">
        <v>103</v>
      </c>
    </row>
    <row r="8" spans="1:24" s="11" customFormat="1" ht="15.75" x14ac:dyDescent="0.25">
      <c r="A8" s="7" t="s">
        <v>72</v>
      </c>
      <c r="B8" s="8" t="s">
        <v>57</v>
      </c>
      <c r="C8" s="7" t="s">
        <v>104</v>
      </c>
      <c r="D8" s="9" t="s">
        <v>105</v>
      </c>
      <c r="E8" s="10" t="s">
        <v>75</v>
      </c>
      <c r="F8" s="10" t="s">
        <v>76</v>
      </c>
      <c r="G8" s="10" t="s">
        <v>58</v>
      </c>
      <c r="H8" s="10" t="s">
        <v>106</v>
      </c>
      <c r="I8" s="10" t="s">
        <v>78</v>
      </c>
      <c r="J8" s="10" t="s">
        <v>79</v>
      </c>
      <c r="K8" s="10" t="s">
        <v>59</v>
      </c>
      <c r="L8" s="7" t="s">
        <v>72</v>
      </c>
      <c r="M8" s="10" t="s">
        <v>60</v>
      </c>
      <c r="N8" s="7" t="s">
        <v>72</v>
      </c>
      <c r="O8" s="8" t="s">
        <v>61</v>
      </c>
      <c r="P8" s="7" t="s">
        <v>104</v>
      </c>
      <c r="Q8" s="11" t="s">
        <v>107</v>
      </c>
      <c r="R8" s="10" t="s">
        <v>81</v>
      </c>
      <c r="S8" s="10" t="s">
        <v>82</v>
      </c>
      <c r="T8" s="8" t="s">
        <v>62</v>
      </c>
      <c r="U8" s="7"/>
      <c r="V8" s="7" t="s">
        <v>83</v>
      </c>
      <c r="W8" s="8" t="s">
        <v>64</v>
      </c>
      <c r="X8" s="9" t="s">
        <v>108</v>
      </c>
    </row>
    <row r="9" spans="1:24" s="11" customFormat="1" ht="15.75" x14ac:dyDescent="0.25">
      <c r="A9" s="7" t="s">
        <v>72</v>
      </c>
      <c r="B9" s="8" t="s">
        <v>57</v>
      </c>
      <c r="C9" s="7" t="s">
        <v>109</v>
      </c>
      <c r="D9" s="9" t="s">
        <v>110</v>
      </c>
      <c r="E9" s="10" t="s">
        <v>75</v>
      </c>
      <c r="F9" s="10" t="s">
        <v>76</v>
      </c>
      <c r="G9" s="10" t="s">
        <v>58</v>
      </c>
      <c r="H9" s="10" t="s">
        <v>111</v>
      </c>
      <c r="I9" s="10" t="s">
        <v>78</v>
      </c>
      <c r="J9" s="10" t="s">
        <v>79</v>
      </c>
      <c r="K9" s="10" t="s">
        <v>59</v>
      </c>
      <c r="L9" s="7" t="s">
        <v>72</v>
      </c>
      <c r="M9" s="10" t="s">
        <v>60</v>
      </c>
      <c r="N9" s="7" t="s">
        <v>72</v>
      </c>
      <c r="O9" s="8" t="s">
        <v>61</v>
      </c>
      <c r="P9" s="7" t="s">
        <v>109</v>
      </c>
      <c r="Q9" s="11" t="s">
        <v>112</v>
      </c>
      <c r="R9" s="10" t="s">
        <v>81</v>
      </c>
      <c r="S9" s="10" t="s">
        <v>82</v>
      </c>
      <c r="T9" s="8" t="s">
        <v>62</v>
      </c>
      <c r="U9" s="7"/>
      <c r="V9" s="7" t="s">
        <v>83</v>
      </c>
      <c r="W9" s="8" t="s">
        <v>64</v>
      </c>
      <c r="X9" s="9" t="s">
        <v>113</v>
      </c>
    </row>
    <row r="10" spans="1:24" s="11" customFormat="1" ht="15.75" x14ac:dyDescent="0.25">
      <c r="A10" s="7" t="s">
        <v>72</v>
      </c>
      <c r="B10" s="8" t="s">
        <v>57</v>
      </c>
      <c r="C10" s="7" t="s">
        <v>114</v>
      </c>
      <c r="D10" s="9" t="s">
        <v>115</v>
      </c>
      <c r="E10" s="10" t="s">
        <v>75</v>
      </c>
      <c r="F10" s="10" t="s">
        <v>76</v>
      </c>
      <c r="G10" s="10" t="s">
        <v>58</v>
      </c>
      <c r="H10" s="10" t="s">
        <v>116</v>
      </c>
      <c r="I10" s="10" t="s">
        <v>78</v>
      </c>
      <c r="J10" s="10" t="s">
        <v>79</v>
      </c>
      <c r="K10" s="10" t="s">
        <v>59</v>
      </c>
      <c r="L10" s="7" t="s">
        <v>72</v>
      </c>
      <c r="M10" s="10" t="s">
        <v>60</v>
      </c>
      <c r="N10" s="7" t="s">
        <v>72</v>
      </c>
      <c r="O10" s="8" t="s">
        <v>61</v>
      </c>
      <c r="P10" s="7" t="s">
        <v>114</v>
      </c>
      <c r="Q10" s="11" t="s">
        <v>117</v>
      </c>
      <c r="R10" s="10" t="s">
        <v>81</v>
      </c>
      <c r="S10" s="10" t="s">
        <v>82</v>
      </c>
      <c r="T10" s="8" t="s">
        <v>62</v>
      </c>
      <c r="U10" s="7"/>
      <c r="V10" s="7" t="s">
        <v>83</v>
      </c>
      <c r="W10" s="8" t="s">
        <v>64</v>
      </c>
      <c r="X10" s="9" t="s">
        <v>118</v>
      </c>
    </row>
    <row r="11" spans="1:24" s="11" customFormat="1" ht="15.75" x14ac:dyDescent="0.25">
      <c r="A11" s="7" t="s">
        <v>72</v>
      </c>
      <c r="B11" s="8" t="s">
        <v>57</v>
      </c>
      <c r="C11" s="7" t="s">
        <v>119</v>
      </c>
      <c r="D11" s="9" t="s">
        <v>120</v>
      </c>
      <c r="E11" s="10" t="s">
        <v>75</v>
      </c>
      <c r="F11" s="10" t="s">
        <v>76</v>
      </c>
      <c r="G11" s="10" t="s">
        <v>58</v>
      </c>
      <c r="H11" s="10" t="s">
        <v>121</v>
      </c>
      <c r="I11" s="10" t="s">
        <v>78</v>
      </c>
      <c r="J11" s="10" t="s">
        <v>79</v>
      </c>
      <c r="K11" s="10" t="s">
        <v>59</v>
      </c>
      <c r="L11" s="7" t="s">
        <v>72</v>
      </c>
      <c r="M11" s="10" t="s">
        <v>60</v>
      </c>
      <c r="N11" s="7" t="s">
        <v>72</v>
      </c>
      <c r="O11" s="8" t="s">
        <v>61</v>
      </c>
      <c r="P11" s="7" t="s">
        <v>119</v>
      </c>
      <c r="Q11" s="11" t="s">
        <v>122</v>
      </c>
      <c r="R11" s="10" t="s">
        <v>81</v>
      </c>
      <c r="S11" s="10" t="s">
        <v>82</v>
      </c>
      <c r="T11" s="8" t="s">
        <v>62</v>
      </c>
      <c r="U11" s="7"/>
      <c r="V11" s="7" t="s">
        <v>83</v>
      </c>
      <c r="W11" s="8" t="s">
        <v>64</v>
      </c>
      <c r="X11" s="9" t="s">
        <v>123</v>
      </c>
    </row>
    <row r="12" spans="1:24" s="11" customFormat="1" ht="15.75" x14ac:dyDescent="0.25">
      <c r="A12" s="7" t="s">
        <v>72</v>
      </c>
      <c r="B12" s="8" t="s">
        <v>57</v>
      </c>
      <c r="C12" s="7" t="s">
        <v>68</v>
      </c>
      <c r="D12" s="9" t="s">
        <v>124</v>
      </c>
      <c r="E12" s="10" t="s">
        <v>75</v>
      </c>
      <c r="F12" s="10" t="s">
        <v>76</v>
      </c>
      <c r="G12" s="10" t="s">
        <v>58</v>
      </c>
      <c r="H12" s="10" t="s">
        <v>1033</v>
      </c>
      <c r="I12" s="10" t="s">
        <v>78</v>
      </c>
      <c r="J12" s="10" t="s">
        <v>79</v>
      </c>
      <c r="K12" s="10" t="s">
        <v>59</v>
      </c>
      <c r="L12" s="7" t="s">
        <v>72</v>
      </c>
      <c r="M12" s="10" t="s">
        <v>60</v>
      </c>
      <c r="N12" s="7" t="s">
        <v>72</v>
      </c>
      <c r="O12" s="8" t="s">
        <v>61</v>
      </c>
      <c r="P12" s="7" t="s">
        <v>68</v>
      </c>
      <c r="Q12" s="11" t="s">
        <v>125</v>
      </c>
      <c r="R12" s="10" t="s">
        <v>81</v>
      </c>
      <c r="S12" s="10" t="s">
        <v>82</v>
      </c>
      <c r="T12" s="8" t="s">
        <v>62</v>
      </c>
      <c r="U12" s="7"/>
      <c r="V12" s="7" t="s">
        <v>83</v>
      </c>
      <c r="W12" s="8" t="s">
        <v>64</v>
      </c>
      <c r="X12" s="9" t="s">
        <v>126</v>
      </c>
    </row>
    <row r="13" spans="1:24" s="11" customFormat="1" ht="15.75" x14ac:dyDescent="0.25">
      <c r="A13" s="7" t="s">
        <v>72</v>
      </c>
      <c r="B13" s="8" t="s">
        <v>57</v>
      </c>
      <c r="C13" s="7" t="s">
        <v>127</v>
      </c>
      <c r="D13" s="9" t="s">
        <v>128</v>
      </c>
      <c r="E13" s="10" t="s">
        <v>75</v>
      </c>
      <c r="F13" s="10" t="s">
        <v>76</v>
      </c>
      <c r="G13" s="10" t="s">
        <v>58</v>
      </c>
      <c r="H13" s="10" t="s">
        <v>129</v>
      </c>
      <c r="I13" s="10" t="s">
        <v>78</v>
      </c>
      <c r="J13" s="10" t="s">
        <v>79</v>
      </c>
      <c r="K13" s="10" t="s">
        <v>59</v>
      </c>
      <c r="L13" s="7" t="s">
        <v>72</v>
      </c>
      <c r="M13" s="10" t="s">
        <v>60</v>
      </c>
      <c r="N13" s="7" t="s">
        <v>72</v>
      </c>
      <c r="O13" s="8" t="s">
        <v>61</v>
      </c>
      <c r="P13" s="7" t="s">
        <v>127</v>
      </c>
      <c r="Q13" s="11" t="s">
        <v>130</v>
      </c>
      <c r="R13" s="10" t="s">
        <v>81</v>
      </c>
      <c r="S13" s="10" t="s">
        <v>82</v>
      </c>
      <c r="T13" s="8" t="s">
        <v>62</v>
      </c>
      <c r="U13" s="7"/>
      <c r="V13" s="7" t="s">
        <v>83</v>
      </c>
      <c r="W13" s="8" t="s">
        <v>64</v>
      </c>
      <c r="X13" s="9" t="s">
        <v>131</v>
      </c>
    </row>
    <row r="14" spans="1:24" s="11" customFormat="1" ht="15.75" x14ac:dyDescent="0.25">
      <c r="A14" s="7" t="s">
        <v>72</v>
      </c>
      <c r="B14" s="8" t="s">
        <v>57</v>
      </c>
      <c r="C14" s="7" t="s">
        <v>132</v>
      </c>
      <c r="D14" s="9" t="s">
        <v>133</v>
      </c>
      <c r="E14" s="10" t="s">
        <v>75</v>
      </c>
      <c r="F14" s="10" t="s">
        <v>76</v>
      </c>
      <c r="G14" s="10" t="s">
        <v>58</v>
      </c>
      <c r="H14" s="10" t="s">
        <v>134</v>
      </c>
      <c r="I14" s="10" t="s">
        <v>78</v>
      </c>
      <c r="J14" s="10" t="s">
        <v>79</v>
      </c>
      <c r="K14" s="10" t="s">
        <v>59</v>
      </c>
      <c r="L14" s="7" t="s">
        <v>72</v>
      </c>
      <c r="M14" s="10" t="s">
        <v>60</v>
      </c>
      <c r="N14" s="7" t="s">
        <v>72</v>
      </c>
      <c r="O14" s="8" t="s">
        <v>61</v>
      </c>
      <c r="P14" s="7" t="s">
        <v>132</v>
      </c>
      <c r="Q14" s="11" t="s">
        <v>135</v>
      </c>
      <c r="R14" s="10" t="s">
        <v>81</v>
      </c>
      <c r="S14" s="10" t="s">
        <v>82</v>
      </c>
      <c r="T14" s="8" t="s">
        <v>62</v>
      </c>
      <c r="U14" s="7"/>
      <c r="V14" s="7" t="s">
        <v>83</v>
      </c>
      <c r="W14" s="8" t="s">
        <v>64</v>
      </c>
      <c r="X14" s="9" t="s">
        <v>136</v>
      </c>
    </row>
    <row r="15" spans="1:24" s="11" customFormat="1" ht="15.75" x14ac:dyDescent="0.25">
      <c r="A15" s="7" t="s">
        <v>72</v>
      </c>
      <c r="B15" s="8" t="s">
        <v>57</v>
      </c>
      <c r="C15" s="7" t="s">
        <v>137</v>
      </c>
      <c r="D15" s="9" t="s">
        <v>138</v>
      </c>
      <c r="E15" s="10" t="s">
        <v>75</v>
      </c>
      <c r="F15" s="10" t="s">
        <v>76</v>
      </c>
      <c r="G15" s="10" t="s">
        <v>58</v>
      </c>
      <c r="H15" s="10" t="s">
        <v>139</v>
      </c>
      <c r="I15" s="10" t="s">
        <v>78</v>
      </c>
      <c r="J15" s="10" t="s">
        <v>79</v>
      </c>
      <c r="K15" s="10" t="s">
        <v>59</v>
      </c>
      <c r="L15" s="7" t="s">
        <v>72</v>
      </c>
      <c r="M15" s="10" t="s">
        <v>60</v>
      </c>
      <c r="N15" s="7" t="s">
        <v>72</v>
      </c>
      <c r="O15" s="8" t="s">
        <v>61</v>
      </c>
      <c r="P15" s="7" t="s">
        <v>137</v>
      </c>
      <c r="Q15" s="11" t="s">
        <v>140</v>
      </c>
      <c r="R15" s="10" t="s">
        <v>81</v>
      </c>
      <c r="S15" s="10" t="s">
        <v>82</v>
      </c>
      <c r="T15" s="8" t="s">
        <v>62</v>
      </c>
      <c r="U15" s="7"/>
      <c r="V15" s="7" t="s">
        <v>83</v>
      </c>
      <c r="W15" s="8" t="s">
        <v>64</v>
      </c>
      <c r="X15" s="9" t="s">
        <v>141</v>
      </c>
    </row>
    <row r="16" spans="1:24" s="11" customFormat="1" ht="15.75" x14ac:dyDescent="0.25">
      <c r="A16" s="7" t="s">
        <v>72</v>
      </c>
      <c r="B16" s="8" t="s">
        <v>57</v>
      </c>
      <c r="C16" s="7" t="s">
        <v>142</v>
      </c>
      <c r="D16" s="9" t="s">
        <v>143</v>
      </c>
      <c r="E16" s="10" t="s">
        <v>75</v>
      </c>
      <c r="F16" s="10" t="s">
        <v>76</v>
      </c>
      <c r="G16" s="10" t="s">
        <v>58</v>
      </c>
      <c r="H16" s="10" t="s">
        <v>144</v>
      </c>
      <c r="I16" s="10" t="s">
        <v>78</v>
      </c>
      <c r="J16" s="10" t="s">
        <v>79</v>
      </c>
      <c r="K16" s="10" t="s">
        <v>59</v>
      </c>
      <c r="L16" s="7" t="s">
        <v>72</v>
      </c>
      <c r="M16" s="10" t="s">
        <v>60</v>
      </c>
      <c r="N16" s="7" t="s">
        <v>72</v>
      </c>
      <c r="O16" s="8" t="s">
        <v>61</v>
      </c>
      <c r="P16" s="7" t="s">
        <v>142</v>
      </c>
      <c r="Q16" s="11" t="s">
        <v>145</v>
      </c>
      <c r="R16" s="10" t="s">
        <v>81</v>
      </c>
      <c r="S16" s="10" t="s">
        <v>82</v>
      </c>
      <c r="T16" s="8" t="s">
        <v>62</v>
      </c>
      <c r="U16" s="7"/>
      <c r="V16" s="7" t="s">
        <v>83</v>
      </c>
      <c r="W16" s="8" t="s">
        <v>64</v>
      </c>
      <c r="X16" s="9" t="s">
        <v>146</v>
      </c>
    </row>
    <row r="17" spans="1:24" s="11" customFormat="1" ht="15.75" x14ac:dyDescent="0.25">
      <c r="A17" s="7" t="s">
        <v>72</v>
      </c>
      <c r="B17" s="8" t="s">
        <v>57</v>
      </c>
      <c r="C17" s="7" t="s">
        <v>147</v>
      </c>
      <c r="D17" s="9" t="s">
        <v>148</v>
      </c>
      <c r="E17" s="10" t="s">
        <v>75</v>
      </c>
      <c r="F17" s="10" t="s">
        <v>76</v>
      </c>
      <c r="G17" s="10" t="s">
        <v>58</v>
      </c>
      <c r="H17" s="10" t="s">
        <v>149</v>
      </c>
      <c r="I17" s="10" t="s">
        <v>78</v>
      </c>
      <c r="J17" s="10" t="s">
        <v>79</v>
      </c>
      <c r="K17" s="10" t="s">
        <v>59</v>
      </c>
      <c r="L17" s="7" t="s">
        <v>72</v>
      </c>
      <c r="M17" s="10" t="s">
        <v>60</v>
      </c>
      <c r="N17" s="7" t="s">
        <v>72</v>
      </c>
      <c r="O17" s="8" t="s">
        <v>61</v>
      </c>
      <c r="P17" s="7" t="s">
        <v>147</v>
      </c>
      <c r="Q17" s="11" t="s">
        <v>150</v>
      </c>
      <c r="R17" s="10" t="s">
        <v>81</v>
      </c>
      <c r="S17" s="10" t="s">
        <v>82</v>
      </c>
      <c r="T17" s="8" t="s">
        <v>62</v>
      </c>
      <c r="U17" s="7"/>
      <c r="V17" s="7" t="s">
        <v>83</v>
      </c>
      <c r="W17" s="8" t="s">
        <v>64</v>
      </c>
      <c r="X17" s="9" t="s">
        <v>151</v>
      </c>
    </row>
    <row r="18" spans="1:24" s="11" customFormat="1" ht="15.75" x14ac:dyDescent="0.25">
      <c r="A18" s="7" t="s">
        <v>72</v>
      </c>
      <c r="B18" s="8" t="s">
        <v>57</v>
      </c>
      <c r="C18" s="7" t="s">
        <v>152</v>
      </c>
      <c r="D18" s="9" t="s">
        <v>153</v>
      </c>
      <c r="E18" s="10" t="s">
        <v>75</v>
      </c>
      <c r="F18" s="10" t="s">
        <v>76</v>
      </c>
      <c r="G18" s="10" t="s">
        <v>58</v>
      </c>
      <c r="H18" s="10" t="s">
        <v>154</v>
      </c>
      <c r="I18" s="10" t="s">
        <v>78</v>
      </c>
      <c r="J18" s="10" t="s">
        <v>79</v>
      </c>
      <c r="K18" s="10" t="s">
        <v>59</v>
      </c>
      <c r="L18" s="7" t="s">
        <v>72</v>
      </c>
      <c r="M18" s="10" t="s">
        <v>60</v>
      </c>
      <c r="N18" s="7" t="s">
        <v>72</v>
      </c>
      <c r="O18" s="8" t="s">
        <v>61</v>
      </c>
      <c r="P18" s="7" t="s">
        <v>152</v>
      </c>
      <c r="Q18" s="11" t="s">
        <v>155</v>
      </c>
      <c r="R18" s="10" t="s">
        <v>81</v>
      </c>
      <c r="S18" s="10" t="s">
        <v>82</v>
      </c>
      <c r="T18" s="8" t="s">
        <v>62</v>
      </c>
      <c r="U18" s="7"/>
      <c r="V18" s="7" t="s">
        <v>83</v>
      </c>
      <c r="W18" s="8" t="s">
        <v>64</v>
      </c>
      <c r="X18" s="9" t="s">
        <v>156</v>
      </c>
    </row>
    <row r="19" spans="1:24" s="11" customFormat="1" ht="15.75" x14ac:dyDescent="0.25">
      <c r="A19" s="7" t="s">
        <v>72</v>
      </c>
      <c r="B19" s="8" t="s">
        <v>57</v>
      </c>
      <c r="C19" s="7" t="s">
        <v>157</v>
      </c>
      <c r="D19" s="9" t="s">
        <v>158</v>
      </c>
      <c r="E19" s="10" t="s">
        <v>75</v>
      </c>
      <c r="F19" s="10" t="s">
        <v>76</v>
      </c>
      <c r="G19" s="10" t="s">
        <v>58</v>
      </c>
      <c r="H19" s="10" t="s">
        <v>159</v>
      </c>
      <c r="I19" s="10" t="s">
        <v>78</v>
      </c>
      <c r="J19" s="10" t="s">
        <v>79</v>
      </c>
      <c r="K19" s="10" t="s">
        <v>59</v>
      </c>
      <c r="L19" s="7" t="s">
        <v>72</v>
      </c>
      <c r="M19" s="10" t="s">
        <v>60</v>
      </c>
      <c r="N19" s="7" t="s">
        <v>72</v>
      </c>
      <c r="O19" s="8" t="s">
        <v>61</v>
      </c>
      <c r="P19" s="7" t="s">
        <v>157</v>
      </c>
      <c r="Q19" s="11" t="s">
        <v>160</v>
      </c>
      <c r="R19" s="10" t="s">
        <v>81</v>
      </c>
      <c r="S19" s="10" t="s">
        <v>82</v>
      </c>
      <c r="T19" s="8" t="s">
        <v>62</v>
      </c>
      <c r="U19" s="7"/>
      <c r="V19" s="7" t="s">
        <v>83</v>
      </c>
      <c r="W19" s="8" t="s">
        <v>64</v>
      </c>
      <c r="X19" s="9" t="s">
        <v>161</v>
      </c>
    </row>
    <row r="20" spans="1:24" s="11" customFormat="1" ht="15.75" x14ac:dyDescent="0.25">
      <c r="A20" s="7" t="s">
        <v>72</v>
      </c>
      <c r="B20" s="8" t="s">
        <v>57</v>
      </c>
      <c r="C20" s="7" t="s">
        <v>162</v>
      </c>
      <c r="D20" s="9" t="s">
        <v>163</v>
      </c>
      <c r="E20" s="10" t="s">
        <v>75</v>
      </c>
      <c r="F20" s="10" t="s">
        <v>76</v>
      </c>
      <c r="G20" s="10" t="s">
        <v>58</v>
      </c>
      <c r="H20" s="10" t="s">
        <v>164</v>
      </c>
      <c r="I20" s="10" t="s">
        <v>78</v>
      </c>
      <c r="J20" s="10" t="s">
        <v>79</v>
      </c>
      <c r="K20" s="10" t="s">
        <v>59</v>
      </c>
      <c r="L20" s="7" t="s">
        <v>72</v>
      </c>
      <c r="M20" s="10" t="s">
        <v>60</v>
      </c>
      <c r="N20" s="7" t="s">
        <v>72</v>
      </c>
      <c r="O20" s="8" t="s">
        <v>61</v>
      </c>
      <c r="P20" s="7" t="s">
        <v>162</v>
      </c>
      <c r="Q20" s="11" t="s">
        <v>165</v>
      </c>
      <c r="R20" s="10" t="s">
        <v>81</v>
      </c>
      <c r="S20" s="10" t="s">
        <v>82</v>
      </c>
      <c r="T20" s="8" t="s">
        <v>62</v>
      </c>
      <c r="U20" s="7"/>
      <c r="V20" s="7" t="s">
        <v>83</v>
      </c>
      <c r="W20" s="8" t="s">
        <v>64</v>
      </c>
      <c r="X20" s="9" t="s">
        <v>166</v>
      </c>
    </row>
    <row r="21" spans="1:24" s="11" customFormat="1" ht="15.75" x14ac:dyDescent="0.25">
      <c r="A21" s="7" t="s">
        <v>72</v>
      </c>
      <c r="B21" s="8" t="s">
        <v>57</v>
      </c>
      <c r="C21" s="7" t="s">
        <v>167</v>
      </c>
      <c r="D21" s="9" t="s">
        <v>168</v>
      </c>
      <c r="E21" s="10" t="s">
        <v>75</v>
      </c>
      <c r="F21" s="10" t="s">
        <v>76</v>
      </c>
      <c r="G21" s="10" t="s">
        <v>58</v>
      </c>
      <c r="H21" s="10" t="s">
        <v>169</v>
      </c>
      <c r="I21" s="10" t="s">
        <v>78</v>
      </c>
      <c r="J21" s="10" t="s">
        <v>79</v>
      </c>
      <c r="K21" s="10" t="s">
        <v>59</v>
      </c>
      <c r="L21" s="7" t="s">
        <v>72</v>
      </c>
      <c r="M21" s="10" t="s">
        <v>60</v>
      </c>
      <c r="N21" s="7" t="s">
        <v>72</v>
      </c>
      <c r="O21" s="8" t="s">
        <v>61</v>
      </c>
      <c r="P21" s="7" t="s">
        <v>167</v>
      </c>
      <c r="Q21" s="11" t="s">
        <v>170</v>
      </c>
      <c r="R21" s="10" t="s">
        <v>81</v>
      </c>
      <c r="S21" s="10" t="s">
        <v>82</v>
      </c>
      <c r="T21" s="8" t="s">
        <v>62</v>
      </c>
      <c r="U21" s="7"/>
      <c r="V21" s="7" t="s">
        <v>83</v>
      </c>
      <c r="W21" s="8" t="s">
        <v>64</v>
      </c>
      <c r="X21" s="9" t="s">
        <v>171</v>
      </c>
    </row>
    <row r="22" spans="1:24" s="11" customFormat="1" ht="15.75" x14ac:dyDescent="0.25">
      <c r="A22" s="7" t="s">
        <v>72</v>
      </c>
      <c r="B22" s="8" t="s">
        <v>57</v>
      </c>
      <c r="C22" s="7" t="s">
        <v>172</v>
      </c>
      <c r="D22" s="9" t="s">
        <v>173</v>
      </c>
      <c r="E22" s="10" t="s">
        <v>75</v>
      </c>
      <c r="F22" s="10" t="s">
        <v>76</v>
      </c>
      <c r="G22" s="10" t="s">
        <v>58</v>
      </c>
      <c r="H22" s="10" t="s">
        <v>174</v>
      </c>
      <c r="I22" s="10" t="s">
        <v>78</v>
      </c>
      <c r="J22" s="10" t="s">
        <v>79</v>
      </c>
      <c r="K22" s="10" t="s">
        <v>59</v>
      </c>
      <c r="L22" s="7" t="s">
        <v>72</v>
      </c>
      <c r="M22" s="10" t="s">
        <v>60</v>
      </c>
      <c r="N22" s="7" t="s">
        <v>72</v>
      </c>
      <c r="O22" s="8" t="s">
        <v>61</v>
      </c>
      <c r="P22" s="7" t="s">
        <v>172</v>
      </c>
      <c r="Q22" s="11" t="s">
        <v>175</v>
      </c>
      <c r="R22" s="10" t="s">
        <v>81</v>
      </c>
      <c r="S22" s="10" t="s">
        <v>82</v>
      </c>
      <c r="T22" s="8" t="s">
        <v>62</v>
      </c>
      <c r="U22" s="7"/>
      <c r="V22" s="7" t="s">
        <v>83</v>
      </c>
      <c r="W22" s="8" t="s">
        <v>64</v>
      </c>
      <c r="X22" s="9" t="s">
        <v>176</v>
      </c>
    </row>
    <row r="23" spans="1:24" s="11" customFormat="1" ht="15.75" x14ac:dyDescent="0.25">
      <c r="A23" s="7" t="s">
        <v>72</v>
      </c>
      <c r="B23" s="8" t="s">
        <v>57</v>
      </c>
      <c r="C23" s="7" t="s">
        <v>177</v>
      </c>
      <c r="D23" s="9" t="s">
        <v>178</v>
      </c>
      <c r="E23" s="10" t="s">
        <v>75</v>
      </c>
      <c r="F23" s="10" t="s">
        <v>76</v>
      </c>
      <c r="G23" s="10" t="s">
        <v>58</v>
      </c>
      <c r="H23" s="10" t="s">
        <v>179</v>
      </c>
      <c r="I23" s="10" t="s">
        <v>78</v>
      </c>
      <c r="J23" s="10" t="s">
        <v>79</v>
      </c>
      <c r="K23" s="10" t="s">
        <v>59</v>
      </c>
      <c r="L23" s="7" t="s">
        <v>72</v>
      </c>
      <c r="M23" s="10" t="s">
        <v>60</v>
      </c>
      <c r="N23" s="7" t="s">
        <v>72</v>
      </c>
      <c r="O23" s="8" t="s">
        <v>61</v>
      </c>
      <c r="P23" s="7" t="s">
        <v>177</v>
      </c>
      <c r="Q23" s="11" t="s">
        <v>180</v>
      </c>
      <c r="R23" s="10" t="s">
        <v>81</v>
      </c>
      <c r="S23" s="10" t="s">
        <v>82</v>
      </c>
      <c r="T23" s="8" t="s">
        <v>62</v>
      </c>
      <c r="U23" s="7"/>
      <c r="V23" s="7" t="s">
        <v>83</v>
      </c>
      <c r="W23" s="8" t="s">
        <v>64</v>
      </c>
      <c r="X23" s="9" t="s">
        <v>181</v>
      </c>
    </row>
    <row r="24" spans="1:24" s="11" customFormat="1" ht="15.75" x14ac:dyDescent="0.25">
      <c r="A24" s="7" t="s">
        <v>72</v>
      </c>
      <c r="B24" s="8" t="s">
        <v>57</v>
      </c>
      <c r="C24" s="7" t="s">
        <v>182</v>
      </c>
      <c r="D24" s="9" t="s">
        <v>183</v>
      </c>
      <c r="E24" s="10" t="s">
        <v>75</v>
      </c>
      <c r="F24" s="10" t="s">
        <v>76</v>
      </c>
      <c r="G24" s="10" t="s">
        <v>58</v>
      </c>
      <c r="H24" s="10" t="s">
        <v>184</v>
      </c>
      <c r="I24" s="10" t="s">
        <v>78</v>
      </c>
      <c r="J24" s="10" t="s">
        <v>79</v>
      </c>
      <c r="K24" s="10" t="s">
        <v>59</v>
      </c>
      <c r="L24" s="7" t="s">
        <v>72</v>
      </c>
      <c r="M24" s="10" t="s">
        <v>60</v>
      </c>
      <c r="N24" s="7" t="s">
        <v>72</v>
      </c>
      <c r="O24" s="8" t="s">
        <v>61</v>
      </c>
      <c r="P24" s="7" t="s">
        <v>182</v>
      </c>
      <c r="Q24" s="11" t="s">
        <v>185</v>
      </c>
      <c r="R24" s="10" t="s">
        <v>81</v>
      </c>
      <c r="S24" s="10" t="s">
        <v>82</v>
      </c>
      <c r="T24" s="8" t="s">
        <v>62</v>
      </c>
      <c r="U24" s="7"/>
      <c r="V24" s="7" t="s">
        <v>83</v>
      </c>
      <c r="W24" s="8" t="s">
        <v>64</v>
      </c>
      <c r="X24" s="9" t="s">
        <v>186</v>
      </c>
    </row>
    <row r="25" spans="1:24" s="11" customFormat="1" ht="15.75" x14ac:dyDescent="0.25">
      <c r="A25" s="7" t="s">
        <v>72</v>
      </c>
      <c r="B25" s="8" t="s">
        <v>57</v>
      </c>
      <c r="C25" s="7" t="s">
        <v>187</v>
      </c>
      <c r="D25" s="9" t="s">
        <v>188</v>
      </c>
      <c r="E25" s="10" t="s">
        <v>75</v>
      </c>
      <c r="F25" s="10" t="s">
        <v>76</v>
      </c>
      <c r="G25" s="10" t="s">
        <v>58</v>
      </c>
      <c r="H25" s="10" t="s">
        <v>189</v>
      </c>
      <c r="I25" s="10" t="s">
        <v>78</v>
      </c>
      <c r="J25" s="10" t="s">
        <v>79</v>
      </c>
      <c r="K25" s="10" t="s">
        <v>59</v>
      </c>
      <c r="L25" s="7" t="s">
        <v>72</v>
      </c>
      <c r="M25" s="10" t="s">
        <v>60</v>
      </c>
      <c r="N25" s="7" t="s">
        <v>72</v>
      </c>
      <c r="O25" s="8" t="s">
        <v>61</v>
      </c>
      <c r="P25" s="7" t="s">
        <v>187</v>
      </c>
      <c r="Q25" s="11" t="s">
        <v>190</v>
      </c>
      <c r="R25" s="10" t="s">
        <v>81</v>
      </c>
      <c r="S25" s="10" t="s">
        <v>82</v>
      </c>
      <c r="T25" s="8" t="s">
        <v>62</v>
      </c>
      <c r="U25" s="7"/>
      <c r="V25" s="7" t="s">
        <v>83</v>
      </c>
      <c r="W25" s="8" t="s">
        <v>64</v>
      </c>
      <c r="X25" s="9" t="s">
        <v>191</v>
      </c>
    </row>
    <row r="26" spans="1:24" s="11" customFormat="1" ht="15.75" x14ac:dyDescent="0.25">
      <c r="A26" s="7" t="s">
        <v>72</v>
      </c>
      <c r="B26" s="8" t="s">
        <v>57</v>
      </c>
      <c r="C26" s="7" t="s">
        <v>89</v>
      </c>
      <c r="D26" s="9" t="s">
        <v>192</v>
      </c>
      <c r="E26" s="10" t="s">
        <v>75</v>
      </c>
      <c r="F26" s="10" t="s">
        <v>76</v>
      </c>
      <c r="G26" s="10" t="s">
        <v>58</v>
      </c>
      <c r="H26" s="10" t="s">
        <v>193</v>
      </c>
      <c r="I26" s="10" t="s">
        <v>78</v>
      </c>
      <c r="J26" s="10" t="s">
        <v>79</v>
      </c>
      <c r="K26" s="10" t="s">
        <v>59</v>
      </c>
      <c r="L26" s="7" t="s">
        <v>72</v>
      </c>
      <c r="M26" s="10" t="s">
        <v>60</v>
      </c>
      <c r="N26" s="7" t="s">
        <v>72</v>
      </c>
      <c r="O26" s="8" t="s">
        <v>61</v>
      </c>
      <c r="P26" s="7" t="s">
        <v>89</v>
      </c>
      <c r="Q26" s="11" t="s">
        <v>194</v>
      </c>
      <c r="R26" s="10" t="s">
        <v>81</v>
      </c>
      <c r="S26" s="10" t="s">
        <v>82</v>
      </c>
      <c r="T26" s="8" t="s">
        <v>62</v>
      </c>
      <c r="U26" s="7"/>
      <c r="V26" s="7" t="s">
        <v>83</v>
      </c>
      <c r="W26" s="8" t="s">
        <v>64</v>
      </c>
      <c r="X26" s="9" t="s">
        <v>195</v>
      </c>
    </row>
    <row r="27" spans="1:24" s="11" customFormat="1" ht="15.75" x14ac:dyDescent="0.25">
      <c r="A27" s="7" t="s">
        <v>72</v>
      </c>
      <c r="B27" s="8" t="s">
        <v>57</v>
      </c>
      <c r="C27" s="7" t="s">
        <v>196</v>
      </c>
      <c r="D27" s="9" t="s">
        <v>197</v>
      </c>
      <c r="E27" s="10" t="s">
        <v>75</v>
      </c>
      <c r="F27" s="10" t="s">
        <v>76</v>
      </c>
      <c r="G27" s="10" t="s">
        <v>58</v>
      </c>
      <c r="H27" s="10" t="s">
        <v>198</v>
      </c>
      <c r="I27" s="10" t="s">
        <v>78</v>
      </c>
      <c r="J27" s="10" t="s">
        <v>79</v>
      </c>
      <c r="K27" s="10" t="s">
        <v>59</v>
      </c>
      <c r="L27" s="7" t="s">
        <v>72</v>
      </c>
      <c r="M27" s="10" t="s">
        <v>60</v>
      </c>
      <c r="N27" s="7" t="s">
        <v>72</v>
      </c>
      <c r="O27" s="8" t="s">
        <v>61</v>
      </c>
      <c r="P27" s="7" t="s">
        <v>196</v>
      </c>
      <c r="Q27" s="11" t="s">
        <v>199</v>
      </c>
      <c r="R27" s="10" t="s">
        <v>81</v>
      </c>
      <c r="S27" s="10" t="s">
        <v>82</v>
      </c>
      <c r="T27" s="8" t="s">
        <v>62</v>
      </c>
      <c r="U27" s="7"/>
      <c r="V27" s="7" t="s">
        <v>83</v>
      </c>
      <c r="W27" s="8" t="s">
        <v>64</v>
      </c>
      <c r="X27" s="9" t="s">
        <v>200</v>
      </c>
    </row>
    <row r="28" spans="1:24" s="11" customFormat="1" ht="15.75" x14ac:dyDescent="0.25">
      <c r="A28" s="7" t="s">
        <v>72</v>
      </c>
      <c r="B28" s="8" t="s">
        <v>57</v>
      </c>
      <c r="C28" s="7" t="s">
        <v>201</v>
      </c>
      <c r="D28" s="9" t="s">
        <v>202</v>
      </c>
      <c r="E28" s="10" t="s">
        <v>75</v>
      </c>
      <c r="F28" s="10" t="s">
        <v>76</v>
      </c>
      <c r="G28" s="10" t="s">
        <v>58</v>
      </c>
      <c r="H28" s="10" t="s">
        <v>203</v>
      </c>
      <c r="I28" s="10" t="s">
        <v>78</v>
      </c>
      <c r="J28" s="10" t="s">
        <v>79</v>
      </c>
      <c r="K28" s="10" t="s">
        <v>59</v>
      </c>
      <c r="L28" s="7" t="s">
        <v>72</v>
      </c>
      <c r="M28" s="10" t="s">
        <v>60</v>
      </c>
      <c r="N28" s="7" t="s">
        <v>72</v>
      </c>
      <c r="O28" s="8" t="s">
        <v>61</v>
      </c>
      <c r="P28" s="7" t="s">
        <v>201</v>
      </c>
      <c r="Q28" s="11" t="s">
        <v>204</v>
      </c>
      <c r="R28" s="10" t="s">
        <v>81</v>
      </c>
      <c r="S28" s="10" t="s">
        <v>82</v>
      </c>
      <c r="T28" s="8" t="s">
        <v>62</v>
      </c>
      <c r="U28" s="7"/>
      <c r="V28" s="7" t="s">
        <v>83</v>
      </c>
      <c r="W28" s="8" t="s">
        <v>64</v>
      </c>
      <c r="X28" s="9" t="s">
        <v>205</v>
      </c>
    </row>
    <row r="29" spans="1:24" s="11" customFormat="1" ht="15.75" x14ac:dyDescent="0.25">
      <c r="A29" s="7" t="s">
        <v>72</v>
      </c>
      <c r="B29" s="8" t="s">
        <v>57</v>
      </c>
      <c r="C29" s="7" t="s">
        <v>206</v>
      </c>
      <c r="D29" s="9" t="s">
        <v>207</v>
      </c>
      <c r="E29" s="10" t="s">
        <v>75</v>
      </c>
      <c r="F29" s="10" t="s">
        <v>76</v>
      </c>
      <c r="G29" s="10" t="s">
        <v>58</v>
      </c>
      <c r="H29" s="10" t="s">
        <v>208</v>
      </c>
      <c r="I29" s="10" t="s">
        <v>78</v>
      </c>
      <c r="J29" s="10" t="s">
        <v>79</v>
      </c>
      <c r="K29" s="10" t="s">
        <v>59</v>
      </c>
      <c r="L29" s="7" t="s">
        <v>72</v>
      </c>
      <c r="M29" s="10" t="s">
        <v>60</v>
      </c>
      <c r="N29" s="7" t="s">
        <v>72</v>
      </c>
      <c r="O29" s="8" t="s">
        <v>61</v>
      </c>
      <c r="P29" s="7" t="s">
        <v>206</v>
      </c>
      <c r="Q29" s="11" t="s">
        <v>209</v>
      </c>
      <c r="R29" s="10" t="s">
        <v>81</v>
      </c>
      <c r="S29" s="10" t="s">
        <v>82</v>
      </c>
      <c r="T29" s="8" t="s">
        <v>62</v>
      </c>
      <c r="U29" s="7"/>
      <c r="V29" s="7" t="s">
        <v>83</v>
      </c>
      <c r="W29" s="8" t="s">
        <v>64</v>
      </c>
      <c r="X29" s="9" t="s">
        <v>210</v>
      </c>
    </row>
    <row r="30" spans="1:24" s="11" customFormat="1" ht="15.75" x14ac:dyDescent="0.25">
      <c r="A30" s="7" t="s">
        <v>72</v>
      </c>
      <c r="B30" s="8" t="s">
        <v>57</v>
      </c>
      <c r="C30" s="7" t="s">
        <v>211</v>
      </c>
      <c r="D30" s="9" t="s">
        <v>212</v>
      </c>
      <c r="E30" s="10" t="s">
        <v>75</v>
      </c>
      <c r="F30" s="10" t="s">
        <v>76</v>
      </c>
      <c r="G30" s="10" t="s">
        <v>58</v>
      </c>
      <c r="H30" s="10" t="s">
        <v>213</v>
      </c>
      <c r="I30" s="10" t="s">
        <v>78</v>
      </c>
      <c r="J30" s="10" t="s">
        <v>79</v>
      </c>
      <c r="K30" s="10" t="s">
        <v>59</v>
      </c>
      <c r="L30" s="7" t="s">
        <v>72</v>
      </c>
      <c r="M30" s="10" t="s">
        <v>60</v>
      </c>
      <c r="N30" s="7" t="s">
        <v>72</v>
      </c>
      <c r="O30" s="8" t="s">
        <v>61</v>
      </c>
      <c r="P30" s="7" t="s">
        <v>211</v>
      </c>
      <c r="Q30" s="11" t="s">
        <v>214</v>
      </c>
      <c r="R30" s="10" t="s">
        <v>81</v>
      </c>
      <c r="S30" s="10" t="s">
        <v>82</v>
      </c>
      <c r="T30" s="8" t="s">
        <v>62</v>
      </c>
      <c r="U30" s="7"/>
      <c r="V30" s="7" t="s">
        <v>83</v>
      </c>
      <c r="W30" s="8" t="s">
        <v>64</v>
      </c>
      <c r="X30" s="9" t="s">
        <v>215</v>
      </c>
    </row>
    <row r="31" spans="1:24" s="11" customFormat="1" ht="15.75" x14ac:dyDescent="0.25">
      <c r="A31" s="7" t="s">
        <v>72</v>
      </c>
      <c r="B31" s="8" t="s">
        <v>57</v>
      </c>
      <c r="C31" s="7" t="s">
        <v>216</v>
      </c>
      <c r="D31" s="9" t="s">
        <v>217</v>
      </c>
      <c r="E31" s="10" t="s">
        <v>75</v>
      </c>
      <c r="F31" s="10" t="s">
        <v>76</v>
      </c>
      <c r="G31" s="10" t="s">
        <v>58</v>
      </c>
      <c r="H31" s="10" t="s">
        <v>218</v>
      </c>
      <c r="I31" s="10" t="s">
        <v>78</v>
      </c>
      <c r="J31" s="10" t="s">
        <v>79</v>
      </c>
      <c r="K31" s="10" t="s">
        <v>59</v>
      </c>
      <c r="L31" s="7" t="s">
        <v>72</v>
      </c>
      <c r="M31" s="10" t="s">
        <v>60</v>
      </c>
      <c r="N31" s="7" t="s">
        <v>72</v>
      </c>
      <c r="O31" s="8" t="s">
        <v>61</v>
      </c>
      <c r="P31" s="7" t="s">
        <v>216</v>
      </c>
      <c r="Q31" s="11" t="s">
        <v>219</v>
      </c>
      <c r="R31" s="10" t="s">
        <v>81</v>
      </c>
      <c r="S31" s="10" t="s">
        <v>82</v>
      </c>
      <c r="T31" s="8" t="s">
        <v>62</v>
      </c>
      <c r="U31" s="7"/>
      <c r="V31" s="7" t="s">
        <v>83</v>
      </c>
      <c r="W31" s="8" t="s">
        <v>64</v>
      </c>
      <c r="X31" s="9" t="s">
        <v>220</v>
      </c>
    </row>
    <row r="32" spans="1:24" s="11" customFormat="1" ht="15.75" x14ac:dyDescent="0.25">
      <c r="A32" s="7" t="s">
        <v>72</v>
      </c>
      <c r="B32" s="8" t="s">
        <v>57</v>
      </c>
      <c r="C32" s="7" t="s">
        <v>221</v>
      </c>
      <c r="D32" s="9" t="s">
        <v>222</v>
      </c>
      <c r="E32" s="10" t="s">
        <v>75</v>
      </c>
      <c r="F32" s="10" t="s">
        <v>76</v>
      </c>
      <c r="G32" s="10" t="s">
        <v>58</v>
      </c>
      <c r="H32" s="10" t="s">
        <v>223</v>
      </c>
      <c r="I32" s="10" t="s">
        <v>78</v>
      </c>
      <c r="J32" s="10" t="s">
        <v>79</v>
      </c>
      <c r="K32" s="10" t="s">
        <v>59</v>
      </c>
      <c r="L32" s="7" t="s">
        <v>72</v>
      </c>
      <c r="M32" s="10" t="s">
        <v>60</v>
      </c>
      <c r="N32" s="7" t="s">
        <v>72</v>
      </c>
      <c r="O32" s="8" t="s">
        <v>61</v>
      </c>
      <c r="P32" s="7" t="s">
        <v>221</v>
      </c>
      <c r="Q32" s="11" t="s">
        <v>224</v>
      </c>
      <c r="R32" s="10" t="s">
        <v>81</v>
      </c>
      <c r="S32" s="10" t="s">
        <v>82</v>
      </c>
      <c r="T32" s="8" t="s">
        <v>62</v>
      </c>
      <c r="U32" s="7"/>
      <c r="V32" s="7" t="s">
        <v>83</v>
      </c>
      <c r="W32" s="8" t="s">
        <v>64</v>
      </c>
      <c r="X32" s="9" t="s">
        <v>225</v>
      </c>
    </row>
    <row r="33" spans="1:24" s="11" customFormat="1" ht="15.75" x14ac:dyDescent="0.25">
      <c r="A33" s="7" t="s">
        <v>72</v>
      </c>
      <c r="B33" s="8" t="s">
        <v>57</v>
      </c>
      <c r="C33" s="7" t="s">
        <v>226</v>
      </c>
      <c r="D33" s="9" t="s">
        <v>227</v>
      </c>
      <c r="E33" s="10" t="s">
        <v>75</v>
      </c>
      <c r="F33" s="10" t="s">
        <v>76</v>
      </c>
      <c r="G33" s="10" t="s">
        <v>58</v>
      </c>
      <c r="H33" s="10" t="s">
        <v>228</v>
      </c>
      <c r="I33" s="10" t="s">
        <v>78</v>
      </c>
      <c r="J33" s="10" t="s">
        <v>79</v>
      </c>
      <c r="K33" s="10" t="s">
        <v>59</v>
      </c>
      <c r="L33" s="7" t="s">
        <v>72</v>
      </c>
      <c r="M33" s="10" t="s">
        <v>60</v>
      </c>
      <c r="N33" s="7" t="s">
        <v>72</v>
      </c>
      <c r="O33" s="8" t="s">
        <v>61</v>
      </c>
      <c r="P33" s="7" t="s">
        <v>226</v>
      </c>
      <c r="Q33" s="9" t="s">
        <v>229</v>
      </c>
      <c r="R33" s="10" t="s">
        <v>81</v>
      </c>
      <c r="S33" s="10" t="s">
        <v>82</v>
      </c>
      <c r="T33" s="8" t="s">
        <v>62</v>
      </c>
      <c r="U33" s="7"/>
      <c r="V33" s="7" t="s">
        <v>83</v>
      </c>
      <c r="W33" s="8" t="s">
        <v>64</v>
      </c>
      <c r="X33" s="9" t="s">
        <v>230</v>
      </c>
    </row>
    <row r="34" spans="1:24" s="11" customFormat="1" ht="15.75" x14ac:dyDescent="0.25">
      <c r="A34" s="7" t="s">
        <v>72</v>
      </c>
      <c r="B34" s="8" t="s">
        <v>57</v>
      </c>
      <c r="C34" s="7" t="s">
        <v>231</v>
      </c>
      <c r="D34" s="9" t="s">
        <v>232</v>
      </c>
      <c r="E34" s="10" t="s">
        <v>75</v>
      </c>
      <c r="F34" s="10" t="s">
        <v>76</v>
      </c>
      <c r="G34" s="10" t="s">
        <v>58</v>
      </c>
      <c r="H34" s="10" t="s">
        <v>233</v>
      </c>
      <c r="I34" s="10" t="s">
        <v>78</v>
      </c>
      <c r="J34" s="10" t="s">
        <v>79</v>
      </c>
      <c r="K34" s="10" t="s">
        <v>59</v>
      </c>
      <c r="L34" s="7" t="s">
        <v>72</v>
      </c>
      <c r="M34" s="10" t="s">
        <v>60</v>
      </c>
      <c r="N34" s="7" t="s">
        <v>72</v>
      </c>
      <c r="O34" s="8" t="s">
        <v>61</v>
      </c>
      <c r="P34" s="7" t="s">
        <v>231</v>
      </c>
      <c r="Q34" s="11" t="s">
        <v>234</v>
      </c>
      <c r="R34" s="10" t="s">
        <v>81</v>
      </c>
      <c r="S34" s="10" t="s">
        <v>82</v>
      </c>
      <c r="T34" s="8" t="s">
        <v>62</v>
      </c>
      <c r="U34" s="7"/>
      <c r="V34" s="7" t="s">
        <v>83</v>
      </c>
      <c r="W34" s="8" t="s">
        <v>64</v>
      </c>
      <c r="X34" s="9" t="s">
        <v>235</v>
      </c>
    </row>
    <row r="35" spans="1:24" s="11" customFormat="1" ht="15.75" x14ac:dyDescent="0.25">
      <c r="A35" s="7" t="s">
        <v>72</v>
      </c>
      <c r="B35" s="8" t="s">
        <v>57</v>
      </c>
      <c r="C35" s="7" t="s">
        <v>236</v>
      </c>
      <c r="D35" s="9" t="s">
        <v>237</v>
      </c>
      <c r="E35" s="10" t="s">
        <v>75</v>
      </c>
      <c r="F35" s="10" t="s">
        <v>76</v>
      </c>
      <c r="G35" s="10" t="s">
        <v>58</v>
      </c>
      <c r="H35" s="10" t="s">
        <v>238</v>
      </c>
      <c r="I35" s="10" t="s">
        <v>78</v>
      </c>
      <c r="J35" s="10" t="s">
        <v>79</v>
      </c>
      <c r="K35" s="10" t="s">
        <v>59</v>
      </c>
      <c r="L35" s="7" t="s">
        <v>72</v>
      </c>
      <c r="M35" s="10" t="s">
        <v>60</v>
      </c>
      <c r="N35" s="7" t="s">
        <v>72</v>
      </c>
      <c r="O35" s="8" t="s">
        <v>61</v>
      </c>
      <c r="P35" s="7" t="s">
        <v>236</v>
      </c>
      <c r="Q35" s="11" t="s">
        <v>239</v>
      </c>
      <c r="R35" s="10" t="s">
        <v>81</v>
      </c>
      <c r="S35" s="10" t="s">
        <v>82</v>
      </c>
      <c r="T35" s="8" t="s">
        <v>62</v>
      </c>
      <c r="U35" s="7"/>
      <c r="V35" s="7" t="s">
        <v>83</v>
      </c>
      <c r="W35" s="8" t="s">
        <v>64</v>
      </c>
      <c r="X35" s="9" t="s">
        <v>240</v>
      </c>
    </row>
    <row r="36" spans="1:24" s="11" customFormat="1" ht="15.75" x14ac:dyDescent="0.25">
      <c r="A36" s="7" t="s">
        <v>72</v>
      </c>
      <c r="B36" s="8" t="s">
        <v>57</v>
      </c>
      <c r="C36" s="7" t="s">
        <v>241</v>
      </c>
      <c r="D36" s="9" t="s">
        <v>242</v>
      </c>
      <c r="E36" s="10" t="s">
        <v>75</v>
      </c>
      <c r="F36" s="10" t="s">
        <v>76</v>
      </c>
      <c r="G36" s="10" t="s">
        <v>58</v>
      </c>
      <c r="H36" s="10" t="s">
        <v>243</v>
      </c>
      <c r="I36" s="10" t="s">
        <v>78</v>
      </c>
      <c r="J36" s="10" t="s">
        <v>79</v>
      </c>
      <c r="K36" s="10" t="s">
        <v>59</v>
      </c>
      <c r="L36" s="7" t="s">
        <v>72</v>
      </c>
      <c r="M36" s="10" t="s">
        <v>60</v>
      </c>
      <c r="N36" s="7" t="s">
        <v>72</v>
      </c>
      <c r="O36" s="8" t="s">
        <v>61</v>
      </c>
      <c r="P36" s="7" t="s">
        <v>241</v>
      </c>
      <c r="Q36" s="11" t="s">
        <v>244</v>
      </c>
      <c r="R36" s="10" t="s">
        <v>81</v>
      </c>
      <c r="S36" s="10" t="s">
        <v>82</v>
      </c>
      <c r="T36" s="8" t="s">
        <v>62</v>
      </c>
      <c r="U36" s="7"/>
      <c r="V36" s="7" t="s">
        <v>83</v>
      </c>
      <c r="W36" s="8" t="s">
        <v>64</v>
      </c>
      <c r="X36" s="9" t="s">
        <v>245</v>
      </c>
    </row>
    <row r="37" spans="1:24" s="11" customFormat="1" ht="15.75" x14ac:dyDescent="0.25">
      <c r="A37" s="7" t="s">
        <v>72</v>
      </c>
      <c r="B37" s="8" t="s">
        <v>57</v>
      </c>
      <c r="C37" s="7" t="s">
        <v>66</v>
      </c>
      <c r="D37" s="9" t="s">
        <v>246</v>
      </c>
      <c r="E37" s="10" t="s">
        <v>75</v>
      </c>
      <c r="F37" s="10" t="s">
        <v>76</v>
      </c>
      <c r="G37" s="10" t="s">
        <v>58</v>
      </c>
      <c r="H37" s="10" t="s">
        <v>247</v>
      </c>
      <c r="I37" s="10" t="s">
        <v>78</v>
      </c>
      <c r="J37" s="10" t="s">
        <v>79</v>
      </c>
      <c r="K37" s="10" t="s">
        <v>59</v>
      </c>
      <c r="L37" s="7" t="s">
        <v>72</v>
      </c>
      <c r="M37" s="10" t="s">
        <v>60</v>
      </c>
      <c r="N37" s="7" t="s">
        <v>72</v>
      </c>
      <c r="O37" s="8" t="s">
        <v>61</v>
      </c>
      <c r="P37" s="7" t="s">
        <v>66</v>
      </c>
      <c r="Q37" s="11" t="s">
        <v>248</v>
      </c>
      <c r="R37" s="10" t="s">
        <v>81</v>
      </c>
      <c r="S37" s="10" t="s">
        <v>82</v>
      </c>
      <c r="T37" s="8" t="s">
        <v>62</v>
      </c>
      <c r="U37" s="7"/>
      <c r="V37" s="7" t="s">
        <v>83</v>
      </c>
      <c r="W37" s="8" t="s">
        <v>64</v>
      </c>
      <c r="X37" s="9" t="s">
        <v>249</v>
      </c>
    </row>
    <row r="38" spans="1:24" s="11" customFormat="1" ht="15.75" x14ac:dyDescent="0.25">
      <c r="A38" s="7" t="s">
        <v>72</v>
      </c>
      <c r="B38" s="8" t="s">
        <v>57</v>
      </c>
      <c r="C38" s="7" t="s">
        <v>250</v>
      </c>
      <c r="D38" s="9" t="s">
        <v>251</v>
      </c>
      <c r="E38" s="10" t="s">
        <v>75</v>
      </c>
      <c r="F38" s="10" t="s">
        <v>76</v>
      </c>
      <c r="G38" s="10" t="s">
        <v>58</v>
      </c>
      <c r="H38" s="10" t="s">
        <v>252</v>
      </c>
      <c r="I38" s="10" t="s">
        <v>78</v>
      </c>
      <c r="J38" s="10" t="s">
        <v>79</v>
      </c>
      <c r="K38" s="10" t="s">
        <v>59</v>
      </c>
      <c r="L38" s="7" t="s">
        <v>72</v>
      </c>
      <c r="M38" s="10" t="s">
        <v>60</v>
      </c>
      <c r="N38" s="7" t="s">
        <v>72</v>
      </c>
      <c r="O38" s="8" t="s">
        <v>61</v>
      </c>
      <c r="P38" s="7" t="s">
        <v>250</v>
      </c>
      <c r="Q38" s="11" t="s">
        <v>253</v>
      </c>
      <c r="R38" s="10" t="s">
        <v>81</v>
      </c>
      <c r="S38" s="10" t="s">
        <v>82</v>
      </c>
      <c r="T38" s="8" t="s">
        <v>62</v>
      </c>
      <c r="U38" s="7"/>
      <c r="V38" s="7" t="s">
        <v>83</v>
      </c>
      <c r="W38" s="8" t="s">
        <v>64</v>
      </c>
      <c r="X38" s="9" t="s">
        <v>254</v>
      </c>
    </row>
    <row r="39" spans="1:24" s="11" customFormat="1" ht="15.75" x14ac:dyDescent="0.25">
      <c r="A39" s="7" t="s">
        <v>72</v>
      </c>
      <c r="B39" s="8" t="s">
        <v>57</v>
      </c>
      <c r="C39" s="7" t="s">
        <v>67</v>
      </c>
      <c r="D39" s="9" t="s">
        <v>255</v>
      </c>
      <c r="E39" s="10" t="s">
        <v>75</v>
      </c>
      <c r="F39" s="10" t="s">
        <v>76</v>
      </c>
      <c r="G39" s="10" t="s">
        <v>58</v>
      </c>
      <c r="H39" s="10" t="s">
        <v>256</v>
      </c>
      <c r="I39" s="10" t="s">
        <v>78</v>
      </c>
      <c r="J39" s="10" t="s">
        <v>79</v>
      </c>
      <c r="K39" s="10" t="s">
        <v>59</v>
      </c>
      <c r="L39" s="7" t="s">
        <v>72</v>
      </c>
      <c r="M39" s="10" t="s">
        <v>60</v>
      </c>
      <c r="N39" s="7" t="s">
        <v>72</v>
      </c>
      <c r="O39" s="8" t="s">
        <v>61</v>
      </c>
      <c r="P39" s="7" t="s">
        <v>67</v>
      </c>
      <c r="Q39" s="11" t="s">
        <v>257</v>
      </c>
      <c r="R39" s="10" t="s">
        <v>81</v>
      </c>
      <c r="S39" s="10" t="s">
        <v>82</v>
      </c>
      <c r="T39" s="8" t="s">
        <v>62</v>
      </c>
      <c r="U39" s="7"/>
      <c r="V39" s="7" t="s">
        <v>83</v>
      </c>
      <c r="W39" s="8" t="s">
        <v>64</v>
      </c>
      <c r="X39" s="9" t="s">
        <v>258</v>
      </c>
    </row>
    <row r="40" spans="1:24" s="11" customFormat="1" ht="15.75" x14ac:dyDescent="0.25">
      <c r="A40" s="7" t="s">
        <v>72</v>
      </c>
      <c r="B40" s="8" t="s">
        <v>57</v>
      </c>
      <c r="C40" s="7" t="s">
        <v>259</v>
      </c>
      <c r="D40" s="9" t="s">
        <v>260</v>
      </c>
      <c r="E40" s="10" t="s">
        <v>75</v>
      </c>
      <c r="F40" s="10" t="s">
        <v>76</v>
      </c>
      <c r="G40" s="10" t="s">
        <v>58</v>
      </c>
      <c r="H40" s="10" t="s">
        <v>261</v>
      </c>
      <c r="I40" s="10" t="s">
        <v>78</v>
      </c>
      <c r="J40" s="10" t="s">
        <v>79</v>
      </c>
      <c r="K40" s="10" t="s">
        <v>59</v>
      </c>
      <c r="L40" s="7" t="s">
        <v>72</v>
      </c>
      <c r="M40" s="10" t="s">
        <v>60</v>
      </c>
      <c r="N40" s="7" t="s">
        <v>72</v>
      </c>
      <c r="O40" s="8" t="s">
        <v>61</v>
      </c>
      <c r="P40" s="7" t="s">
        <v>259</v>
      </c>
      <c r="Q40" s="11" t="s">
        <v>262</v>
      </c>
      <c r="R40" s="10" t="s">
        <v>81</v>
      </c>
      <c r="S40" s="10" t="s">
        <v>82</v>
      </c>
      <c r="T40" s="8" t="s">
        <v>62</v>
      </c>
      <c r="U40" s="7"/>
      <c r="V40" s="7" t="s">
        <v>83</v>
      </c>
      <c r="W40" s="8" t="s">
        <v>64</v>
      </c>
      <c r="X40" s="9" t="s">
        <v>263</v>
      </c>
    </row>
    <row r="41" spans="1:24" s="11" customFormat="1" ht="15.75" x14ac:dyDescent="0.25">
      <c r="A41" s="7" t="s">
        <v>72</v>
      </c>
      <c r="B41" s="8" t="s">
        <v>57</v>
      </c>
      <c r="C41" s="7" t="s">
        <v>264</v>
      </c>
      <c r="D41" s="9" t="s">
        <v>265</v>
      </c>
      <c r="E41" s="10" t="s">
        <v>75</v>
      </c>
      <c r="F41" s="10" t="s">
        <v>76</v>
      </c>
      <c r="G41" s="10" t="s">
        <v>58</v>
      </c>
      <c r="H41" s="10" t="s">
        <v>266</v>
      </c>
      <c r="I41" s="10" t="s">
        <v>78</v>
      </c>
      <c r="J41" s="10" t="s">
        <v>79</v>
      </c>
      <c r="K41" s="10" t="s">
        <v>59</v>
      </c>
      <c r="L41" s="7" t="s">
        <v>72</v>
      </c>
      <c r="M41" s="10" t="s">
        <v>60</v>
      </c>
      <c r="N41" s="7" t="s">
        <v>72</v>
      </c>
      <c r="O41" s="8" t="s">
        <v>61</v>
      </c>
      <c r="P41" s="7" t="s">
        <v>264</v>
      </c>
      <c r="Q41" s="11" t="s">
        <v>267</v>
      </c>
      <c r="R41" s="10" t="s">
        <v>81</v>
      </c>
      <c r="S41" s="10" t="s">
        <v>82</v>
      </c>
      <c r="T41" s="8" t="s">
        <v>62</v>
      </c>
      <c r="U41" s="7"/>
      <c r="V41" s="7" t="s">
        <v>83</v>
      </c>
      <c r="W41" s="8" t="s">
        <v>64</v>
      </c>
      <c r="X41" s="9" t="s">
        <v>268</v>
      </c>
    </row>
    <row r="42" spans="1:24" s="11" customFormat="1" ht="15.75" x14ac:dyDescent="0.25">
      <c r="A42" s="7" t="s">
        <v>72</v>
      </c>
      <c r="B42" s="8" t="s">
        <v>57</v>
      </c>
      <c r="C42" s="7" t="s">
        <v>269</v>
      </c>
      <c r="D42" s="9" t="s">
        <v>270</v>
      </c>
      <c r="E42" s="10" t="s">
        <v>75</v>
      </c>
      <c r="F42" s="10" t="s">
        <v>76</v>
      </c>
      <c r="G42" s="10" t="s">
        <v>58</v>
      </c>
      <c r="H42" s="10" t="s">
        <v>271</v>
      </c>
      <c r="I42" s="10" t="s">
        <v>78</v>
      </c>
      <c r="J42" s="10" t="s">
        <v>79</v>
      </c>
      <c r="K42" s="10" t="s">
        <v>59</v>
      </c>
      <c r="L42" s="7" t="s">
        <v>72</v>
      </c>
      <c r="M42" s="10" t="s">
        <v>60</v>
      </c>
      <c r="N42" s="7" t="s">
        <v>72</v>
      </c>
      <c r="O42" s="8" t="s">
        <v>61</v>
      </c>
      <c r="P42" s="7" t="s">
        <v>269</v>
      </c>
      <c r="Q42" s="11" t="s">
        <v>272</v>
      </c>
      <c r="R42" s="10" t="s">
        <v>81</v>
      </c>
      <c r="S42" s="10" t="s">
        <v>82</v>
      </c>
      <c r="T42" s="8" t="s">
        <v>62</v>
      </c>
      <c r="U42" s="7"/>
      <c r="V42" s="7" t="s">
        <v>83</v>
      </c>
      <c r="W42" s="8" t="s">
        <v>64</v>
      </c>
      <c r="X42" s="9" t="s">
        <v>273</v>
      </c>
    </row>
    <row r="43" spans="1:24" s="11" customFormat="1" ht="15.75" x14ac:dyDescent="0.25">
      <c r="A43" s="7" t="s">
        <v>72</v>
      </c>
      <c r="B43" s="8" t="s">
        <v>57</v>
      </c>
      <c r="C43" s="7" t="s">
        <v>69</v>
      </c>
      <c r="D43" s="9" t="s">
        <v>274</v>
      </c>
      <c r="E43" s="10" t="s">
        <v>75</v>
      </c>
      <c r="F43" s="10" t="s">
        <v>76</v>
      </c>
      <c r="G43" s="10" t="s">
        <v>58</v>
      </c>
      <c r="H43" s="10" t="s">
        <v>275</v>
      </c>
      <c r="I43" s="10" t="s">
        <v>78</v>
      </c>
      <c r="J43" s="10" t="s">
        <v>79</v>
      </c>
      <c r="K43" s="10" t="s">
        <v>59</v>
      </c>
      <c r="L43" s="7" t="s">
        <v>72</v>
      </c>
      <c r="M43" s="10" t="s">
        <v>60</v>
      </c>
      <c r="N43" s="7" t="s">
        <v>72</v>
      </c>
      <c r="O43" s="8" t="s">
        <v>61</v>
      </c>
      <c r="P43" s="7" t="s">
        <v>69</v>
      </c>
      <c r="Q43" s="11" t="s">
        <v>276</v>
      </c>
      <c r="R43" s="10" t="s">
        <v>81</v>
      </c>
      <c r="S43" s="10" t="s">
        <v>82</v>
      </c>
      <c r="T43" s="8" t="s">
        <v>62</v>
      </c>
      <c r="U43" s="7"/>
      <c r="V43" s="7" t="s">
        <v>83</v>
      </c>
      <c r="W43" s="8" t="s">
        <v>64</v>
      </c>
      <c r="X43" s="9" t="s">
        <v>277</v>
      </c>
    </row>
    <row r="44" spans="1:24" s="11" customFormat="1" ht="15.75" x14ac:dyDescent="0.25">
      <c r="A44" s="7" t="s">
        <v>72</v>
      </c>
      <c r="B44" s="8" t="s">
        <v>57</v>
      </c>
      <c r="C44" s="7" t="s">
        <v>65</v>
      </c>
      <c r="D44" s="9" t="s">
        <v>278</v>
      </c>
      <c r="E44" s="10" t="s">
        <v>75</v>
      </c>
      <c r="F44" s="10" t="s">
        <v>76</v>
      </c>
      <c r="G44" s="10" t="s">
        <v>58</v>
      </c>
      <c r="H44" s="10" t="s">
        <v>279</v>
      </c>
      <c r="I44" s="10" t="s">
        <v>78</v>
      </c>
      <c r="J44" s="10" t="s">
        <v>79</v>
      </c>
      <c r="K44" s="10" t="s">
        <v>59</v>
      </c>
      <c r="L44" s="7" t="s">
        <v>72</v>
      </c>
      <c r="M44" s="10" t="s">
        <v>60</v>
      </c>
      <c r="N44" s="7" t="s">
        <v>72</v>
      </c>
      <c r="O44" s="8" t="s">
        <v>61</v>
      </c>
      <c r="P44" s="7" t="s">
        <v>65</v>
      </c>
      <c r="Q44" s="11" t="s">
        <v>280</v>
      </c>
      <c r="R44" s="10" t="s">
        <v>81</v>
      </c>
      <c r="S44" s="10" t="s">
        <v>82</v>
      </c>
      <c r="T44" s="8" t="s">
        <v>62</v>
      </c>
      <c r="U44" s="7"/>
      <c r="V44" s="7" t="s">
        <v>83</v>
      </c>
      <c r="W44" s="8" t="s">
        <v>64</v>
      </c>
      <c r="X44" s="9" t="s">
        <v>281</v>
      </c>
    </row>
    <row r="45" spans="1:24" s="11" customFormat="1" ht="15.75" x14ac:dyDescent="0.25">
      <c r="A45" s="7" t="s">
        <v>72</v>
      </c>
      <c r="B45" s="8" t="s">
        <v>57</v>
      </c>
      <c r="C45" s="7" t="s">
        <v>65</v>
      </c>
      <c r="D45" s="9" t="s">
        <v>282</v>
      </c>
      <c r="E45" s="10" t="s">
        <v>75</v>
      </c>
      <c r="F45" s="10" t="s">
        <v>76</v>
      </c>
      <c r="G45" s="10" t="s">
        <v>58</v>
      </c>
      <c r="H45" s="10" t="s">
        <v>283</v>
      </c>
      <c r="I45" s="10" t="s">
        <v>78</v>
      </c>
      <c r="J45" s="10" t="s">
        <v>79</v>
      </c>
      <c r="K45" s="10" t="s">
        <v>59</v>
      </c>
      <c r="L45" s="7" t="s">
        <v>72</v>
      </c>
      <c r="M45" s="10" t="s">
        <v>60</v>
      </c>
      <c r="N45" s="7" t="s">
        <v>72</v>
      </c>
      <c r="O45" s="8" t="s">
        <v>61</v>
      </c>
      <c r="P45" s="7" t="s">
        <v>65</v>
      </c>
      <c r="Q45" s="11" t="s">
        <v>284</v>
      </c>
      <c r="R45" s="10" t="s">
        <v>81</v>
      </c>
      <c r="S45" s="10" t="s">
        <v>82</v>
      </c>
      <c r="T45" s="8" t="s">
        <v>62</v>
      </c>
      <c r="U45" s="7"/>
      <c r="V45" s="7" t="s">
        <v>83</v>
      </c>
      <c r="W45" s="8" t="s">
        <v>64</v>
      </c>
      <c r="X45" s="9" t="s">
        <v>285</v>
      </c>
    </row>
    <row r="46" spans="1:24" s="11" customFormat="1" ht="15.75" x14ac:dyDescent="0.25">
      <c r="A46" s="7" t="s">
        <v>72</v>
      </c>
      <c r="B46" s="8" t="s">
        <v>57</v>
      </c>
      <c r="C46" s="7" t="s">
        <v>286</v>
      </c>
      <c r="D46" s="9" t="s">
        <v>287</v>
      </c>
      <c r="E46" s="10" t="s">
        <v>75</v>
      </c>
      <c r="F46" s="10" t="s">
        <v>76</v>
      </c>
      <c r="G46" s="10" t="s">
        <v>58</v>
      </c>
      <c r="H46" s="10" t="s">
        <v>288</v>
      </c>
      <c r="I46" s="10" t="s">
        <v>78</v>
      </c>
      <c r="J46" s="10" t="s">
        <v>79</v>
      </c>
      <c r="K46" s="10" t="s">
        <v>59</v>
      </c>
      <c r="L46" s="7" t="s">
        <v>72</v>
      </c>
      <c r="M46" s="10" t="s">
        <v>60</v>
      </c>
      <c r="N46" s="7" t="s">
        <v>72</v>
      </c>
      <c r="O46" s="8" t="s">
        <v>61</v>
      </c>
      <c r="P46" s="7" t="s">
        <v>286</v>
      </c>
      <c r="Q46" s="11" t="s">
        <v>289</v>
      </c>
      <c r="R46" s="10" t="s">
        <v>81</v>
      </c>
      <c r="S46" s="10" t="s">
        <v>82</v>
      </c>
      <c r="T46" s="8" t="s">
        <v>62</v>
      </c>
      <c r="U46" s="7"/>
      <c r="V46" s="7" t="s">
        <v>83</v>
      </c>
      <c r="W46" s="8" t="s">
        <v>64</v>
      </c>
      <c r="X46" s="9" t="s">
        <v>290</v>
      </c>
    </row>
    <row r="47" spans="1:24" s="11" customFormat="1" ht="15.75" x14ac:dyDescent="0.25">
      <c r="A47" s="7" t="s">
        <v>72</v>
      </c>
      <c r="B47" s="8" t="s">
        <v>57</v>
      </c>
      <c r="C47" s="7" t="s">
        <v>291</v>
      </c>
      <c r="D47" s="9" t="s">
        <v>292</v>
      </c>
      <c r="E47" s="10" t="s">
        <v>75</v>
      </c>
      <c r="F47" s="10" t="s">
        <v>76</v>
      </c>
      <c r="G47" s="10" t="s">
        <v>58</v>
      </c>
      <c r="H47" s="10" t="s">
        <v>293</v>
      </c>
      <c r="I47" s="10" t="s">
        <v>78</v>
      </c>
      <c r="J47" s="10" t="s">
        <v>79</v>
      </c>
      <c r="K47" s="10" t="s">
        <v>59</v>
      </c>
      <c r="L47" s="7" t="s">
        <v>72</v>
      </c>
      <c r="M47" s="10" t="s">
        <v>60</v>
      </c>
      <c r="N47" s="7" t="s">
        <v>72</v>
      </c>
      <c r="O47" s="8" t="s">
        <v>61</v>
      </c>
      <c r="P47" s="7" t="s">
        <v>291</v>
      </c>
      <c r="Q47" s="11" t="s">
        <v>292</v>
      </c>
      <c r="R47" s="10" t="s">
        <v>81</v>
      </c>
      <c r="S47" s="10" t="s">
        <v>82</v>
      </c>
      <c r="T47" s="8" t="s">
        <v>62</v>
      </c>
      <c r="U47" s="7"/>
      <c r="V47" s="7" t="s">
        <v>83</v>
      </c>
      <c r="W47" s="8" t="s">
        <v>64</v>
      </c>
      <c r="X47" s="9" t="s">
        <v>294</v>
      </c>
    </row>
    <row r="48" spans="1:24" s="11" customFormat="1" ht="15.75" x14ac:dyDescent="0.25">
      <c r="A48" s="7" t="s">
        <v>72</v>
      </c>
      <c r="B48" s="8" t="s">
        <v>57</v>
      </c>
      <c r="C48" s="7" t="s">
        <v>295</v>
      </c>
      <c r="D48" s="9" t="s">
        <v>296</v>
      </c>
      <c r="E48" s="10" t="s">
        <v>75</v>
      </c>
      <c r="F48" s="10" t="s">
        <v>76</v>
      </c>
      <c r="G48" s="10" t="s">
        <v>58</v>
      </c>
      <c r="H48" s="10" t="s">
        <v>297</v>
      </c>
      <c r="I48" s="10" t="s">
        <v>78</v>
      </c>
      <c r="J48" s="10" t="s">
        <v>79</v>
      </c>
      <c r="K48" s="10" t="s">
        <v>59</v>
      </c>
      <c r="L48" s="7" t="s">
        <v>72</v>
      </c>
      <c r="M48" s="10" t="s">
        <v>60</v>
      </c>
      <c r="N48" s="7" t="s">
        <v>72</v>
      </c>
      <c r="O48" s="8" t="s">
        <v>61</v>
      </c>
      <c r="P48" s="7" t="s">
        <v>295</v>
      </c>
      <c r="Q48" s="11" t="s">
        <v>298</v>
      </c>
      <c r="R48" s="10" t="s">
        <v>81</v>
      </c>
      <c r="S48" s="10" t="s">
        <v>82</v>
      </c>
      <c r="T48" s="8" t="s">
        <v>62</v>
      </c>
      <c r="U48" s="7"/>
      <c r="V48" s="7" t="s">
        <v>83</v>
      </c>
      <c r="W48" s="8" t="s">
        <v>64</v>
      </c>
      <c r="X48" s="9" t="s">
        <v>299</v>
      </c>
    </row>
    <row r="49" spans="1:24" s="11" customFormat="1" ht="15.75" x14ac:dyDescent="0.25">
      <c r="A49" s="7" t="s">
        <v>72</v>
      </c>
      <c r="B49" s="8" t="s">
        <v>57</v>
      </c>
      <c r="C49" s="7" t="s">
        <v>300</v>
      </c>
      <c r="D49" s="9" t="s">
        <v>301</v>
      </c>
      <c r="E49" s="10" t="s">
        <v>75</v>
      </c>
      <c r="F49" s="10" t="s">
        <v>76</v>
      </c>
      <c r="G49" s="10" t="s">
        <v>58</v>
      </c>
      <c r="H49" s="10" t="s">
        <v>302</v>
      </c>
      <c r="I49" s="10" t="s">
        <v>78</v>
      </c>
      <c r="J49" s="10" t="s">
        <v>79</v>
      </c>
      <c r="K49" s="10" t="s">
        <v>59</v>
      </c>
      <c r="L49" s="7" t="s">
        <v>72</v>
      </c>
      <c r="M49" s="10" t="s">
        <v>60</v>
      </c>
      <c r="N49" s="7" t="s">
        <v>72</v>
      </c>
      <c r="O49" s="8" t="s">
        <v>61</v>
      </c>
      <c r="P49" s="7" t="s">
        <v>300</v>
      </c>
      <c r="Q49" s="11" t="s">
        <v>303</v>
      </c>
      <c r="R49" s="10" t="s">
        <v>81</v>
      </c>
      <c r="S49" s="10" t="s">
        <v>82</v>
      </c>
      <c r="T49" s="8" t="s">
        <v>62</v>
      </c>
      <c r="U49" s="7"/>
      <c r="V49" s="7" t="s">
        <v>83</v>
      </c>
      <c r="W49" s="8" t="s">
        <v>64</v>
      </c>
      <c r="X49" s="9" t="s">
        <v>304</v>
      </c>
    </row>
    <row r="50" spans="1:24" s="11" customFormat="1" ht="15.75" x14ac:dyDescent="0.25">
      <c r="A50" s="7" t="s">
        <v>72</v>
      </c>
      <c r="B50" s="8" t="s">
        <v>57</v>
      </c>
      <c r="C50" s="7" t="s">
        <v>305</v>
      </c>
      <c r="D50" s="9" t="s">
        <v>306</v>
      </c>
      <c r="E50" s="10" t="s">
        <v>75</v>
      </c>
      <c r="F50" s="10" t="s">
        <v>76</v>
      </c>
      <c r="G50" s="10" t="s">
        <v>58</v>
      </c>
      <c r="H50" s="10" t="s">
        <v>307</v>
      </c>
      <c r="I50" s="10" t="s">
        <v>78</v>
      </c>
      <c r="J50" s="10" t="s">
        <v>79</v>
      </c>
      <c r="K50" s="10" t="s">
        <v>59</v>
      </c>
      <c r="L50" s="7" t="s">
        <v>72</v>
      </c>
      <c r="M50" s="10" t="s">
        <v>60</v>
      </c>
      <c r="N50" s="7" t="s">
        <v>72</v>
      </c>
      <c r="O50" s="8" t="s">
        <v>61</v>
      </c>
      <c r="P50" s="7" t="s">
        <v>305</v>
      </c>
      <c r="Q50" s="11" t="s">
        <v>308</v>
      </c>
      <c r="R50" s="10" t="s">
        <v>81</v>
      </c>
      <c r="S50" s="10" t="s">
        <v>82</v>
      </c>
      <c r="T50" s="8" t="s">
        <v>62</v>
      </c>
      <c r="U50" s="7"/>
      <c r="V50" s="7" t="s">
        <v>83</v>
      </c>
      <c r="W50" s="8" t="s">
        <v>64</v>
      </c>
      <c r="X50" s="11" t="s">
        <v>309</v>
      </c>
    </row>
    <row r="51" spans="1:24" s="11" customFormat="1" ht="15.75" x14ac:dyDescent="0.25">
      <c r="A51" s="7" t="s">
        <v>72</v>
      </c>
      <c r="B51" s="8" t="s">
        <v>57</v>
      </c>
      <c r="C51" s="7" t="s">
        <v>310</v>
      </c>
      <c r="D51" s="9" t="s">
        <v>311</v>
      </c>
      <c r="E51" s="10" t="s">
        <v>75</v>
      </c>
      <c r="F51" s="10" t="s">
        <v>76</v>
      </c>
      <c r="G51" s="10" t="s">
        <v>58</v>
      </c>
      <c r="H51" s="10" t="s">
        <v>312</v>
      </c>
      <c r="I51" s="10" t="s">
        <v>78</v>
      </c>
      <c r="J51" s="10" t="s">
        <v>79</v>
      </c>
      <c r="K51" s="10" t="s">
        <v>59</v>
      </c>
      <c r="L51" s="7" t="s">
        <v>72</v>
      </c>
      <c r="M51" s="10" t="s">
        <v>60</v>
      </c>
      <c r="N51" s="7" t="s">
        <v>72</v>
      </c>
      <c r="O51" s="8" t="s">
        <v>61</v>
      </c>
      <c r="P51" s="7" t="s">
        <v>310</v>
      </c>
      <c r="Q51" s="11" t="s">
        <v>313</v>
      </c>
      <c r="R51" s="10" t="s">
        <v>81</v>
      </c>
      <c r="S51" s="10" t="s">
        <v>82</v>
      </c>
      <c r="T51" s="8" t="s">
        <v>62</v>
      </c>
      <c r="U51" s="7"/>
      <c r="V51" s="7" t="s">
        <v>83</v>
      </c>
      <c r="W51" s="8" t="s">
        <v>64</v>
      </c>
      <c r="X51" s="9" t="s">
        <v>314</v>
      </c>
    </row>
    <row r="52" spans="1:24" s="11" customFormat="1" ht="15.75" x14ac:dyDescent="0.25">
      <c r="A52" s="7" t="s">
        <v>72</v>
      </c>
      <c r="B52" s="8" t="s">
        <v>57</v>
      </c>
      <c r="C52" s="7" t="s">
        <v>315</v>
      </c>
      <c r="D52" s="9" t="s">
        <v>316</v>
      </c>
      <c r="E52" s="10" t="s">
        <v>75</v>
      </c>
      <c r="F52" s="10" t="s">
        <v>76</v>
      </c>
      <c r="G52" s="10" t="s">
        <v>58</v>
      </c>
      <c r="H52" s="10" t="s">
        <v>317</v>
      </c>
      <c r="I52" s="10" t="s">
        <v>78</v>
      </c>
      <c r="J52" s="10" t="s">
        <v>79</v>
      </c>
      <c r="K52" s="10" t="s">
        <v>59</v>
      </c>
      <c r="L52" s="7" t="s">
        <v>72</v>
      </c>
      <c r="M52" s="10" t="s">
        <v>60</v>
      </c>
      <c r="N52" s="7" t="s">
        <v>72</v>
      </c>
      <c r="O52" s="8" t="s">
        <v>61</v>
      </c>
      <c r="P52" s="7" t="s">
        <v>315</v>
      </c>
      <c r="Q52" s="11" t="s">
        <v>318</v>
      </c>
      <c r="R52" s="10" t="s">
        <v>81</v>
      </c>
      <c r="S52" s="10" t="s">
        <v>82</v>
      </c>
      <c r="T52" s="8" t="s">
        <v>62</v>
      </c>
      <c r="U52" s="7"/>
      <c r="V52" s="7" t="s">
        <v>83</v>
      </c>
      <c r="W52" s="8" t="s">
        <v>64</v>
      </c>
      <c r="X52" s="9" t="s">
        <v>319</v>
      </c>
    </row>
    <row r="53" spans="1:24" s="11" customFormat="1" ht="15.75" x14ac:dyDescent="0.25">
      <c r="A53" s="7" t="s">
        <v>72</v>
      </c>
      <c r="B53" s="8" t="s">
        <v>57</v>
      </c>
      <c r="C53" s="7" t="s">
        <v>216</v>
      </c>
      <c r="D53" s="9" t="s">
        <v>320</v>
      </c>
      <c r="E53" s="10" t="s">
        <v>75</v>
      </c>
      <c r="F53" s="10" t="s">
        <v>76</v>
      </c>
      <c r="G53" s="10" t="s">
        <v>58</v>
      </c>
      <c r="H53" s="10" t="s">
        <v>321</v>
      </c>
      <c r="I53" s="10" t="s">
        <v>78</v>
      </c>
      <c r="J53" s="10" t="s">
        <v>79</v>
      </c>
      <c r="K53" s="10" t="s">
        <v>59</v>
      </c>
      <c r="L53" s="7" t="s">
        <v>72</v>
      </c>
      <c r="M53" s="10" t="s">
        <v>60</v>
      </c>
      <c r="N53" s="7" t="s">
        <v>72</v>
      </c>
      <c r="O53" s="8" t="s">
        <v>61</v>
      </c>
      <c r="P53" s="7" t="s">
        <v>216</v>
      </c>
      <c r="Q53" s="11" t="s">
        <v>322</v>
      </c>
      <c r="R53" s="10" t="s">
        <v>81</v>
      </c>
      <c r="S53" s="10" t="s">
        <v>82</v>
      </c>
      <c r="T53" s="8" t="s">
        <v>62</v>
      </c>
      <c r="U53" s="7"/>
      <c r="V53" s="7" t="s">
        <v>83</v>
      </c>
      <c r="W53" s="8" t="s">
        <v>64</v>
      </c>
      <c r="X53" s="9" t="s">
        <v>323</v>
      </c>
    </row>
    <row r="54" spans="1:24" s="11" customFormat="1" ht="15.75" x14ac:dyDescent="0.25">
      <c r="A54" s="7" t="s">
        <v>72</v>
      </c>
      <c r="B54" s="8" t="s">
        <v>57</v>
      </c>
      <c r="C54" s="7" t="s">
        <v>324</v>
      </c>
      <c r="D54" s="9" t="s">
        <v>325</v>
      </c>
      <c r="E54" s="10" t="s">
        <v>75</v>
      </c>
      <c r="F54" s="10" t="s">
        <v>76</v>
      </c>
      <c r="G54" s="10" t="s">
        <v>58</v>
      </c>
      <c r="H54" s="10" t="s">
        <v>326</v>
      </c>
      <c r="I54" s="10" t="s">
        <v>78</v>
      </c>
      <c r="J54" s="10" t="s">
        <v>79</v>
      </c>
      <c r="K54" s="10" t="s">
        <v>59</v>
      </c>
      <c r="L54" s="7" t="s">
        <v>72</v>
      </c>
      <c r="M54" s="10" t="s">
        <v>60</v>
      </c>
      <c r="N54" s="7" t="s">
        <v>72</v>
      </c>
      <c r="O54" s="8" t="s">
        <v>61</v>
      </c>
      <c r="P54" s="7" t="s">
        <v>324</v>
      </c>
      <c r="Q54" s="11" t="s">
        <v>327</v>
      </c>
      <c r="R54" s="10" t="s">
        <v>81</v>
      </c>
      <c r="S54" s="10" t="s">
        <v>82</v>
      </c>
      <c r="T54" s="8" t="s">
        <v>62</v>
      </c>
      <c r="U54" s="7"/>
      <c r="V54" s="7" t="s">
        <v>83</v>
      </c>
      <c r="W54" s="8" t="s">
        <v>64</v>
      </c>
      <c r="X54" s="9" t="s">
        <v>328</v>
      </c>
    </row>
    <row r="55" spans="1:24" s="11" customFormat="1" ht="15.75" x14ac:dyDescent="0.25">
      <c r="A55" s="7" t="s">
        <v>72</v>
      </c>
      <c r="B55" s="8" t="s">
        <v>57</v>
      </c>
      <c r="C55" s="7" t="s">
        <v>119</v>
      </c>
      <c r="D55" s="9" t="s">
        <v>329</v>
      </c>
      <c r="E55" s="10" t="s">
        <v>75</v>
      </c>
      <c r="F55" s="10" t="s">
        <v>76</v>
      </c>
      <c r="G55" s="10" t="s">
        <v>58</v>
      </c>
      <c r="H55" s="10" t="s">
        <v>330</v>
      </c>
      <c r="I55" s="10" t="s">
        <v>78</v>
      </c>
      <c r="J55" s="10" t="s">
        <v>79</v>
      </c>
      <c r="K55" s="10" t="s">
        <v>59</v>
      </c>
      <c r="L55" s="7" t="s">
        <v>72</v>
      </c>
      <c r="M55" s="10" t="s">
        <v>60</v>
      </c>
      <c r="N55" s="7" t="s">
        <v>72</v>
      </c>
      <c r="O55" s="8" t="s">
        <v>61</v>
      </c>
      <c r="P55" s="7" t="s">
        <v>119</v>
      </c>
      <c r="Q55" s="11" t="s">
        <v>331</v>
      </c>
      <c r="R55" s="10" t="s">
        <v>81</v>
      </c>
      <c r="S55" s="10" t="s">
        <v>82</v>
      </c>
      <c r="T55" s="8" t="s">
        <v>62</v>
      </c>
      <c r="U55" s="7"/>
      <c r="V55" s="7" t="s">
        <v>83</v>
      </c>
      <c r="W55" s="8" t="s">
        <v>64</v>
      </c>
      <c r="X55" s="9" t="s">
        <v>332</v>
      </c>
    </row>
    <row r="56" spans="1:24" s="11" customFormat="1" ht="15.75" x14ac:dyDescent="0.25">
      <c r="A56" s="7" t="s">
        <v>72</v>
      </c>
      <c r="B56" s="8" t="s">
        <v>57</v>
      </c>
      <c r="C56" s="7" t="s">
        <v>333</v>
      </c>
      <c r="D56" s="9" t="s">
        <v>334</v>
      </c>
      <c r="E56" s="10" t="s">
        <v>75</v>
      </c>
      <c r="F56" s="10" t="s">
        <v>76</v>
      </c>
      <c r="G56" s="10" t="s">
        <v>58</v>
      </c>
      <c r="H56" s="10" t="s">
        <v>335</v>
      </c>
      <c r="I56" s="10" t="s">
        <v>78</v>
      </c>
      <c r="J56" s="10" t="s">
        <v>79</v>
      </c>
      <c r="K56" s="10" t="s">
        <v>59</v>
      </c>
      <c r="L56" s="7" t="s">
        <v>72</v>
      </c>
      <c r="M56" s="10" t="s">
        <v>60</v>
      </c>
      <c r="N56" s="7" t="s">
        <v>72</v>
      </c>
      <c r="O56" s="8" t="s">
        <v>61</v>
      </c>
      <c r="P56" s="7" t="s">
        <v>333</v>
      </c>
      <c r="Q56" s="11" t="s">
        <v>336</v>
      </c>
      <c r="R56" s="10" t="s">
        <v>81</v>
      </c>
      <c r="S56" s="10" t="s">
        <v>82</v>
      </c>
      <c r="T56" s="8" t="s">
        <v>62</v>
      </c>
      <c r="U56" s="7"/>
      <c r="V56" s="7" t="s">
        <v>83</v>
      </c>
      <c r="W56" s="8" t="s">
        <v>64</v>
      </c>
      <c r="X56" s="9" t="s">
        <v>337</v>
      </c>
    </row>
    <row r="57" spans="1:24" s="11" customFormat="1" ht="15.75" x14ac:dyDescent="0.25">
      <c r="A57" s="7" t="s">
        <v>72</v>
      </c>
      <c r="B57" s="8" t="s">
        <v>57</v>
      </c>
      <c r="C57" s="7" t="s">
        <v>72</v>
      </c>
      <c r="D57" s="9" t="s">
        <v>338</v>
      </c>
      <c r="E57" s="10" t="s">
        <v>75</v>
      </c>
      <c r="F57" s="10" t="s">
        <v>76</v>
      </c>
      <c r="G57" s="10" t="s">
        <v>58</v>
      </c>
      <c r="H57" s="10" t="s">
        <v>339</v>
      </c>
      <c r="I57" s="10" t="s">
        <v>78</v>
      </c>
      <c r="J57" s="10" t="s">
        <v>79</v>
      </c>
      <c r="K57" s="10" t="s">
        <v>59</v>
      </c>
      <c r="L57" s="7" t="s">
        <v>72</v>
      </c>
      <c r="M57" s="10" t="s">
        <v>60</v>
      </c>
      <c r="N57" s="7" t="s">
        <v>72</v>
      </c>
      <c r="O57" s="8" t="s">
        <v>61</v>
      </c>
      <c r="P57" s="7" t="s">
        <v>72</v>
      </c>
      <c r="Q57" s="11" t="s">
        <v>340</v>
      </c>
      <c r="R57" s="10" t="s">
        <v>81</v>
      </c>
      <c r="S57" s="10" t="s">
        <v>82</v>
      </c>
      <c r="T57" s="8" t="s">
        <v>62</v>
      </c>
      <c r="U57" s="7"/>
      <c r="V57" s="7" t="s">
        <v>83</v>
      </c>
      <c r="W57" s="8" t="s">
        <v>64</v>
      </c>
      <c r="X57" s="9" t="s">
        <v>341</v>
      </c>
    </row>
    <row r="58" spans="1:24" s="11" customFormat="1" ht="15.75" x14ac:dyDescent="0.25">
      <c r="A58" s="7" t="s">
        <v>72</v>
      </c>
      <c r="B58" s="8" t="s">
        <v>57</v>
      </c>
      <c r="C58" s="7" t="s">
        <v>342</v>
      </c>
      <c r="D58" s="9" t="s">
        <v>343</v>
      </c>
      <c r="E58" s="10" t="s">
        <v>75</v>
      </c>
      <c r="F58" s="10" t="s">
        <v>76</v>
      </c>
      <c r="G58" s="10" t="s">
        <v>58</v>
      </c>
      <c r="H58" s="10" t="s">
        <v>344</v>
      </c>
      <c r="I58" s="10" t="s">
        <v>78</v>
      </c>
      <c r="J58" s="10" t="s">
        <v>79</v>
      </c>
      <c r="K58" s="10" t="s">
        <v>59</v>
      </c>
      <c r="L58" s="7" t="s">
        <v>72</v>
      </c>
      <c r="M58" s="10" t="s">
        <v>60</v>
      </c>
      <c r="N58" s="7" t="s">
        <v>72</v>
      </c>
      <c r="O58" s="8" t="s">
        <v>61</v>
      </c>
      <c r="P58" s="7" t="s">
        <v>342</v>
      </c>
      <c r="Q58" s="11" t="s">
        <v>345</v>
      </c>
      <c r="R58" s="10" t="s">
        <v>81</v>
      </c>
      <c r="S58" s="10" t="s">
        <v>82</v>
      </c>
      <c r="T58" s="8" t="s">
        <v>62</v>
      </c>
      <c r="U58" s="7"/>
      <c r="V58" s="7" t="s">
        <v>83</v>
      </c>
      <c r="W58" s="8" t="s">
        <v>64</v>
      </c>
      <c r="X58" s="9" t="s">
        <v>346</v>
      </c>
    </row>
    <row r="59" spans="1:24" s="11" customFormat="1" ht="15.75" x14ac:dyDescent="0.25">
      <c r="A59" s="7" t="s">
        <v>72</v>
      </c>
      <c r="B59" s="8" t="s">
        <v>57</v>
      </c>
      <c r="C59" s="7" t="s">
        <v>83</v>
      </c>
      <c r="D59" s="9" t="s">
        <v>347</v>
      </c>
      <c r="E59" s="10" t="s">
        <v>75</v>
      </c>
      <c r="F59" s="10" t="s">
        <v>76</v>
      </c>
      <c r="G59" s="10" t="s">
        <v>58</v>
      </c>
      <c r="H59" s="10" t="s">
        <v>348</v>
      </c>
      <c r="I59" s="10" t="s">
        <v>78</v>
      </c>
      <c r="J59" s="10" t="s">
        <v>79</v>
      </c>
      <c r="K59" s="10" t="s">
        <v>59</v>
      </c>
      <c r="L59" s="7" t="s">
        <v>72</v>
      </c>
      <c r="M59" s="10" t="s">
        <v>60</v>
      </c>
      <c r="N59" s="7" t="s">
        <v>72</v>
      </c>
      <c r="O59" s="8" t="s">
        <v>61</v>
      </c>
      <c r="P59" s="7" t="s">
        <v>83</v>
      </c>
      <c r="Q59" s="11" t="s">
        <v>349</v>
      </c>
      <c r="R59" s="10" t="s">
        <v>81</v>
      </c>
      <c r="S59" s="10" t="s">
        <v>82</v>
      </c>
      <c r="T59" s="8" t="s">
        <v>62</v>
      </c>
      <c r="U59" s="7"/>
      <c r="V59" s="7" t="s">
        <v>83</v>
      </c>
      <c r="W59" s="8" t="s">
        <v>64</v>
      </c>
      <c r="X59" s="9" t="s">
        <v>350</v>
      </c>
    </row>
    <row r="60" spans="1:24" s="11" customFormat="1" ht="15.75" x14ac:dyDescent="0.25">
      <c r="A60" s="7" t="s">
        <v>72</v>
      </c>
      <c r="B60" s="8" t="s">
        <v>57</v>
      </c>
      <c r="C60" s="7" t="s">
        <v>351</v>
      </c>
      <c r="D60" s="9" t="s">
        <v>352</v>
      </c>
      <c r="E60" s="10" t="s">
        <v>75</v>
      </c>
      <c r="F60" s="10" t="s">
        <v>76</v>
      </c>
      <c r="G60" s="10" t="s">
        <v>58</v>
      </c>
      <c r="H60" s="10" t="s">
        <v>353</v>
      </c>
      <c r="I60" s="10" t="s">
        <v>78</v>
      </c>
      <c r="J60" s="10" t="s">
        <v>79</v>
      </c>
      <c r="K60" s="10" t="s">
        <v>59</v>
      </c>
      <c r="L60" s="7" t="s">
        <v>72</v>
      </c>
      <c r="M60" s="10" t="s">
        <v>60</v>
      </c>
      <c r="N60" s="7" t="s">
        <v>72</v>
      </c>
      <c r="O60" s="8" t="s">
        <v>61</v>
      </c>
      <c r="P60" s="7" t="s">
        <v>351</v>
      </c>
      <c r="Q60" s="11" t="s">
        <v>354</v>
      </c>
      <c r="R60" s="10" t="s">
        <v>81</v>
      </c>
      <c r="S60" s="10" t="s">
        <v>82</v>
      </c>
      <c r="T60" s="8" t="s">
        <v>62</v>
      </c>
      <c r="U60" s="7"/>
      <c r="V60" s="7" t="s">
        <v>83</v>
      </c>
      <c r="W60" s="8" t="s">
        <v>64</v>
      </c>
      <c r="X60" s="9" t="s">
        <v>355</v>
      </c>
    </row>
    <row r="61" spans="1:24" s="11" customFormat="1" ht="15.75" x14ac:dyDescent="0.25">
      <c r="A61" s="7" t="s">
        <v>72</v>
      </c>
      <c r="B61" s="8" t="s">
        <v>57</v>
      </c>
      <c r="C61" s="7" t="s">
        <v>356</v>
      </c>
      <c r="D61" s="9" t="s">
        <v>357</v>
      </c>
      <c r="E61" s="10" t="s">
        <v>75</v>
      </c>
      <c r="F61" s="10" t="s">
        <v>76</v>
      </c>
      <c r="G61" s="10" t="s">
        <v>58</v>
      </c>
      <c r="H61" s="10" t="s">
        <v>358</v>
      </c>
      <c r="I61" s="10" t="s">
        <v>78</v>
      </c>
      <c r="J61" s="10" t="s">
        <v>79</v>
      </c>
      <c r="K61" s="10" t="s">
        <v>59</v>
      </c>
      <c r="L61" s="7" t="s">
        <v>72</v>
      </c>
      <c r="M61" s="10" t="s">
        <v>60</v>
      </c>
      <c r="N61" s="7" t="s">
        <v>72</v>
      </c>
      <c r="O61" s="8" t="s">
        <v>61</v>
      </c>
      <c r="P61" s="7" t="s">
        <v>356</v>
      </c>
      <c r="Q61" s="11" t="s">
        <v>359</v>
      </c>
      <c r="R61" s="10" t="s">
        <v>81</v>
      </c>
      <c r="S61" s="10" t="s">
        <v>82</v>
      </c>
      <c r="T61" s="8" t="s">
        <v>62</v>
      </c>
      <c r="U61" s="7"/>
      <c r="V61" s="7" t="s">
        <v>83</v>
      </c>
      <c r="W61" s="8" t="s">
        <v>64</v>
      </c>
      <c r="X61" s="9" t="s">
        <v>360</v>
      </c>
    </row>
    <row r="62" spans="1:24" s="11" customFormat="1" ht="15.75" x14ac:dyDescent="0.25">
      <c r="A62" s="7" t="s">
        <v>72</v>
      </c>
      <c r="B62" s="8" t="s">
        <v>57</v>
      </c>
      <c r="C62" s="7" t="s">
        <v>310</v>
      </c>
      <c r="D62" s="9" t="s">
        <v>361</v>
      </c>
      <c r="E62" s="10" t="s">
        <v>75</v>
      </c>
      <c r="F62" s="10" t="s">
        <v>76</v>
      </c>
      <c r="G62" s="10" t="s">
        <v>58</v>
      </c>
      <c r="H62" s="10" t="s">
        <v>362</v>
      </c>
      <c r="I62" s="10" t="s">
        <v>78</v>
      </c>
      <c r="J62" s="10" t="s">
        <v>79</v>
      </c>
      <c r="K62" s="10" t="s">
        <v>59</v>
      </c>
      <c r="L62" s="7" t="s">
        <v>72</v>
      </c>
      <c r="M62" s="10" t="s">
        <v>60</v>
      </c>
      <c r="N62" s="7" t="s">
        <v>72</v>
      </c>
      <c r="O62" s="8" t="s">
        <v>61</v>
      </c>
      <c r="P62" s="7" t="s">
        <v>310</v>
      </c>
      <c r="Q62" s="11" t="s">
        <v>363</v>
      </c>
      <c r="R62" s="10" t="s">
        <v>81</v>
      </c>
      <c r="S62" s="10" t="s">
        <v>82</v>
      </c>
      <c r="T62" s="8" t="s">
        <v>62</v>
      </c>
      <c r="U62" s="7"/>
      <c r="V62" s="7" t="s">
        <v>83</v>
      </c>
      <c r="W62" s="8" t="s">
        <v>64</v>
      </c>
      <c r="X62" s="9" t="s">
        <v>364</v>
      </c>
    </row>
    <row r="63" spans="1:24" s="11" customFormat="1" ht="15.75" x14ac:dyDescent="0.25">
      <c r="A63" s="7" t="s">
        <v>72</v>
      </c>
      <c r="B63" s="8" t="s">
        <v>57</v>
      </c>
      <c r="C63" s="7" t="s">
        <v>365</v>
      </c>
      <c r="D63" s="9" t="s">
        <v>366</v>
      </c>
      <c r="E63" s="10" t="s">
        <v>75</v>
      </c>
      <c r="F63" s="10" t="s">
        <v>76</v>
      </c>
      <c r="G63" s="10" t="s">
        <v>58</v>
      </c>
      <c r="H63" s="10" t="s">
        <v>367</v>
      </c>
      <c r="I63" s="10" t="s">
        <v>78</v>
      </c>
      <c r="J63" s="10" t="s">
        <v>79</v>
      </c>
      <c r="K63" s="10" t="s">
        <v>59</v>
      </c>
      <c r="L63" s="7" t="s">
        <v>72</v>
      </c>
      <c r="M63" s="10" t="s">
        <v>60</v>
      </c>
      <c r="N63" s="7" t="s">
        <v>72</v>
      </c>
      <c r="O63" s="8" t="s">
        <v>61</v>
      </c>
      <c r="P63" s="7" t="s">
        <v>365</v>
      </c>
      <c r="Q63" s="11" t="s">
        <v>368</v>
      </c>
      <c r="R63" s="10" t="s">
        <v>81</v>
      </c>
      <c r="S63" s="10" t="s">
        <v>82</v>
      </c>
      <c r="T63" s="8" t="s">
        <v>62</v>
      </c>
      <c r="U63" s="7"/>
      <c r="V63" s="7" t="s">
        <v>83</v>
      </c>
      <c r="W63" s="8" t="s">
        <v>64</v>
      </c>
      <c r="X63" s="9" t="s">
        <v>369</v>
      </c>
    </row>
    <row r="64" spans="1:24" s="11" customFormat="1" ht="15.75" x14ac:dyDescent="0.25">
      <c r="A64" s="7" t="s">
        <v>72</v>
      </c>
      <c r="B64" s="8" t="s">
        <v>57</v>
      </c>
      <c r="C64" s="7" t="s">
        <v>63</v>
      </c>
      <c r="D64" s="9" t="s">
        <v>370</v>
      </c>
      <c r="E64" s="10" t="s">
        <v>75</v>
      </c>
      <c r="F64" s="10" t="s">
        <v>76</v>
      </c>
      <c r="G64" s="10" t="s">
        <v>58</v>
      </c>
      <c r="H64" s="10" t="s">
        <v>371</v>
      </c>
      <c r="I64" s="10" t="s">
        <v>78</v>
      </c>
      <c r="J64" s="10" t="s">
        <v>79</v>
      </c>
      <c r="K64" s="10" t="s">
        <v>59</v>
      </c>
      <c r="L64" s="7" t="s">
        <v>72</v>
      </c>
      <c r="M64" s="10" t="s">
        <v>60</v>
      </c>
      <c r="N64" s="7" t="s">
        <v>72</v>
      </c>
      <c r="O64" s="8" t="s">
        <v>61</v>
      </c>
      <c r="P64" s="7" t="s">
        <v>63</v>
      </c>
      <c r="Q64" s="11" t="s">
        <v>372</v>
      </c>
      <c r="R64" s="10" t="s">
        <v>81</v>
      </c>
      <c r="S64" s="10" t="s">
        <v>82</v>
      </c>
      <c r="T64" s="8" t="s">
        <v>62</v>
      </c>
      <c r="U64" s="7"/>
      <c r="V64" s="7" t="s">
        <v>83</v>
      </c>
      <c r="W64" s="8" t="s">
        <v>64</v>
      </c>
      <c r="X64" s="9" t="s">
        <v>373</v>
      </c>
    </row>
    <row r="65" spans="1:24" s="11" customFormat="1" ht="15.75" x14ac:dyDescent="0.25">
      <c r="A65" s="7" t="s">
        <v>72</v>
      </c>
      <c r="B65" s="8" t="s">
        <v>57</v>
      </c>
      <c r="C65" s="7" t="s">
        <v>374</v>
      </c>
      <c r="D65" s="9" t="s">
        <v>375</v>
      </c>
      <c r="E65" s="10" t="s">
        <v>75</v>
      </c>
      <c r="F65" s="10" t="s">
        <v>76</v>
      </c>
      <c r="G65" s="10" t="s">
        <v>58</v>
      </c>
      <c r="H65" s="10" t="s">
        <v>376</v>
      </c>
      <c r="I65" s="10" t="s">
        <v>78</v>
      </c>
      <c r="J65" s="10" t="s">
        <v>79</v>
      </c>
      <c r="K65" s="10" t="s">
        <v>59</v>
      </c>
      <c r="L65" s="7" t="s">
        <v>72</v>
      </c>
      <c r="M65" s="10" t="s">
        <v>60</v>
      </c>
      <c r="N65" s="7" t="s">
        <v>72</v>
      </c>
      <c r="O65" s="8" t="s">
        <v>61</v>
      </c>
      <c r="P65" s="7" t="s">
        <v>374</v>
      </c>
      <c r="Q65" s="11" t="s">
        <v>377</v>
      </c>
      <c r="R65" s="10" t="s">
        <v>81</v>
      </c>
      <c r="S65" s="10" t="s">
        <v>82</v>
      </c>
      <c r="T65" s="8" t="s">
        <v>62</v>
      </c>
      <c r="U65" s="7"/>
      <c r="V65" s="7" t="s">
        <v>83</v>
      </c>
      <c r="W65" s="8" t="s">
        <v>64</v>
      </c>
      <c r="X65" s="9" t="s">
        <v>378</v>
      </c>
    </row>
    <row r="66" spans="1:24" s="11" customFormat="1" ht="15.75" x14ac:dyDescent="0.25">
      <c r="A66" s="7" t="s">
        <v>72</v>
      </c>
      <c r="B66" s="8" t="s">
        <v>57</v>
      </c>
      <c r="C66" s="7" t="s">
        <v>83</v>
      </c>
      <c r="D66" s="9" t="s">
        <v>379</v>
      </c>
      <c r="E66" s="10" t="s">
        <v>75</v>
      </c>
      <c r="F66" s="10" t="s">
        <v>76</v>
      </c>
      <c r="G66" s="10" t="s">
        <v>58</v>
      </c>
      <c r="H66" s="10" t="s">
        <v>380</v>
      </c>
      <c r="I66" s="10" t="s">
        <v>78</v>
      </c>
      <c r="J66" s="10" t="s">
        <v>79</v>
      </c>
      <c r="K66" s="10" t="s">
        <v>59</v>
      </c>
      <c r="L66" s="7" t="s">
        <v>72</v>
      </c>
      <c r="M66" s="10" t="s">
        <v>60</v>
      </c>
      <c r="N66" s="7" t="s">
        <v>72</v>
      </c>
      <c r="O66" s="8" t="s">
        <v>61</v>
      </c>
      <c r="P66" s="7" t="s">
        <v>83</v>
      </c>
      <c r="Q66" s="11" t="s">
        <v>381</v>
      </c>
      <c r="R66" s="10" t="s">
        <v>81</v>
      </c>
      <c r="S66" s="10" t="s">
        <v>82</v>
      </c>
      <c r="T66" s="8" t="s">
        <v>62</v>
      </c>
      <c r="U66" s="7"/>
      <c r="V66" s="7" t="s">
        <v>83</v>
      </c>
      <c r="W66" s="8" t="s">
        <v>64</v>
      </c>
      <c r="X66" s="9" t="s">
        <v>382</v>
      </c>
    </row>
    <row r="67" spans="1:24" s="11" customFormat="1" ht="15.75" x14ac:dyDescent="0.25">
      <c r="A67" s="7" t="s">
        <v>72</v>
      </c>
      <c r="B67" s="8" t="s">
        <v>57</v>
      </c>
      <c r="C67" s="7" t="s">
        <v>383</v>
      </c>
      <c r="D67" s="9" t="s">
        <v>384</v>
      </c>
      <c r="E67" s="10" t="s">
        <v>75</v>
      </c>
      <c r="F67" s="10" t="s">
        <v>76</v>
      </c>
      <c r="G67" s="10" t="s">
        <v>58</v>
      </c>
      <c r="H67" s="10" t="s">
        <v>385</v>
      </c>
      <c r="I67" s="10" t="s">
        <v>78</v>
      </c>
      <c r="J67" s="10" t="s">
        <v>79</v>
      </c>
      <c r="K67" s="10" t="s">
        <v>59</v>
      </c>
      <c r="L67" s="7" t="s">
        <v>72</v>
      </c>
      <c r="M67" s="10" t="s">
        <v>60</v>
      </c>
      <c r="N67" s="7" t="s">
        <v>72</v>
      </c>
      <c r="O67" s="8" t="s">
        <v>61</v>
      </c>
      <c r="P67" s="7" t="s">
        <v>383</v>
      </c>
      <c r="Q67" s="11" t="s">
        <v>386</v>
      </c>
      <c r="R67" s="10" t="s">
        <v>81</v>
      </c>
      <c r="S67" s="10" t="s">
        <v>82</v>
      </c>
      <c r="T67" s="8" t="s">
        <v>62</v>
      </c>
      <c r="U67" s="7"/>
      <c r="V67" s="7" t="s">
        <v>83</v>
      </c>
      <c r="W67" s="8" t="s">
        <v>64</v>
      </c>
      <c r="X67" s="9" t="s">
        <v>387</v>
      </c>
    </row>
    <row r="68" spans="1:24" s="11" customFormat="1" ht="15.75" x14ac:dyDescent="0.25">
      <c r="A68" s="7" t="s">
        <v>72</v>
      </c>
      <c r="B68" s="8" t="s">
        <v>57</v>
      </c>
      <c r="C68" s="7" t="s">
        <v>388</v>
      </c>
      <c r="D68" s="9" t="s">
        <v>389</v>
      </c>
      <c r="E68" s="10" t="s">
        <v>75</v>
      </c>
      <c r="F68" s="10" t="s">
        <v>76</v>
      </c>
      <c r="G68" s="10" t="s">
        <v>58</v>
      </c>
      <c r="H68" s="10" t="s">
        <v>390</v>
      </c>
      <c r="I68" s="10" t="s">
        <v>78</v>
      </c>
      <c r="J68" s="10" t="s">
        <v>79</v>
      </c>
      <c r="K68" s="10" t="s">
        <v>59</v>
      </c>
      <c r="L68" s="7" t="s">
        <v>72</v>
      </c>
      <c r="M68" s="10" t="s">
        <v>60</v>
      </c>
      <c r="N68" s="7" t="s">
        <v>72</v>
      </c>
      <c r="O68" s="8" t="s">
        <v>61</v>
      </c>
      <c r="P68" s="7" t="s">
        <v>388</v>
      </c>
      <c r="Q68" s="11" t="s">
        <v>391</v>
      </c>
      <c r="R68" s="10" t="s">
        <v>81</v>
      </c>
      <c r="S68" s="10" t="s">
        <v>82</v>
      </c>
      <c r="T68" s="8" t="s">
        <v>62</v>
      </c>
      <c r="U68" s="7"/>
      <c r="V68" s="7" t="s">
        <v>83</v>
      </c>
      <c r="W68" s="8" t="s">
        <v>64</v>
      </c>
      <c r="X68" s="9" t="s">
        <v>392</v>
      </c>
    </row>
    <row r="69" spans="1:24" s="11" customFormat="1" ht="15.75" x14ac:dyDescent="0.25">
      <c r="A69" s="7" t="s">
        <v>72</v>
      </c>
      <c r="B69" s="8" t="s">
        <v>57</v>
      </c>
      <c r="C69" s="7" t="s">
        <v>393</v>
      </c>
      <c r="D69" s="9" t="s">
        <v>394</v>
      </c>
      <c r="E69" s="10" t="s">
        <v>75</v>
      </c>
      <c r="F69" s="10" t="s">
        <v>76</v>
      </c>
      <c r="G69" s="10" t="s">
        <v>58</v>
      </c>
      <c r="H69" s="10" t="s">
        <v>395</v>
      </c>
      <c r="I69" s="10" t="s">
        <v>78</v>
      </c>
      <c r="J69" s="10" t="s">
        <v>79</v>
      </c>
      <c r="K69" s="10" t="s">
        <v>59</v>
      </c>
      <c r="L69" s="7" t="s">
        <v>72</v>
      </c>
      <c r="M69" s="10" t="s">
        <v>60</v>
      </c>
      <c r="N69" s="7" t="s">
        <v>72</v>
      </c>
      <c r="O69" s="8" t="s">
        <v>61</v>
      </c>
      <c r="P69" s="7" t="s">
        <v>393</v>
      </c>
      <c r="Q69" s="11" t="s">
        <v>396</v>
      </c>
      <c r="R69" s="10" t="s">
        <v>81</v>
      </c>
      <c r="S69" s="10" t="s">
        <v>82</v>
      </c>
      <c r="T69" s="8" t="s">
        <v>62</v>
      </c>
      <c r="U69" s="7"/>
      <c r="V69" s="7" t="s">
        <v>83</v>
      </c>
      <c r="W69" s="8" t="s">
        <v>64</v>
      </c>
      <c r="X69" s="9" t="s">
        <v>397</v>
      </c>
    </row>
    <row r="70" spans="1:24" s="11" customFormat="1" ht="15.75" x14ac:dyDescent="0.25">
      <c r="A70" s="7" t="s">
        <v>72</v>
      </c>
      <c r="B70" s="8" t="s">
        <v>57</v>
      </c>
      <c r="C70" s="7" t="s">
        <v>398</v>
      </c>
      <c r="D70" s="9" t="s">
        <v>399</v>
      </c>
      <c r="E70" s="10" t="s">
        <v>75</v>
      </c>
      <c r="F70" s="10" t="s">
        <v>76</v>
      </c>
      <c r="G70" s="10" t="s">
        <v>58</v>
      </c>
      <c r="H70" s="10" t="s">
        <v>400</v>
      </c>
      <c r="I70" s="10" t="s">
        <v>78</v>
      </c>
      <c r="J70" s="10" t="s">
        <v>79</v>
      </c>
      <c r="K70" s="10" t="s">
        <v>59</v>
      </c>
      <c r="L70" s="7" t="s">
        <v>72</v>
      </c>
      <c r="M70" s="10" t="s">
        <v>60</v>
      </c>
      <c r="N70" s="7" t="s">
        <v>72</v>
      </c>
      <c r="O70" s="8" t="s">
        <v>61</v>
      </c>
      <c r="P70" s="7" t="s">
        <v>398</v>
      </c>
      <c r="Q70" s="11" t="s">
        <v>401</v>
      </c>
      <c r="R70" s="10" t="s">
        <v>81</v>
      </c>
      <c r="S70" s="10" t="s">
        <v>82</v>
      </c>
      <c r="T70" s="8" t="s">
        <v>62</v>
      </c>
      <c r="U70" s="7"/>
      <c r="V70" s="7" t="s">
        <v>83</v>
      </c>
      <c r="W70" s="8" t="s">
        <v>64</v>
      </c>
      <c r="X70" s="11" t="s">
        <v>402</v>
      </c>
    </row>
    <row r="71" spans="1:24" s="11" customFormat="1" ht="15.75" x14ac:dyDescent="0.25">
      <c r="A71" s="7" t="s">
        <v>72</v>
      </c>
      <c r="B71" s="8" t="s">
        <v>57</v>
      </c>
      <c r="C71" s="7" t="s">
        <v>403</v>
      </c>
      <c r="D71" s="9" t="s">
        <v>404</v>
      </c>
      <c r="E71" s="10" t="s">
        <v>75</v>
      </c>
      <c r="F71" s="10" t="s">
        <v>76</v>
      </c>
      <c r="G71" s="10" t="s">
        <v>58</v>
      </c>
      <c r="H71" s="10" t="s">
        <v>405</v>
      </c>
      <c r="I71" s="10" t="s">
        <v>78</v>
      </c>
      <c r="J71" s="10" t="s">
        <v>79</v>
      </c>
      <c r="K71" s="10" t="s">
        <v>59</v>
      </c>
      <c r="L71" s="7" t="s">
        <v>72</v>
      </c>
      <c r="M71" s="10" t="s">
        <v>60</v>
      </c>
      <c r="N71" s="7" t="s">
        <v>72</v>
      </c>
      <c r="O71" s="8" t="s">
        <v>61</v>
      </c>
      <c r="P71" s="7" t="s">
        <v>403</v>
      </c>
      <c r="Q71" s="11" t="s">
        <v>406</v>
      </c>
      <c r="R71" s="10" t="s">
        <v>81</v>
      </c>
      <c r="S71" s="10" t="s">
        <v>82</v>
      </c>
      <c r="T71" s="8" t="s">
        <v>62</v>
      </c>
      <c r="U71" s="7"/>
      <c r="V71" s="7" t="s">
        <v>83</v>
      </c>
      <c r="W71" s="8" t="s">
        <v>64</v>
      </c>
      <c r="X71" s="9" t="s">
        <v>407</v>
      </c>
    </row>
    <row r="72" spans="1:24" s="11" customFormat="1" ht="15.75" x14ac:dyDescent="0.25">
      <c r="A72" s="7" t="s">
        <v>72</v>
      </c>
      <c r="B72" s="8" t="s">
        <v>57</v>
      </c>
      <c r="C72" s="7" t="s">
        <v>408</v>
      </c>
      <c r="D72" s="9" t="s">
        <v>409</v>
      </c>
      <c r="E72" s="10" t="s">
        <v>75</v>
      </c>
      <c r="F72" s="10" t="s">
        <v>76</v>
      </c>
      <c r="G72" s="10" t="s">
        <v>58</v>
      </c>
      <c r="H72" s="10" t="s">
        <v>410</v>
      </c>
      <c r="I72" s="10" t="s">
        <v>78</v>
      </c>
      <c r="J72" s="10" t="s">
        <v>79</v>
      </c>
      <c r="K72" s="10" t="s">
        <v>59</v>
      </c>
      <c r="L72" s="7" t="s">
        <v>72</v>
      </c>
      <c r="M72" s="10" t="s">
        <v>60</v>
      </c>
      <c r="N72" s="7" t="s">
        <v>72</v>
      </c>
      <c r="O72" s="8" t="s">
        <v>61</v>
      </c>
      <c r="P72" s="7" t="s">
        <v>408</v>
      </c>
      <c r="Q72" s="11" t="s">
        <v>411</v>
      </c>
      <c r="R72" s="10" t="s">
        <v>81</v>
      </c>
      <c r="S72" s="10" t="s">
        <v>82</v>
      </c>
      <c r="T72" s="8" t="s">
        <v>62</v>
      </c>
      <c r="U72" s="7"/>
      <c r="V72" s="7" t="s">
        <v>83</v>
      </c>
      <c r="W72" s="8" t="s">
        <v>64</v>
      </c>
      <c r="X72" s="9" t="s">
        <v>412</v>
      </c>
    </row>
    <row r="73" spans="1:24" s="11" customFormat="1" ht="15.75" x14ac:dyDescent="0.25">
      <c r="A73" s="7" t="s">
        <v>72</v>
      </c>
      <c r="B73" s="8" t="s">
        <v>57</v>
      </c>
      <c r="C73" s="7" t="s">
        <v>383</v>
      </c>
      <c r="D73" s="9" t="s">
        <v>413</v>
      </c>
      <c r="E73" s="10" t="s">
        <v>75</v>
      </c>
      <c r="F73" s="10" t="s">
        <v>76</v>
      </c>
      <c r="G73" s="10" t="s">
        <v>58</v>
      </c>
      <c r="H73" s="10" t="s">
        <v>414</v>
      </c>
      <c r="I73" s="10" t="s">
        <v>78</v>
      </c>
      <c r="J73" s="10" t="s">
        <v>79</v>
      </c>
      <c r="K73" s="10" t="s">
        <v>59</v>
      </c>
      <c r="L73" s="7" t="s">
        <v>72</v>
      </c>
      <c r="M73" s="10" t="s">
        <v>60</v>
      </c>
      <c r="N73" s="7" t="s">
        <v>72</v>
      </c>
      <c r="O73" s="8" t="s">
        <v>61</v>
      </c>
      <c r="P73" s="7" t="s">
        <v>383</v>
      </c>
      <c r="Q73" s="11" t="s">
        <v>415</v>
      </c>
      <c r="R73" s="10" t="s">
        <v>81</v>
      </c>
      <c r="S73" s="10" t="s">
        <v>82</v>
      </c>
      <c r="T73" s="8" t="s">
        <v>62</v>
      </c>
      <c r="U73" s="7"/>
      <c r="V73" s="7" t="s">
        <v>83</v>
      </c>
      <c r="W73" s="8" t="s">
        <v>64</v>
      </c>
      <c r="X73" s="9" t="s">
        <v>416</v>
      </c>
    </row>
    <row r="74" spans="1:24" s="11" customFormat="1" ht="15.75" x14ac:dyDescent="0.25">
      <c r="A74" s="7" t="s">
        <v>72</v>
      </c>
      <c r="B74" s="8" t="s">
        <v>57</v>
      </c>
      <c r="C74" s="7" t="s">
        <v>417</v>
      </c>
      <c r="D74" s="9" t="s">
        <v>418</v>
      </c>
      <c r="E74" s="10" t="s">
        <v>75</v>
      </c>
      <c r="F74" s="10" t="s">
        <v>76</v>
      </c>
      <c r="G74" s="10" t="s">
        <v>58</v>
      </c>
      <c r="H74" s="10" t="s">
        <v>419</v>
      </c>
      <c r="I74" s="10" t="s">
        <v>78</v>
      </c>
      <c r="J74" s="10" t="s">
        <v>79</v>
      </c>
      <c r="K74" s="10" t="s">
        <v>59</v>
      </c>
      <c r="L74" s="7" t="s">
        <v>72</v>
      </c>
      <c r="M74" s="10" t="s">
        <v>60</v>
      </c>
      <c r="N74" s="7" t="s">
        <v>72</v>
      </c>
      <c r="O74" s="8" t="s">
        <v>61</v>
      </c>
      <c r="P74" s="7" t="s">
        <v>417</v>
      </c>
      <c r="Q74" s="11" t="s">
        <v>420</v>
      </c>
      <c r="R74" s="10" t="s">
        <v>81</v>
      </c>
      <c r="S74" s="10" t="s">
        <v>82</v>
      </c>
      <c r="T74" s="8" t="s">
        <v>62</v>
      </c>
      <c r="U74" s="7"/>
      <c r="V74" s="7" t="s">
        <v>83</v>
      </c>
      <c r="W74" s="8" t="s">
        <v>64</v>
      </c>
      <c r="X74" s="9" t="s">
        <v>421</v>
      </c>
    </row>
    <row r="75" spans="1:24" s="11" customFormat="1" ht="15.75" x14ac:dyDescent="0.25">
      <c r="A75" s="7" t="s">
        <v>72</v>
      </c>
      <c r="B75" s="8" t="s">
        <v>57</v>
      </c>
      <c r="C75" s="7" t="s">
        <v>422</v>
      </c>
      <c r="D75" s="9" t="s">
        <v>423</v>
      </c>
      <c r="E75" s="10" t="s">
        <v>75</v>
      </c>
      <c r="F75" s="10" t="s">
        <v>76</v>
      </c>
      <c r="G75" s="10" t="s">
        <v>58</v>
      </c>
      <c r="H75" s="10" t="s">
        <v>424</v>
      </c>
      <c r="I75" s="10" t="s">
        <v>78</v>
      </c>
      <c r="J75" s="10" t="s">
        <v>79</v>
      </c>
      <c r="K75" s="10" t="s">
        <v>59</v>
      </c>
      <c r="L75" s="7" t="s">
        <v>72</v>
      </c>
      <c r="M75" s="10" t="s">
        <v>60</v>
      </c>
      <c r="N75" s="7" t="s">
        <v>72</v>
      </c>
      <c r="O75" s="8" t="s">
        <v>61</v>
      </c>
      <c r="P75" s="7" t="s">
        <v>422</v>
      </c>
      <c r="Q75" s="11" t="s">
        <v>425</v>
      </c>
      <c r="R75" s="10" t="s">
        <v>81</v>
      </c>
      <c r="S75" s="10" t="s">
        <v>82</v>
      </c>
      <c r="T75" s="8" t="s">
        <v>62</v>
      </c>
      <c r="U75" s="7"/>
      <c r="V75" s="7" t="s">
        <v>83</v>
      </c>
      <c r="W75" s="8" t="s">
        <v>64</v>
      </c>
      <c r="X75" s="9" t="s">
        <v>426</v>
      </c>
    </row>
    <row r="76" spans="1:24" s="11" customFormat="1" ht="15.75" x14ac:dyDescent="0.25">
      <c r="A76" s="7" t="s">
        <v>72</v>
      </c>
      <c r="B76" s="8" t="s">
        <v>57</v>
      </c>
      <c r="C76" s="7" t="s">
        <v>427</v>
      </c>
      <c r="D76" s="9" t="s">
        <v>428</v>
      </c>
      <c r="E76" s="10" t="s">
        <v>75</v>
      </c>
      <c r="F76" s="10" t="s">
        <v>76</v>
      </c>
      <c r="G76" s="10" t="s">
        <v>58</v>
      </c>
      <c r="H76" s="10" t="s">
        <v>429</v>
      </c>
      <c r="I76" s="10" t="s">
        <v>78</v>
      </c>
      <c r="J76" s="10" t="s">
        <v>79</v>
      </c>
      <c r="K76" s="10" t="s">
        <v>59</v>
      </c>
      <c r="L76" s="7" t="s">
        <v>72</v>
      </c>
      <c r="M76" s="10" t="s">
        <v>60</v>
      </c>
      <c r="N76" s="7" t="s">
        <v>72</v>
      </c>
      <c r="O76" s="8" t="s">
        <v>61</v>
      </c>
      <c r="P76" s="7" t="s">
        <v>427</v>
      </c>
      <c r="Q76" s="11" t="s">
        <v>430</v>
      </c>
      <c r="R76" s="10" t="s">
        <v>81</v>
      </c>
      <c r="S76" s="10" t="s">
        <v>82</v>
      </c>
      <c r="T76" s="8" t="s">
        <v>62</v>
      </c>
      <c r="U76" s="7"/>
      <c r="V76" s="7" t="s">
        <v>83</v>
      </c>
      <c r="W76" s="8" t="s">
        <v>64</v>
      </c>
      <c r="X76" s="9" t="s">
        <v>431</v>
      </c>
    </row>
    <row r="77" spans="1:24" s="11" customFormat="1" ht="15.75" x14ac:dyDescent="0.25">
      <c r="A77" s="7" t="s">
        <v>72</v>
      </c>
      <c r="B77" s="8" t="s">
        <v>57</v>
      </c>
      <c r="C77" s="7" t="s">
        <v>432</v>
      </c>
      <c r="D77" s="9" t="s">
        <v>433</v>
      </c>
      <c r="E77" s="10" t="s">
        <v>75</v>
      </c>
      <c r="F77" s="10" t="s">
        <v>76</v>
      </c>
      <c r="G77" s="10" t="s">
        <v>58</v>
      </c>
      <c r="H77" s="10" t="s">
        <v>434</v>
      </c>
      <c r="I77" s="10" t="s">
        <v>78</v>
      </c>
      <c r="J77" s="10" t="s">
        <v>79</v>
      </c>
      <c r="K77" s="10" t="s">
        <v>59</v>
      </c>
      <c r="L77" s="7" t="s">
        <v>72</v>
      </c>
      <c r="M77" s="10" t="s">
        <v>60</v>
      </c>
      <c r="N77" s="7" t="s">
        <v>72</v>
      </c>
      <c r="O77" s="8" t="s">
        <v>61</v>
      </c>
      <c r="P77" s="7" t="s">
        <v>432</v>
      </c>
      <c r="Q77" s="11" t="s">
        <v>435</v>
      </c>
      <c r="R77" s="10" t="s">
        <v>81</v>
      </c>
      <c r="S77" s="10" t="s">
        <v>82</v>
      </c>
      <c r="T77" s="8" t="s">
        <v>62</v>
      </c>
      <c r="U77" s="7"/>
      <c r="V77" s="7" t="s">
        <v>83</v>
      </c>
      <c r="W77" s="8" t="s">
        <v>64</v>
      </c>
      <c r="X77" s="9" t="s">
        <v>436</v>
      </c>
    </row>
    <row r="78" spans="1:24" s="11" customFormat="1" ht="15.75" x14ac:dyDescent="0.25">
      <c r="A78" s="7" t="s">
        <v>72</v>
      </c>
      <c r="B78" s="8" t="s">
        <v>57</v>
      </c>
      <c r="C78" s="7" t="s">
        <v>437</v>
      </c>
      <c r="D78" s="9" t="s">
        <v>438</v>
      </c>
      <c r="E78" s="10" t="s">
        <v>75</v>
      </c>
      <c r="F78" s="10" t="s">
        <v>76</v>
      </c>
      <c r="G78" s="10" t="s">
        <v>58</v>
      </c>
      <c r="H78" s="10" t="s">
        <v>439</v>
      </c>
      <c r="I78" s="10" t="s">
        <v>78</v>
      </c>
      <c r="J78" s="10" t="s">
        <v>79</v>
      </c>
      <c r="K78" s="10" t="s">
        <v>59</v>
      </c>
      <c r="L78" s="7" t="s">
        <v>72</v>
      </c>
      <c r="M78" s="10" t="s">
        <v>60</v>
      </c>
      <c r="N78" s="7" t="s">
        <v>72</v>
      </c>
      <c r="O78" s="8" t="s">
        <v>61</v>
      </c>
      <c r="P78" s="7" t="s">
        <v>437</v>
      </c>
      <c r="Q78" s="11" t="s">
        <v>440</v>
      </c>
      <c r="R78" s="10" t="s">
        <v>81</v>
      </c>
      <c r="S78" s="10" t="s">
        <v>82</v>
      </c>
      <c r="T78" s="8" t="s">
        <v>62</v>
      </c>
      <c r="U78" s="7"/>
      <c r="V78" s="7" t="s">
        <v>83</v>
      </c>
      <c r="W78" s="8" t="s">
        <v>64</v>
      </c>
      <c r="X78" s="9" t="s">
        <v>441</v>
      </c>
    </row>
    <row r="79" spans="1:24" s="11" customFormat="1" ht="15.75" x14ac:dyDescent="0.25">
      <c r="A79" s="7" t="s">
        <v>72</v>
      </c>
      <c r="B79" s="8" t="s">
        <v>57</v>
      </c>
      <c r="C79" s="7" t="s">
        <v>442</v>
      </c>
      <c r="D79" s="9" t="s">
        <v>443</v>
      </c>
      <c r="E79" s="10" t="s">
        <v>75</v>
      </c>
      <c r="F79" s="10" t="s">
        <v>76</v>
      </c>
      <c r="G79" s="10" t="s">
        <v>58</v>
      </c>
      <c r="H79" s="10" t="s">
        <v>444</v>
      </c>
      <c r="I79" s="10" t="s">
        <v>78</v>
      </c>
      <c r="J79" s="10" t="s">
        <v>79</v>
      </c>
      <c r="K79" s="10" t="s">
        <v>59</v>
      </c>
      <c r="L79" s="7" t="s">
        <v>72</v>
      </c>
      <c r="M79" s="10" t="s">
        <v>60</v>
      </c>
      <c r="N79" s="7" t="s">
        <v>72</v>
      </c>
      <c r="O79" s="8" t="s">
        <v>61</v>
      </c>
      <c r="P79" s="7" t="s">
        <v>442</v>
      </c>
      <c r="Q79" s="11" t="s">
        <v>445</v>
      </c>
      <c r="R79" s="10" t="s">
        <v>81</v>
      </c>
      <c r="S79" s="10" t="s">
        <v>82</v>
      </c>
      <c r="T79" s="8" t="s">
        <v>62</v>
      </c>
      <c r="U79" s="7"/>
      <c r="V79" s="7" t="s">
        <v>83</v>
      </c>
      <c r="W79" s="8" t="s">
        <v>64</v>
      </c>
      <c r="X79" s="9" t="s">
        <v>446</v>
      </c>
    </row>
    <row r="80" spans="1:24" s="11" customFormat="1" ht="15.75" x14ac:dyDescent="0.25">
      <c r="A80" s="7" t="s">
        <v>72</v>
      </c>
      <c r="B80" s="8" t="s">
        <v>57</v>
      </c>
      <c r="C80" s="7" t="s">
        <v>447</v>
      </c>
      <c r="D80" s="9" t="s">
        <v>448</v>
      </c>
      <c r="E80" s="10" t="s">
        <v>75</v>
      </c>
      <c r="F80" s="10" t="s">
        <v>76</v>
      </c>
      <c r="G80" s="10" t="s">
        <v>58</v>
      </c>
      <c r="H80" s="10" t="s">
        <v>449</v>
      </c>
      <c r="I80" s="10" t="s">
        <v>78</v>
      </c>
      <c r="J80" s="10" t="s">
        <v>79</v>
      </c>
      <c r="K80" s="10" t="s">
        <v>59</v>
      </c>
      <c r="L80" s="7" t="s">
        <v>72</v>
      </c>
      <c r="M80" s="10" t="s">
        <v>60</v>
      </c>
      <c r="N80" s="7" t="s">
        <v>72</v>
      </c>
      <c r="O80" s="8" t="s">
        <v>61</v>
      </c>
      <c r="P80" s="7" t="s">
        <v>447</v>
      </c>
      <c r="Q80" s="11" t="s">
        <v>450</v>
      </c>
      <c r="R80" s="10" t="s">
        <v>81</v>
      </c>
      <c r="S80" s="10" t="s">
        <v>82</v>
      </c>
      <c r="T80" s="8" t="s">
        <v>62</v>
      </c>
      <c r="U80" s="7"/>
      <c r="V80" s="7" t="s">
        <v>83</v>
      </c>
      <c r="W80" s="8" t="s">
        <v>64</v>
      </c>
      <c r="X80" s="9" t="s">
        <v>451</v>
      </c>
    </row>
    <row r="81" spans="1:24" s="11" customFormat="1" ht="15.75" x14ac:dyDescent="0.25">
      <c r="A81" s="7" t="s">
        <v>72</v>
      </c>
      <c r="B81" s="8" t="s">
        <v>57</v>
      </c>
      <c r="C81" s="7" t="s">
        <v>452</v>
      </c>
      <c r="D81" s="9" t="s">
        <v>453</v>
      </c>
      <c r="E81" s="10" t="s">
        <v>75</v>
      </c>
      <c r="F81" s="10" t="s">
        <v>76</v>
      </c>
      <c r="G81" s="10" t="s">
        <v>58</v>
      </c>
      <c r="H81" s="10" t="s">
        <v>454</v>
      </c>
      <c r="I81" s="10" t="s">
        <v>78</v>
      </c>
      <c r="J81" s="10" t="s">
        <v>79</v>
      </c>
      <c r="K81" s="10" t="s">
        <v>59</v>
      </c>
      <c r="L81" s="7" t="s">
        <v>72</v>
      </c>
      <c r="M81" s="10" t="s">
        <v>60</v>
      </c>
      <c r="N81" s="7" t="s">
        <v>72</v>
      </c>
      <c r="O81" s="8" t="s">
        <v>61</v>
      </c>
      <c r="P81" s="7" t="s">
        <v>452</v>
      </c>
      <c r="Q81" s="11" t="s">
        <v>455</v>
      </c>
      <c r="R81" s="10" t="s">
        <v>81</v>
      </c>
      <c r="S81" s="10" t="s">
        <v>82</v>
      </c>
      <c r="T81" s="8" t="s">
        <v>62</v>
      </c>
      <c r="U81" s="7"/>
      <c r="V81" s="7" t="s">
        <v>83</v>
      </c>
      <c r="W81" s="8" t="s">
        <v>64</v>
      </c>
      <c r="X81" s="9" t="s">
        <v>456</v>
      </c>
    </row>
    <row r="82" spans="1:24" s="11" customFormat="1" ht="15.75" x14ac:dyDescent="0.25">
      <c r="A82" s="7" t="s">
        <v>72</v>
      </c>
      <c r="B82" s="8" t="s">
        <v>57</v>
      </c>
      <c r="C82" s="7" t="s">
        <v>457</v>
      </c>
      <c r="D82" s="9" t="s">
        <v>458</v>
      </c>
      <c r="E82" s="10" t="s">
        <v>75</v>
      </c>
      <c r="F82" s="10" t="s">
        <v>76</v>
      </c>
      <c r="G82" s="10" t="s">
        <v>58</v>
      </c>
      <c r="H82" s="10" t="s">
        <v>459</v>
      </c>
      <c r="I82" s="10" t="s">
        <v>78</v>
      </c>
      <c r="J82" s="10" t="s">
        <v>79</v>
      </c>
      <c r="K82" s="10" t="s">
        <v>59</v>
      </c>
      <c r="L82" s="7" t="s">
        <v>72</v>
      </c>
      <c r="M82" s="10" t="s">
        <v>60</v>
      </c>
      <c r="N82" s="7" t="s">
        <v>72</v>
      </c>
      <c r="O82" s="8" t="s">
        <v>61</v>
      </c>
      <c r="P82" s="7" t="s">
        <v>457</v>
      </c>
      <c r="Q82" s="11" t="s">
        <v>460</v>
      </c>
      <c r="R82" s="10" t="s">
        <v>81</v>
      </c>
      <c r="S82" s="10" t="s">
        <v>82</v>
      </c>
      <c r="T82" s="8" t="s">
        <v>62</v>
      </c>
      <c r="U82" s="7"/>
      <c r="V82" s="7" t="s">
        <v>83</v>
      </c>
      <c r="W82" s="8" t="s">
        <v>64</v>
      </c>
      <c r="X82" s="9" t="s">
        <v>461</v>
      </c>
    </row>
    <row r="83" spans="1:24" s="11" customFormat="1" ht="15.75" x14ac:dyDescent="0.25">
      <c r="A83" s="7" t="s">
        <v>72</v>
      </c>
      <c r="B83" s="8" t="s">
        <v>57</v>
      </c>
      <c r="C83" s="7" t="s">
        <v>462</v>
      </c>
      <c r="D83" s="9" t="s">
        <v>463</v>
      </c>
      <c r="E83" s="10" t="s">
        <v>75</v>
      </c>
      <c r="F83" s="10" t="s">
        <v>76</v>
      </c>
      <c r="G83" s="10" t="s">
        <v>58</v>
      </c>
      <c r="H83" s="10" t="s">
        <v>464</v>
      </c>
      <c r="I83" s="10" t="s">
        <v>78</v>
      </c>
      <c r="J83" s="10" t="s">
        <v>79</v>
      </c>
      <c r="K83" s="10" t="s">
        <v>59</v>
      </c>
      <c r="L83" s="7" t="s">
        <v>72</v>
      </c>
      <c r="M83" s="10" t="s">
        <v>60</v>
      </c>
      <c r="N83" s="7" t="s">
        <v>72</v>
      </c>
      <c r="O83" s="8" t="s">
        <v>61</v>
      </c>
      <c r="P83" s="7" t="s">
        <v>462</v>
      </c>
      <c r="Q83" s="11" t="s">
        <v>465</v>
      </c>
      <c r="R83" s="10" t="s">
        <v>81</v>
      </c>
      <c r="S83" s="10" t="s">
        <v>82</v>
      </c>
      <c r="T83" s="8" t="s">
        <v>62</v>
      </c>
      <c r="U83" s="7"/>
      <c r="V83" s="7" t="s">
        <v>83</v>
      </c>
      <c r="W83" s="8" t="s">
        <v>64</v>
      </c>
      <c r="X83" s="9" t="s">
        <v>466</v>
      </c>
    </row>
    <row r="84" spans="1:24" s="11" customFormat="1" ht="15.75" x14ac:dyDescent="0.25">
      <c r="A84" s="7" t="s">
        <v>72</v>
      </c>
      <c r="B84" s="8" t="s">
        <v>57</v>
      </c>
      <c r="C84" s="7" t="s">
        <v>467</v>
      </c>
      <c r="D84" s="9" t="s">
        <v>468</v>
      </c>
      <c r="E84" s="10" t="s">
        <v>75</v>
      </c>
      <c r="F84" s="10" t="s">
        <v>76</v>
      </c>
      <c r="G84" s="10" t="s">
        <v>58</v>
      </c>
      <c r="H84" s="10" t="s">
        <v>469</v>
      </c>
      <c r="I84" s="10" t="s">
        <v>78</v>
      </c>
      <c r="J84" s="10" t="s">
        <v>79</v>
      </c>
      <c r="K84" s="10" t="s">
        <v>59</v>
      </c>
      <c r="L84" s="7" t="s">
        <v>72</v>
      </c>
      <c r="M84" s="10" t="s">
        <v>60</v>
      </c>
      <c r="N84" s="7" t="s">
        <v>72</v>
      </c>
      <c r="O84" s="8" t="s">
        <v>61</v>
      </c>
      <c r="P84" s="7" t="s">
        <v>467</v>
      </c>
      <c r="Q84" s="11" t="s">
        <v>470</v>
      </c>
      <c r="R84" s="10" t="s">
        <v>81</v>
      </c>
      <c r="S84" s="10" t="s">
        <v>82</v>
      </c>
      <c r="T84" s="8" t="s">
        <v>62</v>
      </c>
      <c r="U84" s="7"/>
      <c r="V84" s="7" t="s">
        <v>83</v>
      </c>
      <c r="W84" s="8" t="s">
        <v>64</v>
      </c>
      <c r="X84" s="9" t="s">
        <v>471</v>
      </c>
    </row>
    <row r="85" spans="1:24" s="11" customFormat="1" ht="15.75" x14ac:dyDescent="0.25">
      <c r="A85" s="7" t="s">
        <v>72</v>
      </c>
      <c r="B85" s="8" t="s">
        <v>57</v>
      </c>
      <c r="C85" s="7" t="s">
        <v>472</v>
      </c>
      <c r="D85" s="9" t="s">
        <v>473</v>
      </c>
      <c r="E85" s="10" t="s">
        <v>75</v>
      </c>
      <c r="F85" s="10" t="s">
        <v>76</v>
      </c>
      <c r="G85" s="10" t="s">
        <v>58</v>
      </c>
      <c r="H85" s="10" t="s">
        <v>474</v>
      </c>
      <c r="I85" s="10" t="s">
        <v>78</v>
      </c>
      <c r="J85" s="10" t="s">
        <v>79</v>
      </c>
      <c r="K85" s="10" t="s">
        <v>59</v>
      </c>
      <c r="L85" s="7" t="s">
        <v>72</v>
      </c>
      <c r="M85" s="10" t="s">
        <v>60</v>
      </c>
      <c r="N85" s="7" t="s">
        <v>72</v>
      </c>
      <c r="O85" s="8" t="s">
        <v>61</v>
      </c>
      <c r="P85" s="7" t="s">
        <v>472</v>
      </c>
      <c r="Q85" s="11" t="s">
        <v>475</v>
      </c>
      <c r="R85" s="10" t="s">
        <v>81</v>
      </c>
      <c r="S85" s="10" t="s">
        <v>82</v>
      </c>
      <c r="T85" s="8" t="s">
        <v>62</v>
      </c>
      <c r="U85" s="7"/>
      <c r="V85" s="7" t="s">
        <v>83</v>
      </c>
      <c r="W85" s="8" t="s">
        <v>64</v>
      </c>
      <c r="X85" s="9" t="s">
        <v>476</v>
      </c>
    </row>
    <row r="86" spans="1:24" s="11" customFormat="1" ht="15.75" x14ac:dyDescent="0.25">
      <c r="A86" s="7" t="s">
        <v>72</v>
      </c>
      <c r="B86" s="8" t="s">
        <v>57</v>
      </c>
      <c r="C86" s="7" t="s">
        <v>477</v>
      </c>
      <c r="D86" s="9" t="s">
        <v>478</v>
      </c>
      <c r="E86" s="10" t="s">
        <v>75</v>
      </c>
      <c r="F86" s="10" t="s">
        <v>76</v>
      </c>
      <c r="G86" s="10" t="s">
        <v>58</v>
      </c>
      <c r="H86" s="10" t="s">
        <v>479</v>
      </c>
      <c r="I86" s="10" t="s">
        <v>78</v>
      </c>
      <c r="J86" s="10" t="s">
        <v>79</v>
      </c>
      <c r="K86" s="10" t="s">
        <v>59</v>
      </c>
      <c r="L86" s="7" t="s">
        <v>72</v>
      </c>
      <c r="M86" s="10" t="s">
        <v>60</v>
      </c>
      <c r="N86" s="7" t="s">
        <v>72</v>
      </c>
      <c r="O86" s="8" t="s">
        <v>61</v>
      </c>
      <c r="P86" s="7" t="s">
        <v>477</v>
      </c>
      <c r="Q86" s="11" t="s">
        <v>480</v>
      </c>
      <c r="R86" s="10" t="s">
        <v>81</v>
      </c>
      <c r="S86" s="10" t="s">
        <v>82</v>
      </c>
      <c r="T86" s="8" t="s">
        <v>62</v>
      </c>
      <c r="U86" s="7"/>
      <c r="V86" s="7" t="s">
        <v>83</v>
      </c>
      <c r="W86" s="8" t="s">
        <v>64</v>
      </c>
      <c r="X86" s="9" t="s">
        <v>481</v>
      </c>
    </row>
    <row r="87" spans="1:24" s="11" customFormat="1" ht="15.75" x14ac:dyDescent="0.25">
      <c r="A87" s="7" t="s">
        <v>72</v>
      </c>
      <c r="B87" s="8" t="s">
        <v>57</v>
      </c>
      <c r="C87" s="7" t="s">
        <v>482</v>
      </c>
      <c r="D87" s="9" t="s">
        <v>483</v>
      </c>
      <c r="E87" s="10" t="s">
        <v>75</v>
      </c>
      <c r="F87" s="10" t="s">
        <v>76</v>
      </c>
      <c r="G87" s="10" t="s">
        <v>58</v>
      </c>
      <c r="H87" s="10" t="s">
        <v>484</v>
      </c>
      <c r="I87" s="10" t="s">
        <v>78</v>
      </c>
      <c r="J87" s="10" t="s">
        <v>79</v>
      </c>
      <c r="K87" s="10" t="s">
        <v>59</v>
      </c>
      <c r="L87" s="7" t="s">
        <v>72</v>
      </c>
      <c r="M87" s="10" t="s">
        <v>60</v>
      </c>
      <c r="N87" s="7" t="s">
        <v>72</v>
      </c>
      <c r="O87" s="8" t="s">
        <v>61</v>
      </c>
      <c r="P87" s="7" t="s">
        <v>482</v>
      </c>
      <c r="Q87" s="11" t="s">
        <v>485</v>
      </c>
      <c r="R87" s="10" t="s">
        <v>81</v>
      </c>
      <c r="S87" s="10" t="s">
        <v>82</v>
      </c>
      <c r="T87" s="8" t="s">
        <v>62</v>
      </c>
      <c r="U87" s="7"/>
      <c r="V87" s="7" t="s">
        <v>83</v>
      </c>
      <c r="W87" s="8" t="s">
        <v>64</v>
      </c>
      <c r="X87" s="9" t="s">
        <v>486</v>
      </c>
    </row>
    <row r="88" spans="1:24" s="11" customFormat="1" ht="15.75" x14ac:dyDescent="0.25">
      <c r="A88" s="7" t="s">
        <v>72</v>
      </c>
      <c r="B88" s="8" t="s">
        <v>57</v>
      </c>
      <c r="C88" s="7" t="s">
        <v>487</v>
      </c>
      <c r="D88" s="9" t="s">
        <v>488</v>
      </c>
      <c r="E88" s="10" t="s">
        <v>75</v>
      </c>
      <c r="F88" s="10" t="s">
        <v>76</v>
      </c>
      <c r="G88" s="10" t="s">
        <v>58</v>
      </c>
      <c r="H88" s="10" t="s">
        <v>489</v>
      </c>
      <c r="I88" s="10" t="s">
        <v>78</v>
      </c>
      <c r="J88" s="10" t="s">
        <v>79</v>
      </c>
      <c r="K88" s="10" t="s">
        <v>59</v>
      </c>
      <c r="L88" s="7" t="s">
        <v>72</v>
      </c>
      <c r="M88" s="10" t="s">
        <v>60</v>
      </c>
      <c r="N88" s="7" t="s">
        <v>72</v>
      </c>
      <c r="O88" s="8" t="s">
        <v>61</v>
      </c>
      <c r="P88" s="7" t="s">
        <v>487</v>
      </c>
      <c r="Q88" s="11" t="s">
        <v>490</v>
      </c>
      <c r="R88" s="10" t="s">
        <v>81</v>
      </c>
      <c r="S88" s="10" t="s">
        <v>82</v>
      </c>
      <c r="T88" s="8" t="s">
        <v>62</v>
      </c>
      <c r="U88" s="7"/>
      <c r="V88" s="7" t="s">
        <v>83</v>
      </c>
      <c r="W88" s="8" t="s">
        <v>64</v>
      </c>
      <c r="X88" s="9" t="s">
        <v>491</v>
      </c>
    </row>
    <row r="89" spans="1:24" s="11" customFormat="1" ht="15.75" x14ac:dyDescent="0.25">
      <c r="A89" s="7" t="s">
        <v>72</v>
      </c>
      <c r="B89" s="8" t="s">
        <v>57</v>
      </c>
      <c r="C89" s="7" t="s">
        <v>492</v>
      </c>
      <c r="D89" s="9" t="s">
        <v>493</v>
      </c>
      <c r="E89" s="10" t="s">
        <v>75</v>
      </c>
      <c r="F89" s="10" t="s">
        <v>76</v>
      </c>
      <c r="G89" s="10" t="s">
        <v>58</v>
      </c>
      <c r="H89" s="10" t="s">
        <v>494</v>
      </c>
      <c r="I89" s="10" t="s">
        <v>78</v>
      </c>
      <c r="J89" s="10" t="s">
        <v>79</v>
      </c>
      <c r="K89" s="10" t="s">
        <v>59</v>
      </c>
      <c r="L89" s="7" t="s">
        <v>72</v>
      </c>
      <c r="M89" s="10" t="s">
        <v>60</v>
      </c>
      <c r="N89" s="7" t="s">
        <v>72</v>
      </c>
      <c r="O89" s="8" t="s">
        <v>61</v>
      </c>
      <c r="P89" s="7" t="s">
        <v>492</v>
      </c>
      <c r="Q89" s="11" t="s">
        <v>495</v>
      </c>
      <c r="R89" s="10" t="s">
        <v>81</v>
      </c>
      <c r="S89" s="10" t="s">
        <v>82</v>
      </c>
      <c r="T89" s="8" t="s">
        <v>62</v>
      </c>
      <c r="U89" s="7"/>
      <c r="V89" s="7" t="s">
        <v>83</v>
      </c>
      <c r="W89" s="8" t="s">
        <v>64</v>
      </c>
      <c r="X89" s="9" t="s">
        <v>496</v>
      </c>
    </row>
    <row r="90" spans="1:24" s="11" customFormat="1" ht="15.75" x14ac:dyDescent="0.25">
      <c r="A90" s="7" t="s">
        <v>72</v>
      </c>
      <c r="B90" s="8" t="s">
        <v>57</v>
      </c>
      <c r="C90" s="7" t="s">
        <v>497</v>
      </c>
      <c r="D90" s="9" t="s">
        <v>498</v>
      </c>
      <c r="E90" s="10" t="s">
        <v>75</v>
      </c>
      <c r="F90" s="10" t="s">
        <v>76</v>
      </c>
      <c r="G90" s="10" t="s">
        <v>58</v>
      </c>
      <c r="H90" s="10" t="s">
        <v>499</v>
      </c>
      <c r="I90" s="10" t="s">
        <v>78</v>
      </c>
      <c r="J90" s="10" t="s">
        <v>79</v>
      </c>
      <c r="K90" s="10" t="s">
        <v>59</v>
      </c>
      <c r="L90" s="7" t="s">
        <v>72</v>
      </c>
      <c r="M90" s="10" t="s">
        <v>60</v>
      </c>
      <c r="N90" s="7" t="s">
        <v>72</v>
      </c>
      <c r="O90" s="8" t="s">
        <v>61</v>
      </c>
      <c r="P90" s="7" t="s">
        <v>497</v>
      </c>
      <c r="Q90" s="11" t="s">
        <v>500</v>
      </c>
      <c r="R90" s="10" t="s">
        <v>81</v>
      </c>
      <c r="S90" s="10" t="s">
        <v>82</v>
      </c>
      <c r="T90" s="8" t="s">
        <v>62</v>
      </c>
      <c r="U90" s="7"/>
      <c r="V90" s="7" t="s">
        <v>83</v>
      </c>
      <c r="W90" s="8" t="s">
        <v>64</v>
      </c>
      <c r="X90" s="9" t="s">
        <v>501</v>
      </c>
    </row>
    <row r="91" spans="1:24" s="11" customFormat="1" ht="15.75" x14ac:dyDescent="0.25">
      <c r="A91" s="7" t="s">
        <v>72</v>
      </c>
      <c r="B91" s="8" t="s">
        <v>57</v>
      </c>
      <c r="C91" s="7" t="s">
        <v>502</v>
      </c>
      <c r="D91" s="9" t="s">
        <v>503</v>
      </c>
      <c r="E91" s="10" t="s">
        <v>75</v>
      </c>
      <c r="F91" s="10" t="s">
        <v>76</v>
      </c>
      <c r="G91" s="10" t="s">
        <v>58</v>
      </c>
      <c r="H91" s="10" t="s">
        <v>504</v>
      </c>
      <c r="I91" s="10" t="s">
        <v>78</v>
      </c>
      <c r="J91" s="10" t="s">
        <v>79</v>
      </c>
      <c r="K91" s="10" t="s">
        <v>59</v>
      </c>
      <c r="L91" s="7" t="s">
        <v>72</v>
      </c>
      <c r="M91" s="10" t="s">
        <v>60</v>
      </c>
      <c r="N91" s="7" t="s">
        <v>72</v>
      </c>
      <c r="O91" s="8" t="s">
        <v>61</v>
      </c>
      <c r="P91" s="7" t="s">
        <v>502</v>
      </c>
      <c r="Q91" s="11" t="s">
        <v>505</v>
      </c>
      <c r="R91" s="10" t="s">
        <v>81</v>
      </c>
      <c r="S91" s="10" t="s">
        <v>82</v>
      </c>
      <c r="T91" s="8" t="s">
        <v>62</v>
      </c>
      <c r="U91" s="7"/>
      <c r="V91" s="7" t="s">
        <v>83</v>
      </c>
      <c r="W91" s="8" t="s">
        <v>64</v>
      </c>
      <c r="X91" s="9" t="s">
        <v>506</v>
      </c>
    </row>
    <row r="92" spans="1:24" s="11" customFormat="1" ht="15.75" x14ac:dyDescent="0.25">
      <c r="A92" s="7" t="s">
        <v>72</v>
      </c>
      <c r="B92" s="8" t="s">
        <v>57</v>
      </c>
      <c r="C92" s="7" t="s">
        <v>507</v>
      </c>
      <c r="D92" s="9" t="s">
        <v>508</v>
      </c>
      <c r="E92" s="10" t="s">
        <v>75</v>
      </c>
      <c r="F92" s="10" t="s">
        <v>76</v>
      </c>
      <c r="G92" s="10" t="s">
        <v>58</v>
      </c>
      <c r="H92" s="10" t="s">
        <v>509</v>
      </c>
      <c r="I92" s="10" t="s">
        <v>78</v>
      </c>
      <c r="J92" s="10" t="s">
        <v>79</v>
      </c>
      <c r="K92" s="10" t="s">
        <v>59</v>
      </c>
      <c r="L92" s="7" t="s">
        <v>72</v>
      </c>
      <c r="M92" s="10" t="s">
        <v>60</v>
      </c>
      <c r="N92" s="7" t="s">
        <v>72</v>
      </c>
      <c r="O92" s="8" t="s">
        <v>61</v>
      </c>
      <c r="P92" s="7" t="s">
        <v>507</v>
      </c>
      <c r="Q92" s="11" t="s">
        <v>510</v>
      </c>
      <c r="R92" s="10" t="s">
        <v>81</v>
      </c>
      <c r="S92" s="10" t="s">
        <v>82</v>
      </c>
      <c r="T92" s="8" t="s">
        <v>62</v>
      </c>
      <c r="U92" s="7"/>
      <c r="V92" s="7" t="s">
        <v>83</v>
      </c>
      <c r="W92" s="8" t="s">
        <v>64</v>
      </c>
      <c r="X92" s="9" t="s">
        <v>511</v>
      </c>
    </row>
    <row r="93" spans="1:24" s="11" customFormat="1" ht="15.75" x14ac:dyDescent="0.25">
      <c r="A93" s="7" t="s">
        <v>72</v>
      </c>
      <c r="B93" s="8" t="s">
        <v>57</v>
      </c>
      <c r="C93" s="7" t="s">
        <v>512</v>
      </c>
      <c r="D93" s="9" t="s">
        <v>513</v>
      </c>
      <c r="E93" s="10" t="s">
        <v>75</v>
      </c>
      <c r="F93" s="10" t="s">
        <v>76</v>
      </c>
      <c r="G93" s="10" t="s">
        <v>58</v>
      </c>
      <c r="H93" s="10" t="s">
        <v>514</v>
      </c>
      <c r="I93" s="10" t="s">
        <v>78</v>
      </c>
      <c r="J93" s="10" t="s">
        <v>79</v>
      </c>
      <c r="K93" s="10" t="s">
        <v>59</v>
      </c>
      <c r="L93" s="7" t="s">
        <v>72</v>
      </c>
      <c r="M93" s="10" t="s">
        <v>60</v>
      </c>
      <c r="N93" s="7" t="s">
        <v>72</v>
      </c>
      <c r="O93" s="8" t="s">
        <v>61</v>
      </c>
      <c r="P93" s="7" t="s">
        <v>512</v>
      </c>
      <c r="Q93" s="11" t="s">
        <v>515</v>
      </c>
      <c r="R93" s="10" t="s">
        <v>81</v>
      </c>
      <c r="S93" s="10" t="s">
        <v>82</v>
      </c>
      <c r="T93" s="8" t="s">
        <v>62</v>
      </c>
      <c r="U93" s="7"/>
      <c r="V93" s="7" t="s">
        <v>83</v>
      </c>
      <c r="W93" s="8" t="s">
        <v>64</v>
      </c>
      <c r="X93" s="9" t="s">
        <v>516</v>
      </c>
    </row>
    <row r="94" spans="1:24" s="11" customFormat="1" ht="15.75" x14ac:dyDescent="0.25">
      <c r="A94" s="7" t="s">
        <v>72</v>
      </c>
      <c r="B94" s="8" t="s">
        <v>57</v>
      </c>
      <c r="C94" s="7" t="s">
        <v>517</v>
      </c>
      <c r="D94" s="9" t="s">
        <v>518</v>
      </c>
      <c r="E94" s="10" t="s">
        <v>75</v>
      </c>
      <c r="F94" s="10" t="s">
        <v>76</v>
      </c>
      <c r="G94" s="10" t="s">
        <v>58</v>
      </c>
      <c r="H94" s="10" t="s">
        <v>519</v>
      </c>
      <c r="I94" s="10" t="s">
        <v>78</v>
      </c>
      <c r="J94" s="10" t="s">
        <v>79</v>
      </c>
      <c r="K94" s="10" t="s">
        <v>59</v>
      </c>
      <c r="L94" s="7" t="s">
        <v>72</v>
      </c>
      <c r="M94" s="10" t="s">
        <v>60</v>
      </c>
      <c r="N94" s="7" t="s">
        <v>72</v>
      </c>
      <c r="O94" s="8" t="s">
        <v>61</v>
      </c>
      <c r="P94" s="7" t="s">
        <v>517</v>
      </c>
      <c r="Q94" s="11" t="s">
        <v>520</v>
      </c>
      <c r="R94" s="10" t="s">
        <v>81</v>
      </c>
      <c r="S94" s="10" t="s">
        <v>82</v>
      </c>
      <c r="T94" s="8" t="s">
        <v>62</v>
      </c>
      <c r="U94" s="7"/>
      <c r="V94" s="7" t="s">
        <v>83</v>
      </c>
      <c r="W94" s="8" t="s">
        <v>64</v>
      </c>
      <c r="X94" s="9" t="s">
        <v>521</v>
      </c>
    </row>
    <row r="95" spans="1:24" s="11" customFormat="1" ht="15.75" x14ac:dyDescent="0.25">
      <c r="A95" s="7" t="s">
        <v>72</v>
      </c>
      <c r="B95" s="8" t="s">
        <v>57</v>
      </c>
      <c r="C95" s="7" t="s">
        <v>522</v>
      </c>
      <c r="D95" s="9" t="s">
        <v>523</v>
      </c>
      <c r="E95" s="10" t="s">
        <v>75</v>
      </c>
      <c r="F95" s="10" t="s">
        <v>76</v>
      </c>
      <c r="G95" s="10" t="s">
        <v>58</v>
      </c>
      <c r="H95" s="10" t="s">
        <v>524</v>
      </c>
      <c r="I95" s="10" t="s">
        <v>78</v>
      </c>
      <c r="J95" s="10" t="s">
        <v>79</v>
      </c>
      <c r="K95" s="10" t="s">
        <v>59</v>
      </c>
      <c r="L95" s="7" t="s">
        <v>72</v>
      </c>
      <c r="M95" s="10" t="s">
        <v>60</v>
      </c>
      <c r="N95" s="7" t="s">
        <v>72</v>
      </c>
      <c r="O95" s="8" t="s">
        <v>61</v>
      </c>
      <c r="P95" s="7" t="s">
        <v>522</v>
      </c>
      <c r="Q95" s="11" t="s">
        <v>525</v>
      </c>
      <c r="R95" s="10" t="s">
        <v>81</v>
      </c>
      <c r="S95" s="10" t="s">
        <v>82</v>
      </c>
      <c r="T95" s="8" t="s">
        <v>62</v>
      </c>
      <c r="U95" s="7"/>
      <c r="V95" s="7" t="s">
        <v>83</v>
      </c>
      <c r="W95" s="8" t="s">
        <v>64</v>
      </c>
      <c r="X95" s="9" t="s">
        <v>526</v>
      </c>
    </row>
    <row r="96" spans="1:24" s="11" customFormat="1" ht="15.75" x14ac:dyDescent="0.25">
      <c r="A96" s="7" t="s">
        <v>72</v>
      </c>
      <c r="B96" s="8" t="s">
        <v>57</v>
      </c>
      <c r="C96" s="7" t="s">
        <v>527</v>
      </c>
      <c r="D96" s="9" t="s">
        <v>528</v>
      </c>
      <c r="E96" s="10" t="s">
        <v>75</v>
      </c>
      <c r="F96" s="10" t="s">
        <v>76</v>
      </c>
      <c r="G96" s="10" t="s">
        <v>58</v>
      </c>
      <c r="H96" s="10" t="s">
        <v>529</v>
      </c>
      <c r="I96" s="10" t="s">
        <v>78</v>
      </c>
      <c r="J96" s="10" t="s">
        <v>79</v>
      </c>
      <c r="K96" s="10" t="s">
        <v>59</v>
      </c>
      <c r="L96" s="7" t="s">
        <v>72</v>
      </c>
      <c r="M96" s="10" t="s">
        <v>60</v>
      </c>
      <c r="N96" s="7" t="s">
        <v>72</v>
      </c>
      <c r="O96" s="8" t="s">
        <v>61</v>
      </c>
      <c r="P96" s="7" t="s">
        <v>527</v>
      </c>
      <c r="Q96" s="11" t="s">
        <v>530</v>
      </c>
      <c r="R96" s="10" t="s">
        <v>81</v>
      </c>
      <c r="S96" s="10" t="s">
        <v>82</v>
      </c>
      <c r="T96" s="8" t="s">
        <v>62</v>
      </c>
      <c r="U96" s="7"/>
      <c r="V96" s="7" t="s">
        <v>83</v>
      </c>
      <c r="W96" s="8" t="s">
        <v>64</v>
      </c>
      <c r="X96" s="9" t="s">
        <v>531</v>
      </c>
    </row>
    <row r="97" spans="1:24" s="11" customFormat="1" ht="15.75" x14ac:dyDescent="0.25">
      <c r="A97" s="7" t="s">
        <v>72</v>
      </c>
      <c r="B97" s="8" t="s">
        <v>57</v>
      </c>
      <c r="C97" s="7" t="s">
        <v>532</v>
      </c>
      <c r="D97" s="9" t="s">
        <v>533</v>
      </c>
      <c r="E97" s="10" t="s">
        <v>75</v>
      </c>
      <c r="F97" s="10" t="s">
        <v>76</v>
      </c>
      <c r="G97" s="10" t="s">
        <v>58</v>
      </c>
      <c r="H97" s="10" t="s">
        <v>534</v>
      </c>
      <c r="I97" s="10" t="s">
        <v>78</v>
      </c>
      <c r="J97" s="10" t="s">
        <v>79</v>
      </c>
      <c r="K97" s="10" t="s">
        <v>59</v>
      </c>
      <c r="L97" s="7" t="s">
        <v>72</v>
      </c>
      <c r="M97" s="10" t="s">
        <v>60</v>
      </c>
      <c r="N97" s="7" t="s">
        <v>72</v>
      </c>
      <c r="O97" s="8" t="s">
        <v>61</v>
      </c>
      <c r="P97" s="7" t="s">
        <v>532</v>
      </c>
      <c r="Q97" s="11" t="s">
        <v>535</v>
      </c>
      <c r="R97" s="10" t="s">
        <v>81</v>
      </c>
      <c r="S97" s="10" t="s">
        <v>82</v>
      </c>
      <c r="T97" s="8" t="s">
        <v>62</v>
      </c>
      <c r="U97" s="7"/>
      <c r="V97" s="7" t="s">
        <v>83</v>
      </c>
      <c r="W97" s="8" t="s">
        <v>64</v>
      </c>
      <c r="X97" s="9" t="s">
        <v>536</v>
      </c>
    </row>
    <row r="98" spans="1:24" s="11" customFormat="1" ht="15.75" x14ac:dyDescent="0.25">
      <c r="A98" s="7" t="s">
        <v>72</v>
      </c>
      <c r="B98" s="8" t="s">
        <v>57</v>
      </c>
      <c r="C98" s="7" t="s">
        <v>537</v>
      </c>
      <c r="D98" s="9" t="s">
        <v>538</v>
      </c>
      <c r="E98" s="10" t="s">
        <v>75</v>
      </c>
      <c r="F98" s="10" t="s">
        <v>76</v>
      </c>
      <c r="G98" s="10" t="s">
        <v>58</v>
      </c>
      <c r="H98" s="10" t="s">
        <v>539</v>
      </c>
      <c r="I98" s="10" t="s">
        <v>78</v>
      </c>
      <c r="J98" s="10" t="s">
        <v>79</v>
      </c>
      <c r="K98" s="10" t="s">
        <v>59</v>
      </c>
      <c r="L98" s="7" t="s">
        <v>72</v>
      </c>
      <c r="M98" s="10" t="s">
        <v>60</v>
      </c>
      <c r="N98" s="7" t="s">
        <v>72</v>
      </c>
      <c r="O98" s="8" t="s">
        <v>61</v>
      </c>
      <c r="P98" s="7" t="s">
        <v>537</v>
      </c>
      <c r="Q98" s="11" t="s">
        <v>540</v>
      </c>
      <c r="R98" s="10" t="s">
        <v>81</v>
      </c>
      <c r="S98" s="10" t="s">
        <v>82</v>
      </c>
      <c r="T98" s="8" t="s">
        <v>62</v>
      </c>
      <c r="U98" s="7"/>
      <c r="V98" s="7" t="s">
        <v>83</v>
      </c>
      <c r="W98" s="8" t="s">
        <v>64</v>
      </c>
      <c r="X98" s="9" t="s">
        <v>541</v>
      </c>
    </row>
    <row r="99" spans="1:24" s="11" customFormat="1" ht="15.75" x14ac:dyDescent="0.25">
      <c r="A99" s="7" t="s">
        <v>72</v>
      </c>
      <c r="B99" s="8" t="s">
        <v>57</v>
      </c>
      <c r="C99" s="7" t="s">
        <v>542</v>
      </c>
      <c r="D99" s="9" t="s">
        <v>543</v>
      </c>
      <c r="E99" s="10" t="s">
        <v>75</v>
      </c>
      <c r="F99" s="10" t="s">
        <v>76</v>
      </c>
      <c r="G99" s="10" t="s">
        <v>58</v>
      </c>
      <c r="H99" s="10" t="s">
        <v>544</v>
      </c>
      <c r="I99" s="10" t="s">
        <v>78</v>
      </c>
      <c r="J99" s="10" t="s">
        <v>79</v>
      </c>
      <c r="K99" s="10" t="s">
        <v>59</v>
      </c>
      <c r="L99" s="7" t="s">
        <v>72</v>
      </c>
      <c r="M99" s="10" t="s">
        <v>60</v>
      </c>
      <c r="N99" s="7" t="s">
        <v>72</v>
      </c>
      <c r="O99" s="8" t="s">
        <v>61</v>
      </c>
      <c r="P99" s="7" t="s">
        <v>542</v>
      </c>
      <c r="Q99" s="11" t="s">
        <v>545</v>
      </c>
      <c r="R99" s="10" t="s">
        <v>81</v>
      </c>
      <c r="S99" s="10" t="s">
        <v>82</v>
      </c>
      <c r="T99" s="8" t="s">
        <v>62</v>
      </c>
      <c r="U99" s="7"/>
      <c r="V99" s="7" t="s">
        <v>83</v>
      </c>
      <c r="W99" s="8" t="s">
        <v>64</v>
      </c>
      <c r="X99" s="9" t="s">
        <v>546</v>
      </c>
    </row>
    <row r="100" spans="1:24" s="11" customFormat="1" ht="15.75" x14ac:dyDescent="0.25">
      <c r="A100" s="7" t="s">
        <v>72</v>
      </c>
      <c r="B100" s="8" t="s">
        <v>57</v>
      </c>
      <c r="C100" s="7" t="s">
        <v>286</v>
      </c>
      <c r="D100" s="9" t="s">
        <v>547</v>
      </c>
      <c r="E100" s="10" t="s">
        <v>75</v>
      </c>
      <c r="F100" s="10" t="s">
        <v>76</v>
      </c>
      <c r="G100" s="10" t="s">
        <v>58</v>
      </c>
      <c r="H100" s="10" t="s">
        <v>548</v>
      </c>
      <c r="I100" s="10" t="s">
        <v>78</v>
      </c>
      <c r="J100" s="10" t="s">
        <v>79</v>
      </c>
      <c r="K100" s="10" t="s">
        <v>59</v>
      </c>
      <c r="L100" s="7" t="s">
        <v>72</v>
      </c>
      <c r="M100" s="10" t="s">
        <v>60</v>
      </c>
      <c r="N100" s="7" t="s">
        <v>72</v>
      </c>
      <c r="O100" s="8" t="s">
        <v>61</v>
      </c>
      <c r="P100" s="7" t="s">
        <v>286</v>
      </c>
      <c r="Q100" s="11" t="s">
        <v>549</v>
      </c>
      <c r="R100" s="10" t="s">
        <v>81</v>
      </c>
      <c r="S100" s="10" t="s">
        <v>82</v>
      </c>
      <c r="T100" s="8" t="s">
        <v>62</v>
      </c>
      <c r="U100" s="7"/>
      <c r="V100" s="7" t="s">
        <v>83</v>
      </c>
      <c r="W100" s="8" t="s">
        <v>64</v>
      </c>
      <c r="X100" s="9" t="s">
        <v>550</v>
      </c>
    </row>
    <row r="101" spans="1:24" s="11" customFormat="1" ht="15.75" x14ac:dyDescent="0.25">
      <c r="A101" s="7" t="s">
        <v>72</v>
      </c>
      <c r="B101" s="8" t="s">
        <v>57</v>
      </c>
      <c r="C101" s="7" t="s">
        <v>551</v>
      </c>
      <c r="D101" s="9" t="s">
        <v>552</v>
      </c>
      <c r="E101" s="10" t="s">
        <v>75</v>
      </c>
      <c r="F101" s="10" t="s">
        <v>76</v>
      </c>
      <c r="G101" s="10" t="s">
        <v>58</v>
      </c>
      <c r="H101" s="10" t="s">
        <v>553</v>
      </c>
      <c r="I101" s="10" t="s">
        <v>78</v>
      </c>
      <c r="J101" s="10" t="s">
        <v>79</v>
      </c>
      <c r="K101" s="10" t="s">
        <v>59</v>
      </c>
      <c r="L101" s="7" t="s">
        <v>72</v>
      </c>
      <c r="M101" s="10" t="s">
        <v>60</v>
      </c>
      <c r="N101" s="7" t="s">
        <v>72</v>
      </c>
      <c r="O101" s="8" t="s">
        <v>61</v>
      </c>
      <c r="P101" s="7" t="s">
        <v>551</v>
      </c>
      <c r="Q101" s="9" t="s">
        <v>554</v>
      </c>
      <c r="R101" s="10" t="s">
        <v>81</v>
      </c>
      <c r="S101" s="10" t="s">
        <v>82</v>
      </c>
      <c r="T101" s="8" t="s">
        <v>62</v>
      </c>
      <c r="U101" s="7"/>
      <c r="V101" s="7" t="s">
        <v>83</v>
      </c>
      <c r="W101" s="8" t="s">
        <v>64</v>
      </c>
      <c r="X101" s="9" t="s">
        <v>555</v>
      </c>
    </row>
    <row r="102" spans="1:24" s="11" customFormat="1" ht="15.75" x14ac:dyDescent="0.25">
      <c r="A102" s="7" t="s">
        <v>72</v>
      </c>
      <c r="B102" s="8" t="s">
        <v>57</v>
      </c>
      <c r="C102" s="7" t="s">
        <v>556</v>
      </c>
      <c r="D102" s="9" t="s">
        <v>557</v>
      </c>
      <c r="E102" s="10" t="s">
        <v>75</v>
      </c>
      <c r="F102" s="10" t="s">
        <v>76</v>
      </c>
      <c r="G102" s="10" t="s">
        <v>58</v>
      </c>
      <c r="H102" s="10" t="s">
        <v>558</v>
      </c>
      <c r="I102" s="10" t="s">
        <v>78</v>
      </c>
      <c r="J102" s="10" t="s">
        <v>79</v>
      </c>
      <c r="K102" s="10" t="s">
        <v>59</v>
      </c>
      <c r="L102" s="7" t="s">
        <v>72</v>
      </c>
      <c r="M102" s="10" t="s">
        <v>60</v>
      </c>
      <c r="N102" s="7" t="s">
        <v>72</v>
      </c>
      <c r="O102" s="8" t="s">
        <v>61</v>
      </c>
      <c r="P102" s="7" t="s">
        <v>556</v>
      </c>
      <c r="Q102" s="11" t="s">
        <v>559</v>
      </c>
      <c r="R102" s="10" t="s">
        <v>81</v>
      </c>
      <c r="S102" s="10" t="s">
        <v>82</v>
      </c>
      <c r="T102" s="8" t="s">
        <v>62</v>
      </c>
      <c r="U102" s="7"/>
      <c r="V102" s="7" t="s">
        <v>83</v>
      </c>
      <c r="W102" s="8" t="s">
        <v>64</v>
      </c>
      <c r="X102" s="9" t="s">
        <v>560</v>
      </c>
    </row>
    <row r="103" spans="1:24" s="11" customFormat="1" ht="15.75" x14ac:dyDescent="0.25">
      <c r="A103" s="7" t="s">
        <v>72</v>
      </c>
      <c r="B103" s="8" t="s">
        <v>57</v>
      </c>
      <c r="C103" s="7" t="s">
        <v>561</v>
      </c>
      <c r="D103" s="9" t="s">
        <v>562</v>
      </c>
      <c r="E103" s="10" t="s">
        <v>75</v>
      </c>
      <c r="F103" s="10" t="s">
        <v>76</v>
      </c>
      <c r="G103" s="10" t="s">
        <v>58</v>
      </c>
      <c r="H103" s="10" t="s">
        <v>563</v>
      </c>
      <c r="I103" s="10" t="s">
        <v>78</v>
      </c>
      <c r="J103" s="10" t="s">
        <v>79</v>
      </c>
      <c r="K103" s="10" t="s">
        <v>59</v>
      </c>
      <c r="L103" s="7" t="s">
        <v>72</v>
      </c>
      <c r="M103" s="10" t="s">
        <v>60</v>
      </c>
      <c r="N103" s="7" t="s">
        <v>72</v>
      </c>
      <c r="O103" s="8" t="s">
        <v>61</v>
      </c>
      <c r="P103" s="7" t="s">
        <v>561</v>
      </c>
      <c r="Q103" s="11" t="s">
        <v>564</v>
      </c>
      <c r="R103" s="10" t="s">
        <v>81</v>
      </c>
      <c r="S103" s="10" t="s">
        <v>82</v>
      </c>
      <c r="T103" s="8" t="s">
        <v>62</v>
      </c>
      <c r="U103" s="7"/>
      <c r="V103" s="7" t="s">
        <v>83</v>
      </c>
      <c r="W103" s="8" t="s">
        <v>64</v>
      </c>
      <c r="X103" s="9" t="s">
        <v>565</v>
      </c>
    </row>
    <row r="104" spans="1:24" s="11" customFormat="1" ht="15.75" x14ac:dyDescent="0.25">
      <c r="A104" s="7" t="s">
        <v>72</v>
      </c>
      <c r="B104" s="8" t="s">
        <v>57</v>
      </c>
      <c r="C104" s="7" t="s">
        <v>566</v>
      </c>
      <c r="D104" s="9" t="s">
        <v>567</v>
      </c>
      <c r="E104" s="10" t="s">
        <v>75</v>
      </c>
      <c r="F104" s="10" t="s">
        <v>76</v>
      </c>
      <c r="G104" s="10" t="s">
        <v>58</v>
      </c>
      <c r="H104" s="10" t="s">
        <v>568</v>
      </c>
      <c r="I104" s="10" t="s">
        <v>78</v>
      </c>
      <c r="J104" s="10" t="s">
        <v>79</v>
      </c>
      <c r="K104" s="10" t="s">
        <v>59</v>
      </c>
      <c r="L104" s="7" t="s">
        <v>72</v>
      </c>
      <c r="M104" s="10" t="s">
        <v>60</v>
      </c>
      <c r="N104" s="7" t="s">
        <v>72</v>
      </c>
      <c r="O104" s="8" t="s">
        <v>61</v>
      </c>
      <c r="P104" s="7" t="s">
        <v>566</v>
      </c>
      <c r="Q104" s="11" t="s">
        <v>569</v>
      </c>
      <c r="R104" s="10" t="s">
        <v>81</v>
      </c>
      <c r="S104" s="10" t="s">
        <v>82</v>
      </c>
      <c r="T104" s="8" t="s">
        <v>62</v>
      </c>
      <c r="U104" s="7"/>
      <c r="V104" s="7" t="s">
        <v>83</v>
      </c>
      <c r="W104" s="8" t="s">
        <v>64</v>
      </c>
      <c r="X104" s="9" t="s">
        <v>570</v>
      </c>
    </row>
    <row r="105" spans="1:24" s="11" customFormat="1" ht="15.75" x14ac:dyDescent="0.25">
      <c r="A105" s="7" t="s">
        <v>72</v>
      </c>
      <c r="B105" s="8" t="s">
        <v>57</v>
      </c>
      <c r="C105" s="7" t="s">
        <v>571</v>
      </c>
      <c r="D105" s="9" t="s">
        <v>572</v>
      </c>
      <c r="E105" s="10" t="s">
        <v>75</v>
      </c>
      <c r="F105" s="10" t="s">
        <v>76</v>
      </c>
      <c r="G105" s="10" t="s">
        <v>58</v>
      </c>
      <c r="H105" s="10" t="s">
        <v>573</v>
      </c>
      <c r="I105" s="10" t="s">
        <v>78</v>
      </c>
      <c r="J105" s="10" t="s">
        <v>79</v>
      </c>
      <c r="K105" s="10" t="s">
        <v>59</v>
      </c>
      <c r="L105" s="7" t="s">
        <v>72</v>
      </c>
      <c r="M105" s="10" t="s">
        <v>60</v>
      </c>
      <c r="N105" s="7" t="s">
        <v>72</v>
      </c>
      <c r="O105" s="8" t="s">
        <v>61</v>
      </c>
      <c r="P105" s="7" t="s">
        <v>571</v>
      </c>
      <c r="Q105" s="11" t="s">
        <v>574</v>
      </c>
      <c r="R105" s="10" t="s">
        <v>81</v>
      </c>
      <c r="S105" s="10" t="s">
        <v>82</v>
      </c>
      <c r="T105" s="8" t="s">
        <v>62</v>
      </c>
      <c r="U105" s="7"/>
      <c r="V105" s="7" t="s">
        <v>83</v>
      </c>
      <c r="W105" s="8" t="s">
        <v>64</v>
      </c>
      <c r="X105" s="9" t="s">
        <v>575</v>
      </c>
    </row>
    <row r="106" spans="1:24" s="11" customFormat="1" ht="15.75" x14ac:dyDescent="0.25">
      <c r="A106" s="7" t="s">
        <v>72</v>
      </c>
      <c r="B106" s="8" t="s">
        <v>57</v>
      </c>
      <c r="C106" s="7" t="s">
        <v>576</v>
      </c>
      <c r="D106" s="9" t="s">
        <v>577</v>
      </c>
      <c r="E106" s="10" t="s">
        <v>75</v>
      </c>
      <c r="F106" s="10" t="s">
        <v>76</v>
      </c>
      <c r="G106" s="10" t="s">
        <v>58</v>
      </c>
      <c r="H106" s="10" t="s">
        <v>578</v>
      </c>
      <c r="I106" s="10" t="s">
        <v>78</v>
      </c>
      <c r="J106" s="10" t="s">
        <v>79</v>
      </c>
      <c r="K106" s="10" t="s">
        <v>59</v>
      </c>
      <c r="L106" s="7" t="s">
        <v>72</v>
      </c>
      <c r="M106" s="10" t="s">
        <v>60</v>
      </c>
      <c r="N106" s="7" t="s">
        <v>72</v>
      </c>
      <c r="O106" s="8" t="s">
        <v>61</v>
      </c>
      <c r="P106" s="7" t="s">
        <v>576</v>
      </c>
      <c r="Q106" s="11" t="s">
        <v>579</v>
      </c>
      <c r="R106" s="10" t="s">
        <v>81</v>
      </c>
      <c r="S106" s="10" t="s">
        <v>82</v>
      </c>
      <c r="T106" s="8" t="s">
        <v>62</v>
      </c>
      <c r="U106" s="7"/>
      <c r="V106" s="7" t="s">
        <v>83</v>
      </c>
      <c r="W106" s="8" t="s">
        <v>64</v>
      </c>
      <c r="X106" s="9" t="s">
        <v>580</v>
      </c>
    </row>
    <row r="107" spans="1:24" s="11" customFormat="1" ht="15.75" x14ac:dyDescent="0.25">
      <c r="A107" s="7" t="s">
        <v>72</v>
      </c>
      <c r="B107" s="8" t="s">
        <v>57</v>
      </c>
      <c r="C107" s="7" t="s">
        <v>581</v>
      </c>
      <c r="D107" s="9" t="s">
        <v>582</v>
      </c>
      <c r="E107" s="10" t="s">
        <v>75</v>
      </c>
      <c r="F107" s="10" t="s">
        <v>76</v>
      </c>
      <c r="G107" s="10" t="s">
        <v>58</v>
      </c>
      <c r="H107" s="10" t="s">
        <v>583</v>
      </c>
      <c r="I107" s="10" t="s">
        <v>78</v>
      </c>
      <c r="J107" s="10" t="s">
        <v>79</v>
      </c>
      <c r="K107" s="10" t="s">
        <v>59</v>
      </c>
      <c r="L107" s="7" t="s">
        <v>72</v>
      </c>
      <c r="M107" s="10" t="s">
        <v>60</v>
      </c>
      <c r="N107" s="7" t="s">
        <v>72</v>
      </c>
      <c r="O107" s="8" t="s">
        <v>61</v>
      </c>
      <c r="P107" s="7" t="s">
        <v>581</v>
      </c>
      <c r="Q107" s="11" t="s">
        <v>584</v>
      </c>
      <c r="R107" s="10" t="s">
        <v>81</v>
      </c>
      <c r="S107" s="10" t="s">
        <v>82</v>
      </c>
      <c r="T107" s="8" t="s">
        <v>62</v>
      </c>
      <c r="U107" s="7"/>
      <c r="V107" s="7" t="s">
        <v>83</v>
      </c>
      <c r="W107" s="8" t="s">
        <v>64</v>
      </c>
      <c r="X107" s="9" t="s">
        <v>585</v>
      </c>
    </row>
    <row r="108" spans="1:24" s="11" customFormat="1" ht="15.75" x14ac:dyDescent="0.25">
      <c r="A108" s="7" t="s">
        <v>72</v>
      </c>
      <c r="B108" s="8" t="s">
        <v>57</v>
      </c>
      <c r="C108" s="7" t="s">
        <v>586</v>
      </c>
      <c r="D108" s="11" t="s">
        <v>587</v>
      </c>
      <c r="E108" s="10" t="s">
        <v>75</v>
      </c>
      <c r="F108" s="10" t="s">
        <v>76</v>
      </c>
      <c r="G108" s="10" t="s">
        <v>58</v>
      </c>
      <c r="H108" s="9" t="s">
        <v>588</v>
      </c>
      <c r="I108" s="10" t="s">
        <v>78</v>
      </c>
      <c r="J108" s="10" t="s">
        <v>79</v>
      </c>
      <c r="K108" s="10" t="s">
        <v>59</v>
      </c>
      <c r="L108" s="7" t="s">
        <v>72</v>
      </c>
      <c r="M108" s="10" t="s">
        <v>60</v>
      </c>
      <c r="N108" s="7" t="s">
        <v>72</v>
      </c>
      <c r="O108" s="8" t="s">
        <v>61</v>
      </c>
      <c r="P108" s="7" t="s">
        <v>586</v>
      </c>
      <c r="Q108" s="11" t="s">
        <v>589</v>
      </c>
      <c r="R108" s="10" t="s">
        <v>81</v>
      </c>
      <c r="S108" s="10" t="s">
        <v>82</v>
      </c>
      <c r="T108" s="8" t="s">
        <v>62</v>
      </c>
      <c r="U108" s="7"/>
      <c r="V108" s="7" t="s">
        <v>83</v>
      </c>
      <c r="W108" s="8" t="s">
        <v>64</v>
      </c>
      <c r="X108" s="9" t="s">
        <v>590</v>
      </c>
    </row>
    <row r="109" spans="1:24" s="11" customFormat="1" ht="15.75" x14ac:dyDescent="0.25">
      <c r="A109" s="7" t="s">
        <v>72</v>
      </c>
      <c r="B109" s="8" t="s">
        <v>57</v>
      </c>
      <c r="C109" s="7" t="s">
        <v>591</v>
      </c>
      <c r="D109" s="9" t="s">
        <v>592</v>
      </c>
      <c r="E109" s="10" t="s">
        <v>75</v>
      </c>
      <c r="F109" s="10" t="s">
        <v>76</v>
      </c>
      <c r="G109" s="10" t="s">
        <v>58</v>
      </c>
      <c r="H109" s="10" t="s">
        <v>593</v>
      </c>
      <c r="I109" s="10" t="s">
        <v>78</v>
      </c>
      <c r="J109" s="10" t="s">
        <v>79</v>
      </c>
      <c r="K109" s="10" t="s">
        <v>59</v>
      </c>
      <c r="L109" s="7" t="s">
        <v>72</v>
      </c>
      <c r="M109" s="10" t="s">
        <v>60</v>
      </c>
      <c r="N109" s="7" t="s">
        <v>72</v>
      </c>
      <c r="O109" s="8" t="s">
        <v>61</v>
      </c>
      <c r="P109" s="7" t="s">
        <v>591</v>
      </c>
      <c r="Q109" s="11" t="s">
        <v>594</v>
      </c>
      <c r="R109" s="10" t="s">
        <v>81</v>
      </c>
      <c r="S109" s="10" t="s">
        <v>82</v>
      </c>
      <c r="T109" s="8" t="s">
        <v>62</v>
      </c>
      <c r="U109" s="7"/>
      <c r="V109" s="7" t="s">
        <v>83</v>
      </c>
      <c r="W109" s="8" t="s">
        <v>64</v>
      </c>
      <c r="X109" s="9" t="s">
        <v>595</v>
      </c>
    </row>
    <row r="110" spans="1:24" s="11" customFormat="1" ht="15.75" x14ac:dyDescent="0.25">
      <c r="A110" s="7" t="s">
        <v>72</v>
      </c>
      <c r="B110" s="8" t="s">
        <v>57</v>
      </c>
      <c r="C110" s="7" t="s">
        <v>596</v>
      </c>
      <c r="D110" s="9" t="s">
        <v>597</v>
      </c>
      <c r="E110" s="10" t="s">
        <v>75</v>
      </c>
      <c r="F110" s="10" t="s">
        <v>76</v>
      </c>
      <c r="G110" s="10" t="s">
        <v>58</v>
      </c>
      <c r="H110" s="10" t="s">
        <v>598</v>
      </c>
      <c r="I110" s="10" t="s">
        <v>78</v>
      </c>
      <c r="J110" s="10" t="s">
        <v>79</v>
      </c>
      <c r="K110" s="10" t="s">
        <v>59</v>
      </c>
      <c r="L110" s="7" t="s">
        <v>72</v>
      </c>
      <c r="M110" s="10" t="s">
        <v>60</v>
      </c>
      <c r="N110" s="7" t="s">
        <v>72</v>
      </c>
      <c r="O110" s="8" t="s">
        <v>61</v>
      </c>
      <c r="P110" s="7" t="s">
        <v>596</v>
      </c>
      <c r="Q110" s="11" t="s">
        <v>599</v>
      </c>
      <c r="R110" s="10" t="s">
        <v>81</v>
      </c>
      <c r="S110" s="10" t="s">
        <v>82</v>
      </c>
      <c r="T110" s="8" t="s">
        <v>62</v>
      </c>
      <c r="U110" s="7"/>
      <c r="V110" s="7" t="s">
        <v>83</v>
      </c>
      <c r="W110" s="8" t="s">
        <v>64</v>
      </c>
      <c r="X110" s="9" t="s">
        <v>600</v>
      </c>
    </row>
    <row r="111" spans="1:24" s="11" customFormat="1" ht="15.75" x14ac:dyDescent="0.25">
      <c r="A111" s="7" t="s">
        <v>72</v>
      </c>
      <c r="B111" s="8" t="s">
        <v>57</v>
      </c>
      <c r="C111" s="7" t="s">
        <v>601</v>
      </c>
      <c r="D111" s="9" t="s">
        <v>602</v>
      </c>
      <c r="E111" s="10" t="s">
        <v>75</v>
      </c>
      <c r="F111" s="10" t="s">
        <v>76</v>
      </c>
      <c r="G111" s="10" t="s">
        <v>58</v>
      </c>
      <c r="H111" s="10" t="s">
        <v>603</v>
      </c>
      <c r="I111" s="10" t="s">
        <v>78</v>
      </c>
      <c r="J111" s="10" t="s">
        <v>79</v>
      </c>
      <c r="K111" s="10" t="s">
        <v>59</v>
      </c>
      <c r="L111" s="7" t="s">
        <v>72</v>
      </c>
      <c r="M111" s="10" t="s">
        <v>60</v>
      </c>
      <c r="N111" s="7" t="s">
        <v>72</v>
      </c>
      <c r="O111" s="8" t="s">
        <v>61</v>
      </c>
      <c r="P111" s="7" t="s">
        <v>601</v>
      </c>
      <c r="Q111" s="11" t="s">
        <v>604</v>
      </c>
      <c r="R111" s="10" t="s">
        <v>81</v>
      </c>
      <c r="S111" s="10" t="s">
        <v>82</v>
      </c>
      <c r="T111" s="8" t="s">
        <v>62</v>
      </c>
      <c r="U111" s="7"/>
      <c r="V111" s="7" t="s">
        <v>83</v>
      </c>
      <c r="W111" s="8" t="s">
        <v>64</v>
      </c>
      <c r="X111" s="9" t="s">
        <v>605</v>
      </c>
    </row>
    <row r="112" spans="1:24" s="11" customFormat="1" ht="15.75" x14ac:dyDescent="0.25">
      <c r="A112" s="7" t="s">
        <v>72</v>
      </c>
      <c r="B112" s="8" t="s">
        <v>57</v>
      </c>
      <c r="C112" s="7" t="s">
        <v>606</v>
      </c>
      <c r="D112" s="9" t="s">
        <v>607</v>
      </c>
      <c r="E112" s="10" t="s">
        <v>75</v>
      </c>
      <c r="F112" s="10" t="s">
        <v>76</v>
      </c>
      <c r="G112" s="10" t="s">
        <v>58</v>
      </c>
      <c r="H112" s="10" t="s">
        <v>608</v>
      </c>
      <c r="I112" s="10" t="s">
        <v>78</v>
      </c>
      <c r="J112" s="10" t="s">
        <v>79</v>
      </c>
      <c r="K112" s="10" t="s">
        <v>59</v>
      </c>
      <c r="L112" s="7" t="s">
        <v>72</v>
      </c>
      <c r="M112" s="10" t="s">
        <v>60</v>
      </c>
      <c r="N112" s="7" t="s">
        <v>72</v>
      </c>
      <c r="O112" s="8" t="s">
        <v>61</v>
      </c>
      <c r="P112" s="7" t="s">
        <v>606</v>
      </c>
      <c r="Q112" s="11" t="s">
        <v>609</v>
      </c>
      <c r="R112" s="10" t="s">
        <v>81</v>
      </c>
      <c r="S112" s="10" t="s">
        <v>82</v>
      </c>
      <c r="T112" s="8" t="s">
        <v>62</v>
      </c>
      <c r="U112" s="7"/>
      <c r="V112" s="7" t="s">
        <v>83</v>
      </c>
      <c r="W112" s="8" t="s">
        <v>64</v>
      </c>
      <c r="X112" s="9" t="s">
        <v>610</v>
      </c>
    </row>
    <row r="113" spans="1:24" s="11" customFormat="1" ht="15.75" x14ac:dyDescent="0.25">
      <c r="A113" s="7" t="s">
        <v>72</v>
      </c>
      <c r="B113" s="8" t="s">
        <v>57</v>
      </c>
      <c r="C113" s="7" t="s">
        <v>611</v>
      </c>
      <c r="D113" s="9" t="s">
        <v>612</v>
      </c>
      <c r="E113" s="10" t="s">
        <v>75</v>
      </c>
      <c r="F113" s="10" t="s">
        <v>76</v>
      </c>
      <c r="G113" s="10" t="s">
        <v>58</v>
      </c>
      <c r="H113" s="10" t="s">
        <v>613</v>
      </c>
      <c r="I113" s="10" t="s">
        <v>78</v>
      </c>
      <c r="J113" s="10" t="s">
        <v>79</v>
      </c>
      <c r="K113" s="10" t="s">
        <v>59</v>
      </c>
      <c r="L113" s="7" t="s">
        <v>72</v>
      </c>
      <c r="M113" s="10" t="s">
        <v>60</v>
      </c>
      <c r="N113" s="7" t="s">
        <v>72</v>
      </c>
      <c r="O113" s="8" t="s">
        <v>61</v>
      </c>
      <c r="P113" s="7" t="s">
        <v>611</v>
      </c>
      <c r="Q113" s="11" t="s">
        <v>614</v>
      </c>
      <c r="R113" s="10" t="s">
        <v>81</v>
      </c>
      <c r="S113" s="10" t="s">
        <v>82</v>
      </c>
      <c r="T113" s="8" t="s">
        <v>62</v>
      </c>
      <c r="U113" s="7"/>
      <c r="V113" s="7" t="s">
        <v>83</v>
      </c>
      <c r="W113" s="8" t="s">
        <v>64</v>
      </c>
      <c r="X113" s="9" t="s">
        <v>615</v>
      </c>
    </row>
    <row r="114" spans="1:24" s="11" customFormat="1" ht="15.75" x14ac:dyDescent="0.25">
      <c r="A114" s="7" t="s">
        <v>72</v>
      </c>
      <c r="B114" s="8" t="s">
        <v>57</v>
      </c>
      <c r="C114" s="7" t="s">
        <v>616</v>
      </c>
      <c r="D114" s="9" t="s">
        <v>617</v>
      </c>
      <c r="E114" s="10" t="s">
        <v>75</v>
      </c>
      <c r="F114" s="10" t="s">
        <v>76</v>
      </c>
      <c r="G114" s="10" t="s">
        <v>58</v>
      </c>
      <c r="H114" s="10" t="s">
        <v>618</v>
      </c>
      <c r="I114" s="10" t="s">
        <v>78</v>
      </c>
      <c r="J114" s="10" t="s">
        <v>79</v>
      </c>
      <c r="K114" s="10" t="s">
        <v>59</v>
      </c>
      <c r="L114" s="7" t="s">
        <v>72</v>
      </c>
      <c r="M114" s="10" t="s">
        <v>60</v>
      </c>
      <c r="N114" s="7" t="s">
        <v>72</v>
      </c>
      <c r="O114" s="8" t="s">
        <v>61</v>
      </c>
      <c r="P114" s="7" t="s">
        <v>616</v>
      </c>
      <c r="Q114" s="11" t="s">
        <v>619</v>
      </c>
      <c r="R114" s="10" t="s">
        <v>81</v>
      </c>
      <c r="S114" s="10" t="s">
        <v>82</v>
      </c>
      <c r="T114" s="8" t="s">
        <v>62</v>
      </c>
      <c r="U114" s="7"/>
      <c r="V114" s="7" t="s">
        <v>83</v>
      </c>
      <c r="W114" s="8" t="s">
        <v>64</v>
      </c>
      <c r="X114" s="9" t="s">
        <v>620</v>
      </c>
    </row>
    <row r="115" spans="1:24" s="11" customFormat="1" ht="15.75" x14ac:dyDescent="0.25">
      <c r="A115" s="7" t="s">
        <v>72</v>
      </c>
      <c r="B115" s="8" t="s">
        <v>57</v>
      </c>
      <c r="C115" s="7" t="s">
        <v>621</v>
      </c>
      <c r="D115" s="9" t="s">
        <v>622</v>
      </c>
      <c r="E115" s="10" t="s">
        <v>75</v>
      </c>
      <c r="F115" s="10" t="s">
        <v>76</v>
      </c>
      <c r="G115" s="10" t="s">
        <v>58</v>
      </c>
      <c r="H115" s="10" t="s">
        <v>623</v>
      </c>
      <c r="I115" s="10" t="s">
        <v>78</v>
      </c>
      <c r="J115" s="10" t="s">
        <v>79</v>
      </c>
      <c r="K115" s="10" t="s">
        <v>59</v>
      </c>
      <c r="L115" s="7" t="s">
        <v>72</v>
      </c>
      <c r="M115" s="10" t="s">
        <v>60</v>
      </c>
      <c r="N115" s="7" t="s">
        <v>72</v>
      </c>
      <c r="O115" s="8" t="s">
        <v>61</v>
      </c>
      <c r="P115" s="7" t="s">
        <v>621</v>
      </c>
      <c r="Q115" s="11" t="s">
        <v>624</v>
      </c>
      <c r="R115" s="10" t="s">
        <v>81</v>
      </c>
      <c r="S115" s="10" t="s">
        <v>82</v>
      </c>
      <c r="T115" s="8" t="s">
        <v>62</v>
      </c>
      <c r="U115" s="7"/>
      <c r="V115" s="7" t="s">
        <v>83</v>
      </c>
      <c r="W115" s="8" t="s">
        <v>64</v>
      </c>
      <c r="X115" s="9" t="s">
        <v>625</v>
      </c>
    </row>
    <row r="116" spans="1:24" s="11" customFormat="1" ht="15.75" x14ac:dyDescent="0.25">
      <c r="A116" s="7" t="s">
        <v>72</v>
      </c>
      <c r="B116" s="8" t="s">
        <v>57</v>
      </c>
      <c r="C116" s="7" t="s">
        <v>626</v>
      </c>
      <c r="D116" s="9" t="s">
        <v>627</v>
      </c>
      <c r="E116" s="10" t="s">
        <v>75</v>
      </c>
      <c r="F116" s="10" t="s">
        <v>76</v>
      </c>
      <c r="G116" s="10" t="s">
        <v>58</v>
      </c>
      <c r="H116" s="10" t="s">
        <v>628</v>
      </c>
      <c r="I116" s="10" t="s">
        <v>78</v>
      </c>
      <c r="J116" s="10" t="s">
        <v>79</v>
      </c>
      <c r="K116" s="10" t="s">
        <v>59</v>
      </c>
      <c r="L116" s="7" t="s">
        <v>72</v>
      </c>
      <c r="M116" s="10" t="s">
        <v>60</v>
      </c>
      <c r="N116" s="7" t="s">
        <v>72</v>
      </c>
      <c r="O116" s="8" t="s">
        <v>61</v>
      </c>
      <c r="P116" s="7" t="s">
        <v>626</v>
      </c>
      <c r="Q116" s="11" t="s">
        <v>629</v>
      </c>
      <c r="R116" s="10" t="s">
        <v>81</v>
      </c>
      <c r="S116" s="10" t="s">
        <v>82</v>
      </c>
      <c r="T116" s="8" t="s">
        <v>62</v>
      </c>
      <c r="U116" s="7"/>
      <c r="V116" s="7" t="s">
        <v>83</v>
      </c>
      <c r="W116" s="8" t="s">
        <v>64</v>
      </c>
      <c r="X116" s="9" t="s">
        <v>630</v>
      </c>
    </row>
    <row r="117" spans="1:24" s="11" customFormat="1" ht="15.75" x14ac:dyDescent="0.25">
      <c r="A117" s="7" t="s">
        <v>72</v>
      </c>
      <c r="B117" s="8" t="s">
        <v>57</v>
      </c>
      <c r="C117" s="7" t="s">
        <v>631</v>
      </c>
      <c r="D117" s="9" t="s">
        <v>632</v>
      </c>
      <c r="E117" s="10" t="s">
        <v>75</v>
      </c>
      <c r="F117" s="10" t="s">
        <v>76</v>
      </c>
      <c r="G117" s="10" t="s">
        <v>58</v>
      </c>
      <c r="H117" s="10" t="s">
        <v>633</v>
      </c>
      <c r="I117" s="10" t="s">
        <v>78</v>
      </c>
      <c r="J117" s="10" t="s">
        <v>79</v>
      </c>
      <c r="K117" s="10" t="s">
        <v>59</v>
      </c>
      <c r="L117" s="7" t="s">
        <v>72</v>
      </c>
      <c r="M117" s="10" t="s">
        <v>60</v>
      </c>
      <c r="N117" s="7" t="s">
        <v>72</v>
      </c>
      <c r="O117" s="8" t="s">
        <v>61</v>
      </c>
      <c r="P117" s="7" t="s">
        <v>631</v>
      </c>
      <c r="Q117" s="11" t="s">
        <v>634</v>
      </c>
      <c r="R117" s="10" t="s">
        <v>81</v>
      </c>
      <c r="S117" s="10" t="s">
        <v>82</v>
      </c>
      <c r="T117" s="8" t="s">
        <v>62</v>
      </c>
      <c r="U117" s="7"/>
      <c r="V117" s="7" t="s">
        <v>83</v>
      </c>
      <c r="W117" s="8" t="s">
        <v>64</v>
      </c>
      <c r="X117" s="9" t="s">
        <v>635</v>
      </c>
    </row>
    <row r="118" spans="1:24" s="11" customFormat="1" ht="15.75" x14ac:dyDescent="0.25">
      <c r="A118" s="7" t="s">
        <v>72</v>
      </c>
      <c r="B118" s="8" t="s">
        <v>57</v>
      </c>
      <c r="C118" s="7" t="s">
        <v>636</v>
      </c>
      <c r="D118" s="9" t="s">
        <v>637</v>
      </c>
      <c r="E118" s="10" t="s">
        <v>75</v>
      </c>
      <c r="F118" s="10" t="s">
        <v>76</v>
      </c>
      <c r="G118" s="10" t="s">
        <v>58</v>
      </c>
      <c r="H118" s="10" t="s">
        <v>638</v>
      </c>
      <c r="I118" s="10" t="s">
        <v>78</v>
      </c>
      <c r="J118" s="10" t="s">
        <v>79</v>
      </c>
      <c r="K118" s="10" t="s">
        <v>59</v>
      </c>
      <c r="L118" s="7" t="s">
        <v>72</v>
      </c>
      <c r="M118" s="10" t="s">
        <v>60</v>
      </c>
      <c r="N118" s="7" t="s">
        <v>72</v>
      </c>
      <c r="O118" s="8" t="s">
        <v>61</v>
      </c>
      <c r="P118" s="7" t="s">
        <v>636</v>
      </c>
      <c r="Q118" s="11" t="s">
        <v>639</v>
      </c>
      <c r="R118" s="10" t="s">
        <v>81</v>
      </c>
      <c r="S118" s="10" t="s">
        <v>82</v>
      </c>
      <c r="T118" s="8" t="s">
        <v>62</v>
      </c>
      <c r="U118" s="7"/>
      <c r="V118" s="7" t="s">
        <v>83</v>
      </c>
      <c r="W118" s="8" t="s">
        <v>64</v>
      </c>
      <c r="X118" s="9" t="s">
        <v>640</v>
      </c>
    </row>
    <row r="119" spans="1:24" s="11" customFormat="1" ht="15.75" x14ac:dyDescent="0.25">
      <c r="A119" s="7" t="s">
        <v>72</v>
      </c>
      <c r="B119" s="8" t="s">
        <v>57</v>
      </c>
      <c r="C119" s="7" t="s">
        <v>641</v>
      </c>
      <c r="D119" s="9" t="s">
        <v>642</v>
      </c>
      <c r="E119" s="10" t="s">
        <v>75</v>
      </c>
      <c r="F119" s="10" t="s">
        <v>76</v>
      </c>
      <c r="G119" s="10" t="s">
        <v>58</v>
      </c>
      <c r="H119" s="10" t="s">
        <v>643</v>
      </c>
      <c r="I119" s="10" t="s">
        <v>78</v>
      </c>
      <c r="J119" s="10" t="s">
        <v>79</v>
      </c>
      <c r="K119" s="10" t="s">
        <v>59</v>
      </c>
      <c r="L119" s="7" t="s">
        <v>72</v>
      </c>
      <c r="M119" s="10" t="s">
        <v>60</v>
      </c>
      <c r="N119" s="7" t="s">
        <v>72</v>
      </c>
      <c r="O119" s="8" t="s">
        <v>61</v>
      </c>
      <c r="P119" s="7" t="s">
        <v>641</v>
      </c>
      <c r="Q119" s="11" t="s">
        <v>644</v>
      </c>
      <c r="R119" s="10" t="s">
        <v>81</v>
      </c>
      <c r="S119" s="10" t="s">
        <v>82</v>
      </c>
      <c r="T119" s="8" t="s">
        <v>62</v>
      </c>
      <c r="U119" s="7"/>
      <c r="V119" s="7" t="s">
        <v>83</v>
      </c>
      <c r="W119" s="8" t="s">
        <v>64</v>
      </c>
      <c r="X119" s="9" t="s">
        <v>645</v>
      </c>
    </row>
    <row r="120" spans="1:24" s="11" customFormat="1" ht="15.75" x14ac:dyDescent="0.25">
      <c r="A120" s="7" t="s">
        <v>72</v>
      </c>
      <c r="B120" s="8" t="s">
        <v>57</v>
      </c>
      <c r="C120" s="7" t="s">
        <v>646</v>
      </c>
      <c r="D120" s="9" t="s">
        <v>647</v>
      </c>
      <c r="E120" s="10" t="s">
        <v>75</v>
      </c>
      <c r="F120" s="10" t="s">
        <v>76</v>
      </c>
      <c r="G120" s="10" t="s">
        <v>58</v>
      </c>
      <c r="H120" s="10" t="s">
        <v>648</v>
      </c>
      <c r="I120" s="10" t="s">
        <v>78</v>
      </c>
      <c r="J120" s="10" t="s">
        <v>79</v>
      </c>
      <c r="K120" s="10" t="s">
        <v>59</v>
      </c>
      <c r="L120" s="7" t="s">
        <v>72</v>
      </c>
      <c r="M120" s="10" t="s">
        <v>60</v>
      </c>
      <c r="N120" s="7" t="s">
        <v>72</v>
      </c>
      <c r="O120" s="8" t="s">
        <v>61</v>
      </c>
      <c r="P120" s="7" t="s">
        <v>646</v>
      </c>
      <c r="Q120" s="11" t="s">
        <v>649</v>
      </c>
      <c r="R120" s="10" t="s">
        <v>81</v>
      </c>
      <c r="S120" s="10" t="s">
        <v>82</v>
      </c>
      <c r="T120" s="8" t="s">
        <v>62</v>
      </c>
      <c r="U120" s="7"/>
      <c r="V120" s="7" t="s">
        <v>83</v>
      </c>
      <c r="W120" s="8" t="s">
        <v>64</v>
      </c>
      <c r="X120" s="9" t="s">
        <v>650</v>
      </c>
    </row>
    <row r="121" spans="1:24" s="11" customFormat="1" ht="15.75" x14ac:dyDescent="0.25">
      <c r="A121" s="7" t="s">
        <v>72</v>
      </c>
      <c r="B121" s="8" t="s">
        <v>57</v>
      </c>
      <c r="C121" s="7" t="s">
        <v>651</v>
      </c>
      <c r="D121" s="9" t="s">
        <v>652</v>
      </c>
      <c r="E121" s="10" t="s">
        <v>75</v>
      </c>
      <c r="F121" s="10" t="s">
        <v>76</v>
      </c>
      <c r="G121" s="10" t="s">
        <v>58</v>
      </c>
      <c r="H121" s="10" t="s">
        <v>653</v>
      </c>
      <c r="I121" s="10" t="s">
        <v>78</v>
      </c>
      <c r="J121" s="10" t="s">
        <v>79</v>
      </c>
      <c r="K121" s="10" t="s">
        <v>59</v>
      </c>
      <c r="L121" s="7" t="s">
        <v>72</v>
      </c>
      <c r="M121" s="10" t="s">
        <v>60</v>
      </c>
      <c r="N121" s="7" t="s">
        <v>72</v>
      </c>
      <c r="O121" s="8" t="s">
        <v>61</v>
      </c>
      <c r="P121" s="7" t="s">
        <v>651</v>
      </c>
      <c r="Q121" s="11" t="s">
        <v>654</v>
      </c>
      <c r="R121" s="10" t="s">
        <v>81</v>
      </c>
      <c r="S121" s="10" t="s">
        <v>82</v>
      </c>
      <c r="T121" s="8" t="s">
        <v>62</v>
      </c>
      <c r="U121" s="7"/>
      <c r="V121" s="7" t="s">
        <v>83</v>
      </c>
      <c r="W121" s="8" t="s">
        <v>64</v>
      </c>
      <c r="X121" s="9" t="s">
        <v>655</v>
      </c>
    </row>
    <row r="122" spans="1:24" s="11" customFormat="1" ht="15.75" x14ac:dyDescent="0.25">
      <c r="A122" s="7" t="s">
        <v>72</v>
      </c>
      <c r="B122" s="8" t="s">
        <v>57</v>
      </c>
      <c r="C122" s="7" t="s">
        <v>656</v>
      </c>
      <c r="D122" s="9" t="s">
        <v>657</v>
      </c>
      <c r="E122" s="10" t="s">
        <v>75</v>
      </c>
      <c r="F122" s="10" t="s">
        <v>76</v>
      </c>
      <c r="G122" s="10" t="s">
        <v>58</v>
      </c>
      <c r="H122" s="10" t="s">
        <v>658</v>
      </c>
      <c r="I122" s="10" t="s">
        <v>78</v>
      </c>
      <c r="J122" s="10" t="s">
        <v>79</v>
      </c>
      <c r="K122" s="10" t="s">
        <v>59</v>
      </c>
      <c r="L122" s="7" t="s">
        <v>72</v>
      </c>
      <c r="M122" s="10" t="s">
        <v>60</v>
      </c>
      <c r="N122" s="7" t="s">
        <v>72</v>
      </c>
      <c r="O122" s="8" t="s">
        <v>61</v>
      </c>
      <c r="P122" s="7" t="s">
        <v>656</v>
      </c>
      <c r="Q122" s="11" t="s">
        <v>659</v>
      </c>
      <c r="R122" s="10" t="s">
        <v>81</v>
      </c>
      <c r="S122" s="10" t="s">
        <v>82</v>
      </c>
      <c r="T122" s="8" t="s">
        <v>62</v>
      </c>
      <c r="U122" s="7"/>
      <c r="V122" s="7" t="s">
        <v>83</v>
      </c>
      <c r="W122" s="8" t="s">
        <v>64</v>
      </c>
      <c r="X122" s="9" t="s">
        <v>660</v>
      </c>
    </row>
    <row r="123" spans="1:24" s="11" customFormat="1" ht="15.75" x14ac:dyDescent="0.25">
      <c r="A123" s="7" t="s">
        <v>72</v>
      </c>
      <c r="B123" s="8" t="s">
        <v>57</v>
      </c>
      <c r="C123" s="7" t="s">
        <v>661</v>
      </c>
      <c r="D123" s="9" t="s">
        <v>662</v>
      </c>
      <c r="E123" s="10" t="s">
        <v>75</v>
      </c>
      <c r="F123" s="10" t="s">
        <v>76</v>
      </c>
      <c r="G123" s="10" t="s">
        <v>58</v>
      </c>
      <c r="H123" s="10" t="s">
        <v>663</v>
      </c>
      <c r="I123" s="10" t="s">
        <v>78</v>
      </c>
      <c r="J123" s="10" t="s">
        <v>79</v>
      </c>
      <c r="K123" s="10" t="s">
        <v>59</v>
      </c>
      <c r="L123" s="7" t="s">
        <v>72</v>
      </c>
      <c r="M123" s="10" t="s">
        <v>60</v>
      </c>
      <c r="N123" s="7" t="s">
        <v>72</v>
      </c>
      <c r="O123" s="8" t="s">
        <v>61</v>
      </c>
      <c r="P123" s="7" t="s">
        <v>661</v>
      </c>
      <c r="Q123" s="11" t="s">
        <v>664</v>
      </c>
      <c r="R123" s="10" t="s">
        <v>81</v>
      </c>
      <c r="S123" s="10" t="s">
        <v>82</v>
      </c>
      <c r="T123" s="8" t="s">
        <v>62</v>
      </c>
      <c r="U123" s="7"/>
      <c r="V123" s="7" t="s">
        <v>83</v>
      </c>
      <c r="W123" s="8" t="s">
        <v>64</v>
      </c>
      <c r="X123" s="9" t="s">
        <v>665</v>
      </c>
    </row>
    <row r="124" spans="1:24" s="11" customFormat="1" ht="15.75" x14ac:dyDescent="0.25">
      <c r="A124" s="7" t="s">
        <v>72</v>
      </c>
      <c r="B124" s="8" t="s">
        <v>57</v>
      </c>
      <c r="C124" s="7" t="s">
        <v>666</v>
      </c>
      <c r="D124" s="9" t="s">
        <v>667</v>
      </c>
      <c r="E124" s="10" t="s">
        <v>75</v>
      </c>
      <c r="F124" s="10" t="s">
        <v>76</v>
      </c>
      <c r="G124" s="10" t="s">
        <v>58</v>
      </c>
      <c r="H124" s="10" t="s">
        <v>668</v>
      </c>
      <c r="I124" s="10" t="s">
        <v>78</v>
      </c>
      <c r="J124" s="10" t="s">
        <v>79</v>
      </c>
      <c r="K124" s="10" t="s">
        <v>59</v>
      </c>
      <c r="L124" s="7" t="s">
        <v>72</v>
      </c>
      <c r="M124" s="10" t="s">
        <v>60</v>
      </c>
      <c r="N124" s="7" t="s">
        <v>72</v>
      </c>
      <c r="O124" s="8" t="s">
        <v>61</v>
      </c>
      <c r="P124" s="7" t="s">
        <v>666</v>
      </c>
      <c r="Q124" s="11" t="s">
        <v>669</v>
      </c>
      <c r="R124" s="10" t="s">
        <v>81</v>
      </c>
      <c r="S124" s="10" t="s">
        <v>82</v>
      </c>
      <c r="T124" s="8" t="s">
        <v>62</v>
      </c>
      <c r="U124" s="7"/>
      <c r="V124" s="7" t="s">
        <v>83</v>
      </c>
      <c r="W124" s="8" t="s">
        <v>64</v>
      </c>
      <c r="X124" s="9" t="s">
        <v>670</v>
      </c>
    </row>
    <row r="125" spans="1:24" s="11" customFormat="1" ht="15.75" x14ac:dyDescent="0.25">
      <c r="A125" s="7" t="s">
        <v>72</v>
      </c>
      <c r="B125" s="8" t="s">
        <v>57</v>
      </c>
      <c r="C125" s="7" t="s">
        <v>671</v>
      </c>
      <c r="D125" s="9" t="s">
        <v>672</v>
      </c>
      <c r="E125" s="10" t="s">
        <v>75</v>
      </c>
      <c r="F125" s="10" t="s">
        <v>76</v>
      </c>
      <c r="G125" s="10" t="s">
        <v>58</v>
      </c>
      <c r="H125" s="10" t="s">
        <v>673</v>
      </c>
      <c r="I125" s="10" t="s">
        <v>78</v>
      </c>
      <c r="J125" s="10" t="s">
        <v>79</v>
      </c>
      <c r="K125" s="10" t="s">
        <v>59</v>
      </c>
      <c r="L125" s="7" t="s">
        <v>72</v>
      </c>
      <c r="M125" s="10" t="s">
        <v>60</v>
      </c>
      <c r="N125" s="7" t="s">
        <v>72</v>
      </c>
      <c r="O125" s="8" t="s">
        <v>61</v>
      </c>
      <c r="P125" s="7" t="s">
        <v>671</v>
      </c>
      <c r="Q125" s="11" t="s">
        <v>674</v>
      </c>
      <c r="R125" s="10" t="s">
        <v>81</v>
      </c>
      <c r="S125" s="10" t="s">
        <v>82</v>
      </c>
      <c r="T125" s="8" t="s">
        <v>62</v>
      </c>
      <c r="U125" s="7"/>
      <c r="V125" s="7" t="s">
        <v>83</v>
      </c>
      <c r="W125" s="8" t="s">
        <v>64</v>
      </c>
      <c r="X125" s="9" t="s">
        <v>675</v>
      </c>
    </row>
    <row r="126" spans="1:24" s="11" customFormat="1" ht="15.75" x14ac:dyDescent="0.25">
      <c r="A126" s="7" t="s">
        <v>72</v>
      </c>
      <c r="B126" s="8" t="s">
        <v>57</v>
      </c>
      <c r="C126" s="7" t="s">
        <v>676</v>
      </c>
      <c r="D126" s="9" t="s">
        <v>677</v>
      </c>
      <c r="E126" s="10" t="s">
        <v>75</v>
      </c>
      <c r="F126" s="10" t="s">
        <v>76</v>
      </c>
      <c r="G126" s="10" t="s">
        <v>58</v>
      </c>
      <c r="H126" s="10" t="s">
        <v>678</v>
      </c>
      <c r="I126" s="10" t="s">
        <v>78</v>
      </c>
      <c r="J126" s="10" t="s">
        <v>79</v>
      </c>
      <c r="K126" s="10" t="s">
        <v>59</v>
      </c>
      <c r="L126" s="7" t="s">
        <v>72</v>
      </c>
      <c r="M126" s="10" t="s">
        <v>60</v>
      </c>
      <c r="N126" s="7" t="s">
        <v>72</v>
      </c>
      <c r="O126" s="8" t="s">
        <v>61</v>
      </c>
      <c r="P126" s="7" t="s">
        <v>676</v>
      </c>
      <c r="Q126" s="11" t="s">
        <v>679</v>
      </c>
      <c r="R126" s="10" t="s">
        <v>81</v>
      </c>
      <c r="S126" s="10" t="s">
        <v>82</v>
      </c>
      <c r="T126" s="8" t="s">
        <v>62</v>
      </c>
      <c r="U126" s="7"/>
      <c r="V126" s="7" t="s">
        <v>83</v>
      </c>
      <c r="W126" s="8" t="s">
        <v>64</v>
      </c>
      <c r="X126" s="9" t="s">
        <v>680</v>
      </c>
    </row>
    <row r="127" spans="1:24" s="11" customFormat="1" ht="15.75" x14ac:dyDescent="0.25">
      <c r="A127" s="7" t="s">
        <v>72</v>
      </c>
      <c r="B127" s="8" t="s">
        <v>57</v>
      </c>
      <c r="C127" s="7" t="s">
        <v>681</v>
      </c>
      <c r="D127" s="9" t="s">
        <v>682</v>
      </c>
      <c r="E127" s="10" t="s">
        <v>75</v>
      </c>
      <c r="F127" s="10" t="s">
        <v>76</v>
      </c>
      <c r="G127" s="10" t="s">
        <v>58</v>
      </c>
      <c r="H127" s="10" t="s">
        <v>683</v>
      </c>
      <c r="I127" s="10" t="s">
        <v>78</v>
      </c>
      <c r="J127" s="10" t="s">
        <v>79</v>
      </c>
      <c r="K127" s="10" t="s">
        <v>59</v>
      </c>
      <c r="L127" s="7" t="s">
        <v>72</v>
      </c>
      <c r="M127" s="10" t="s">
        <v>60</v>
      </c>
      <c r="N127" s="7" t="s">
        <v>72</v>
      </c>
      <c r="O127" s="8" t="s">
        <v>61</v>
      </c>
      <c r="P127" s="7" t="s">
        <v>681</v>
      </c>
      <c r="Q127" s="11" t="s">
        <v>684</v>
      </c>
      <c r="R127" s="10" t="s">
        <v>81</v>
      </c>
      <c r="S127" s="10" t="s">
        <v>82</v>
      </c>
      <c r="T127" s="8" t="s">
        <v>62</v>
      </c>
      <c r="U127" s="7"/>
      <c r="V127" s="7" t="s">
        <v>83</v>
      </c>
      <c r="W127" s="8" t="s">
        <v>64</v>
      </c>
      <c r="X127" s="9" t="s">
        <v>685</v>
      </c>
    </row>
    <row r="128" spans="1:24" s="11" customFormat="1" ht="15.75" x14ac:dyDescent="0.25">
      <c r="A128" s="7" t="s">
        <v>72</v>
      </c>
      <c r="B128" s="8" t="s">
        <v>57</v>
      </c>
      <c r="C128" s="7" t="s">
        <v>686</v>
      </c>
      <c r="D128" s="9" t="s">
        <v>687</v>
      </c>
      <c r="E128" s="10" t="s">
        <v>75</v>
      </c>
      <c r="F128" s="10" t="s">
        <v>76</v>
      </c>
      <c r="G128" s="10" t="s">
        <v>58</v>
      </c>
      <c r="H128" s="10" t="s">
        <v>688</v>
      </c>
      <c r="I128" s="10" t="s">
        <v>78</v>
      </c>
      <c r="J128" s="10" t="s">
        <v>79</v>
      </c>
      <c r="K128" s="10" t="s">
        <v>59</v>
      </c>
      <c r="L128" s="7" t="s">
        <v>72</v>
      </c>
      <c r="M128" s="10" t="s">
        <v>60</v>
      </c>
      <c r="N128" s="7" t="s">
        <v>72</v>
      </c>
      <c r="O128" s="8" t="s">
        <v>61</v>
      </c>
      <c r="P128" s="7" t="s">
        <v>686</v>
      </c>
      <c r="Q128" s="11" t="s">
        <v>689</v>
      </c>
      <c r="R128" s="10" t="s">
        <v>81</v>
      </c>
      <c r="S128" s="10" t="s">
        <v>82</v>
      </c>
      <c r="T128" s="8" t="s">
        <v>62</v>
      </c>
      <c r="U128" s="7"/>
      <c r="V128" s="7" t="s">
        <v>83</v>
      </c>
      <c r="W128" s="8" t="s">
        <v>64</v>
      </c>
      <c r="X128" s="9" t="s">
        <v>690</v>
      </c>
    </row>
    <row r="129" spans="1:24" s="11" customFormat="1" ht="15.75" x14ac:dyDescent="0.25">
      <c r="A129" s="7" t="s">
        <v>72</v>
      </c>
      <c r="B129" s="8" t="s">
        <v>57</v>
      </c>
      <c r="C129" s="7" t="s">
        <v>691</v>
      </c>
      <c r="D129" s="9" t="s">
        <v>692</v>
      </c>
      <c r="E129" s="10" t="s">
        <v>75</v>
      </c>
      <c r="F129" s="10" t="s">
        <v>76</v>
      </c>
      <c r="G129" s="10" t="s">
        <v>58</v>
      </c>
      <c r="H129" s="10" t="s">
        <v>693</v>
      </c>
      <c r="I129" s="10" t="s">
        <v>78</v>
      </c>
      <c r="J129" s="10" t="s">
        <v>79</v>
      </c>
      <c r="K129" s="10" t="s">
        <v>59</v>
      </c>
      <c r="L129" s="7" t="s">
        <v>72</v>
      </c>
      <c r="M129" s="10" t="s">
        <v>60</v>
      </c>
      <c r="N129" s="7" t="s">
        <v>72</v>
      </c>
      <c r="O129" s="8" t="s">
        <v>61</v>
      </c>
      <c r="P129" s="7" t="s">
        <v>691</v>
      </c>
      <c r="Q129" s="11" t="s">
        <v>694</v>
      </c>
      <c r="R129" s="10" t="s">
        <v>81</v>
      </c>
      <c r="S129" s="10" t="s">
        <v>82</v>
      </c>
      <c r="T129" s="8" t="s">
        <v>62</v>
      </c>
      <c r="U129" s="7"/>
      <c r="V129" s="7" t="s">
        <v>83</v>
      </c>
      <c r="W129" s="8" t="s">
        <v>64</v>
      </c>
      <c r="X129" s="9" t="s">
        <v>695</v>
      </c>
    </row>
    <row r="130" spans="1:24" s="11" customFormat="1" ht="15.75" x14ac:dyDescent="0.25">
      <c r="A130" s="7" t="s">
        <v>72</v>
      </c>
      <c r="B130" s="8" t="s">
        <v>57</v>
      </c>
      <c r="C130" s="7" t="s">
        <v>696</v>
      </c>
      <c r="D130" s="9" t="s">
        <v>697</v>
      </c>
      <c r="E130" s="10" t="s">
        <v>75</v>
      </c>
      <c r="F130" s="10" t="s">
        <v>76</v>
      </c>
      <c r="G130" s="10" t="s">
        <v>58</v>
      </c>
      <c r="H130" s="10" t="s">
        <v>698</v>
      </c>
      <c r="I130" s="10" t="s">
        <v>78</v>
      </c>
      <c r="J130" s="10" t="s">
        <v>79</v>
      </c>
      <c r="K130" s="10" t="s">
        <v>59</v>
      </c>
      <c r="L130" s="7" t="s">
        <v>72</v>
      </c>
      <c r="M130" s="10" t="s">
        <v>60</v>
      </c>
      <c r="N130" s="7" t="s">
        <v>72</v>
      </c>
      <c r="O130" s="8" t="s">
        <v>61</v>
      </c>
      <c r="P130" s="7" t="s">
        <v>696</v>
      </c>
      <c r="Q130" s="11" t="s">
        <v>699</v>
      </c>
      <c r="R130" s="10" t="s">
        <v>81</v>
      </c>
      <c r="S130" s="10" t="s">
        <v>82</v>
      </c>
      <c r="T130" s="8" t="s">
        <v>62</v>
      </c>
      <c r="U130" s="7"/>
      <c r="V130" s="7" t="s">
        <v>83</v>
      </c>
      <c r="W130" s="8" t="s">
        <v>64</v>
      </c>
      <c r="X130" s="9" t="s">
        <v>700</v>
      </c>
    </row>
    <row r="131" spans="1:24" s="11" customFormat="1" ht="15.75" x14ac:dyDescent="0.25">
      <c r="A131" s="7" t="s">
        <v>72</v>
      </c>
      <c r="B131" s="8" t="s">
        <v>57</v>
      </c>
      <c r="C131" s="7" t="s">
        <v>701</v>
      </c>
      <c r="D131" s="9" t="s">
        <v>702</v>
      </c>
      <c r="E131" s="10" t="s">
        <v>75</v>
      </c>
      <c r="F131" s="10" t="s">
        <v>76</v>
      </c>
      <c r="G131" s="10" t="s">
        <v>58</v>
      </c>
      <c r="H131" s="10" t="s">
        <v>703</v>
      </c>
      <c r="I131" s="10" t="s">
        <v>78</v>
      </c>
      <c r="J131" s="10" t="s">
        <v>79</v>
      </c>
      <c r="K131" s="10" t="s">
        <v>59</v>
      </c>
      <c r="L131" s="7" t="s">
        <v>72</v>
      </c>
      <c r="M131" s="10" t="s">
        <v>60</v>
      </c>
      <c r="N131" s="7" t="s">
        <v>72</v>
      </c>
      <c r="O131" s="8" t="s">
        <v>61</v>
      </c>
      <c r="P131" s="7" t="s">
        <v>701</v>
      </c>
      <c r="Q131" s="11" t="s">
        <v>704</v>
      </c>
      <c r="R131" s="10" t="s">
        <v>81</v>
      </c>
      <c r="S131" s="10" t="s">
        <v>82</v>
      </c>
      <c r="T131" s="8" t="s">
        <v>62</v>
      </c>
      <c r="U131" s="7"/>
      <c r="V131" s="7" t="s">
        <v>83</v>
      </c>
      <c r="W131" s="8" t="s">
        <v>64</v>
      </c>
      <c r="X131" s="9" t="s">
        <v>705</v>
      </c>
    </row>
    <row r="132" spans="1:24" s="11" customFormat="1" ht="15.75" x14ac:dyDescent="0.25">
      <c r="A132" s="7" t="s">
        <v>72</v>
      </c>
      <c r="B132" s="8" t="s">
        <v>57</v>
      </c>
      <c r="C132" s="7" t="s">
        <v>706</v>
      </c>
      <c r="D132" s="9" t="s">
        <v>707</v>
      </c>
      <c r="E132" s="10" t="s">
        <v>75</v>
      </c>
      <c r="F132" s="10" t="s">
        <v>76</v>
      </c>
      <c r="G132" s="10" t="s">
        <v>58</v>
      </c>
      <c r="H132" s="10" t="s">
        <v>708</v>
      </c>
      <c r="I132" s="10" t="s">
        <v>78</v>
      </c>
      <c r="J132" s="10" t="s">
        <v>79</v>
      </c>
      <c r="K132" s="10" t="s">
        <v>59</v>
      </c>
      <c r="L132" s="7" t="s">
        <v>72</v>
      </c>
      <c r="M132" s="10" t="s">
        <v>60</v>
      </c>
      <c r="N132" s="7" t="s">
        <v>72</v>
      </c>
      <c r="O132" s="8" t="s">
        <v>61</v>
      </c>
      <c r="P132" s="7" t="s">
        <v>706</v>
      </c>
      <c r="Q132" s="11" t="s">
        <v>709</v>
      </c>
      <c r="R132" s="10" t="s">
        <v>81</v>
      </c>
      <c r="S132" s="10" t="s">
        <v>82</v>
      </c>
      <c r="T132" s="8" t="s">
        <v>62</v>
      </c>
      <c r="U132" s="7"/>
      <c r="V132" s="7" t="s">
        <v>83</v>
      </c>
      <c r="W132" s="8" t="s">
        <v>64</v>
      </c>
      <c r="X132" s="9" t="s">
        <v>710</v>
      </c>
    </row>
    <row r="133" spans="1:24" s="11" customFormat="1" ht="15.75" x14ac:dyDescent="0.25">
      <c r="A133" s="7" t="s">
        <v>72</v>
      </c>
      <c r="B133" s="8" t="s">
        <v>57</v>
      </c>
      <c r="C133" s="7" t="s">
        <v>711</v>
      </c>
      <c r="D133" s="9" t="s">
        <v>712</v>
      </c>
      <c r="E133" s="10" t="s">
        <v>75</v>
      </c>
      <c r="F133" s="10" t="s">
        <v>76</v>
      </c>
      <c r="G133" s="10" t="s">
        <v>58</v>
      </c>
      <c r="H133" s="10" t="s">
        <v>713</v>
      </c>
      <c r="I133" s="10" t="s">
        <v>78</v>
      </c>
      <c r="J133" s="10" t="s">
        <v>79</v>
      </c>
      <c r="K133" s="10" t="s">
        <v>59</v>
      </c>
      <c r="L133" s="7" t="s">
        <v>72</v>
      </c>
      <c r="M133" s="10" t="s">
        <v>60</v>
      </c>
      <c r="N133" s="7" t="s">
        <v>72</v>
      </c>
      <c r="O133" s="8" t="s">
        <v>61</v>
      </c>
      <c r="P133" s="7" t="s">
        <v>711</v>
      </c>
      <c r="Q133" s="11" t="s">
        <v>714</v>
      </c>
      <c r="R133" s="10" t="s">
        <v>81</v>
      </c>
      <c r="S133" s="10" t="s">
        <v>82</v>
      </c>
      <c r="T133" s="8" t="s">
        <v>62</v>
      </c>
      <c r="U133" s="7"/>
      <c r="V133" s="7" t="s">
        <v>83</v>
      </c>
      <c r="W133" s="8" t="s">
        <v>64</v>
      </c>
      <c r="X133" s="9" t="s">
        <v>715</v>
      </c>
    </row>
    <row r="134" spans="1:24" s="11" customFormat="1" ht="15.75" x14ac:dyDescent="0.25">
      <c r="A134" s="7" t="s">
        <v>72</v>
      </c>
      <c r="B134" s="8" t="s">
        <v>57</v>
      </c>
      <c r="C134" s="7" t="s">
        <v>716</v>
      </c>
      <c r="D134" s="9" t="s">
        <v>717</v>
      </c>
      <c r="E134" s="10" t="s">
        <v>75</v>
      </c>
      <c r="F134" s="10" t="s">
        <v>76</v>
      </c>
      <c r="G134" s="10" t="s">
        <v>58</v>
      </c>
      <c r="H134" s="10" t="s">
        <v>718</v>
      </c>
      <c r="I134" s="10" t="s">
        <v>78</v>
      </c>
      <c r="J134" s="10" t="s">
        <v>79</v>
      </c>
      <c r="K134" s="10" t="s">
        <v>59</v>
      </c>
      <c r="L134" s="7" t="s">
        <v>72</v>
      </c>
      <c r="M134" s="10" t="s">
        <v>60</v>
      </c>
      <c r="N134" s="7" t="s">
        <v>72</v>
      </c>
      <c r="O134" s="8" t="s">
        <v>61</v>
      </c>
      <c r="P134" s="7" t="s">
        <v>716</v>
      </c>
      <c r="Q134" s="11" t="s">
        <v>719</v>
      </c>
      <c r="R134" s="10" t="s">
        <v>81</v>
      </c>
      <c r="S134" s="10" t="s">
        <v>82</v>
      </c>
      <c r="T134" s="8" t="s">
        <v>62</v>
      </c>
      <c r="U134" s="7"/>
      <c r="V134" s="7" t="s">
        <v>83</v>
      </c>
      <c r="W134" s="8" t="s">
        <v>64</v>
      </c>
      <c r="X134" s="9" t="s">
        <v>720</v>
      </c>
    </row>
    <row r="135" spans="1:24" s="11" customFormat="1" ht="15.75" x14ac:dyDescent="0.25">
      <c r="A135" s="7" t="s">
        <v>72</v>
      </c>
      <c r="B135" s="8" t="s">
        <v>57</v>
      </c>
      <c r="C135" s="7" t="s">
        <v>721</v>
      </c>
      <c r="D135" s="9" t="s">
        <v>722</v>
      </c>
      <c r="E135" s="10" t="s">
        <v>75</v>
      </c>
      <c r="F135" s="10" t="s">
        <v>76</v>
      </c>
      <c r="G135" s="10" t="s">
        <v>58</v>
      </c>
      <c r="H135" s="10" t="s">
        <v>723</v>
      </c>
      <c r="I135" s="10" t="s">
        <v>78</v>
      </c>
      <c r="J135" s="10" t="s">
        <v>79</v>
      </c>
      <c r="K135" s="10" t="s">
        <v>59</v>
      </c>
      <c r="L135" s="7" t="s">
        <v>72</v>
      </c>
      <c r="M135" s="10" t="s">
        <v>60</v>
      </c>
      <c r="N135" s="7" t="s">
        <v>72</v>
      </c>
      <c r="O135" s="8" t="s">
        <v>61</v>
      </c>
      <c r="P135" s="7" t="s">
        <v>721</v>
      </c>
      <c r="Q135" s="11" t="s">
        <v>724</v>
      </c>
      <c r="R135" s="10" t="s">
        <v>81</v>
      </c>
      <c r="S135" s="10" t="s">
        <v>82</v>
      </c>
      <c r="T135" s="8" t="s">
        <v>62</v>
      </c>
      <c r="U135" s="7"/>
      <c r="V135" s="7" t="s">
        <v>83</v>
      </c>
      <c r="W135" s="8" t="s">
        <v>64</v>
      </c>
      <c r="X135" s="9" t="s">
        <v>725</v>
      </c>
    </row>
    <row r="136" spans="1:24" s="11" customFormat="1" ht="15.75" x14ac:dyDescent="0.25">
      <c r="A136" s="7" t="s">
        <v>72</v>
      </c>
      <c r="B136" s="8" t="s">
        <v>57</v>
      </c>
      <c r="C136" s="7" t="s">
        <v>726</v>
      </c>
      <c r="D136" s="9" t="s">
        <v>727</v>
      </c>
      <c r="E136" s="10" t="s">
        <v>75</v>
      </c>
      <c r="F136" s="10" t="s">
        <v>76</v>
      </c>
      <c r="G136" s="10" t="s">
        <v>58</v>
      </c>
      <c r="H136" s="10" t="s">
        <v>728</v>
      </c>
      <c r="I136" s="10" t="s">
        <v>78</v>
      </c>
      <c r="J136" s="10" t="s">
        <v>79</v>
      </c>
      <c r="K136" s="10" t="s">
        <v>59</v>
      </c>
      <c r="L136" s="7" t="s">
        <v>72</v>
      </c>
      <c r="M136" s="10" t="s">
        <v>60</v>
      </c>
      <c r="N136" s="7" t="s">
        <v>72</v>
      </c>
      <c r="O136" s="8" t="s">
        <v>61</v>
      </c>
      <c r="P136" s="7" t="s">
        <v>726</v>
      </c>
      <c r="Q136" s="11" t="s">
        <v>729</v>
      </c>
      <c r="R136" s="10" t="s">
        <v>81</v>
      </c>
      <c r="S136" s="10" t="s">
        <v>82</v>
      </c>
      <c r="T136" s="8" t="s">
        <v>62</v>
      </c>
      <c r="U136" s="7"/>
      <c r="V136" s="7" t="s">
        <v>83</v>
      </c>
      <c r="W136" s="8" t="s">
        <v>64</v>
      </c>
      <c r="X136" s="9" t="s">
        <v>730</v>
      </c>
    </row>
    <row r="137" spans="1:24" s="11" customFormat="1" ht="15.75" x14ac:dyDescent="0.25">
      <c r="A137" s="7" t="s">
        <v>72</v>
      </c>
      <c r="B137" s="8" t="s">
        <v>57</v>
      </c>
      <c r="C137" s="7" t="s">
        <v>731</v>
      </c>
      <c r="D137" s="9" t="s">
        <v>732</v>
      </c>
      <c r="E137" s="10" t="s">
        <v>75</v>
      </c>
      <c r="F137" s="10" t="s">
        <v>76</v>
      </c>
      <c r="G137" s="10" t="s">
        <v>58</v>
      </c>
      <c r="H137" s="10" t="s">
        <v>733</v>
      </c>
      <c r="I137" s="10" t="s">
        <v>78</v>
      </c>
      <c r="J137" s="10" t="s">
        <v>79</v>
      </c>
      <c r="K137" s="10" t="s">
        <v>59</v>
      </c>
      <c r="L137" s="7" t="s">
        <v>72</v>
      </c>
      <c r="M137" s="10" t="s">
        <v>60</v>
      </c>
      <c r="N137" s="7" t="s">
        <v>72</v>
      </c>
      <c r="O137" s="8" t="s">
        <v>61</v>
      </c>
      <c r="P137" s="7" t="s">
        <v>731</v>
      </c>
      <c r="Q137" s="11" t="s">
        <v>734</v>
      </c>
      <c r="R137" s="10" t="s">
        <v>81</v>
      </c>
      <c r="S137" s="10" t="s">
        <v>82</v>
      </c>
      <c r="T137" s="8" t="s">
        <v>62</v>
      </c>
      <c r="U137" s="7"/>
      <c r="V137" s="7" t="s">
        <v>83</v>
      </c>
      <c r="W137" s="8" t="s">
        <v>64</v>
      </c>
      <c r="X137" s="9" t="s">
        <v>735</v>
      </c>
    </row>
    <row r="138" spans="1:24" s="11" customFormat="1" ht="15.75" x14ac:dyDescent="0.25">
      <c r="A138" s="7" t="s">
        <v>72</v>
      </c>
      <c r="B138" s="8" t="s">
        <v>57</v>
      </c>
      <c r="C138" s="7" t="s">
        <v>736</v>
      </c>
      <c r="D138" s="9" t="s">
        <v>737</v>
      </c>
      <c r="E138" s="10" t="s">
        <v>75</v>
      </c>
      <c r="F138" s="10" t="s">
        <v>76</v>
      </c>
      <c r="G138" s="10" t="s">
        <v>58</v>
      </c>
      <c r="H138" s="10" t="s">
        <v>738</v>
      </c>
      <c r="I138" s="10" t="s">
        <v>78</v>
      </c>
      <c r="J138" s="10" t="s">
        <v>79</v>
      </c>
      <c r="K138" s="10" t="s">
        <v>59</v>
      </c>
      <c r="L138" s="7" t="s">
        <v>72</v>
      </c>
      <c r="M138" s="10" t="s">
        <v>60</v>
      </c>
      <c r="N138" s="7" t="s">
        <v>72</v>
      </c>
      <c r="O138" s="8" t="s">
        <v>61</v>
      </c>
      <c r="P138" s="7" t="s">
        <v>736</v>
      </c>
      <c r="Q138" s="11" t="s">
        <v>739</v>
      </c>
      <c r="R138" s="10" t="s">
        <v>81</v>
      </c>
      <c r="S138" s="10" t="s">
        <v>82</v>
      </c>
      <c r="T138" s="8" t="s">
        <v>62</v>
      </c>
      <c r="U138" s="7"/>
      <c r="V138" s="7" t="s">
        <v>83</v>
      </c>
      <c r="W138" s="8" t="s">
        <v>64</v>
      </c>
      <c r="X138" s="9" t="s">
        <v>740</v>
      </c>
    </row>
    <row r="139" spans="1:24" s="11" customFormat="1" ht="15.75" x14ac:dyDescent="0.25">
      <c r="A139" s="7" t="s">
        <v>72</v>
      </c>
      <c r="B139" s="8" t="s">
        <v>57</v>
      </c>
      <c r="C139" s="7" t="s">
        <v>741</v>
      </c>
      <c r="D139" s="9" t="s">
        <v>742</v>
      </c>
      <c r="E139" s="10" t="s">
        <v>75</v>
      </c>
      <c r="F139" s="10" t="s">
        <v>76</v>
      </c>
      <c r="G139" s="10" t="s">
        <v>58</v>
      </c>
      <c r="H139" s="10" t="s">
        <v>743</v>
      </c>
      <c r="I139" s="10" t="s">
        <v>78</v>
      </c>
      <c r="J139" s="10" t="s">
        <v>79</v>
      </c>
      <c r="K139" s="10" t="s">
        <v>59</v>
      </c>
      <c r="L139" s="7" t="s">
        <v>72</v>
      </c>
      <c r="M139" s="10" t="s">
        <v>60</v>
      </c>
      <c r="N139" s="7" t="s">
        <v>72</v>
      </c>
      <c r="O139" s="8" t="s">
        <v>61</v>
      </c>
      <c r="P139" s="7" t="s">
        <v>741</v>
      </c>
      <c r="Q139" s="11" t="s">
        <v>744</v>
      </c>
      <c r="R139" s="10" t="s">
        <v>81</v>
      </c>
      <c r="S139" s="10" t="s">
        <v>82</v>
      </c>
      <c r="T139" s="8" t="s">
        <v>62</v>
      </c>
      <c r="U139" s="7"/>
      <c r="V139" s="7" t="s">
        <v>83</v>
      </c>
      <c r="W139" s="8" t="s">
        <v>64</v>
      </c>
      <c r="X139" s="9" t="s">
        <v>745</v>
      </c>
    </row>
    <row r="140" spans="1:24" s="11" customFormat="1" ht="15.75" x14ac:dyDescent="0.25">
      <c r="A140" s="7" t="s">
        <v>72</v>
      </c>
      <c r="B140" s="8" t="s">
        <v>57</v>
      </c>
      <c r="C140" s="7" t="s">
        <v>746</v>
      </c>
      <c r="D140" s="9" t="s">
        <v>747</v>
      </c>
      <c r="E140" s="10" t="s">
        <v>75</v>
      </c>
      <c r="F140" s="10" t="s">
        <v>76</v>
      </c>
      <c r="G140" s="10" t="s">
        <v>58</v>
      </c>
      <c r="H140" s="10" t="s">
        <v>748</v>
      </c>
      <c r="I140" s="10" t="s">
        <v>78</v>
      </c>
      <c r="J140" s="10" t="s">
        <v>79</v>
      </c>
      <c r="K140" s="10" t="s">
        <v>59</v>
      </c>
      <c r="L140" s="7" t="s">
        <v>72</v>
      </c>
      <c r="M140" s="10" t="s">
        <v>60</v>
      </c>
      <c r="N140" s="7" t="s">
        <v>72</v>
      </c>
      <c r="O140" s="8" t="s">
        <v>61</v>
      </c>
      <c r="P140" s="7" t="s">
        <v>746</v>
      </c>
      <c r="Q140" s="11" t="s">
        <v>749</v>
      </c>
      <c r="R140" s="10" t="s">
        <v>81</v>
      </c>
      <c r="S140" s="10" t="s">
        <v>82</v>
      </c>
      <c r="T140" s="8" t="s">
        <v>62</v>
      </c>
      <c r="U140" s="7"/>
      <c r="V140" s="7" t="s">
        <v>83</v>
      </c>
      <c r="W140" s="8" t="s">
        <v>64</v>
      </c>
      <c r="X140" s="9" t="s">
        <v>750</v>
      </c>
    </row>
    <row r="141" spans="1:24" s="11" customFormat="1" ht="15.75" x14ac:dyDescent="0.25">
      <c r="A141" s="7" t="s">
        <v>72</v>
      </c>
      <c r="B141" s="8" t="s">
        <v>57</v>
      </c>
      <c r="C141" s="7" t="s">
        <v>241</v>
      </c>
      <c r="D141" s="9" t="s">
        <v>751</v>
      </c>
      <c r="E141" s="10" t="s">
        <v>75</v>
      </c>
      <c r="F141" s="10" t="s">
        <v>76</v>
      </c>
      <c r="G141" s="10" t="s">
        <v>58</v>
      </c>
      <c r="H141" s="10" t="s">
        <v>752</v>
      </c>
      <c r="I141" s="10" t="s">
        <v>78</v>
      </c>
      <c r="J141" s="10" t="s">
        <v>79</v>
      </c>
      <c r="K141" s="10" t="s">
        <v>59</v>
      </c>
      <c r="L141" s="7" t="s">
        <v>72</v>
      </c>
      <c r="M141" s="10" t="s">
        <v>60</v>
      </c>
      <c r="N141" s="7" t="s">
        <v>72</v>
      </c>
      <c r="O141" s="8" t="s">
        <v>61</v>
      </c>
      <c r="P141" s="7" t="s">
        <v>241</v>
      </c>
      <c r="Q141" s="11" t="s">
        <v>753</v>
      </c>
      <c r="R141" s="10" t="s">
        <v>81</v>
      </c>
      <c r="S141" s="10" t="s">
        <v>82</v>
      </c>
      <c r="T141" s="8" t="s">
        <v>62</v>
      </c>
      <c r="U141" s="7"/>
      <c r="V141" s="7" t="s">
        <v>83</v>
      </c>
      <c r="W141" s="8" t="s">
        <v>64</v>
      </c>
      <c r="X141" s="9" t="s">
        <v>754</v>
      </c>
    </row>
    <row r="142" spans="1:24" s="11" customFormat="1" ht="15.75" x14ac:dyDescent="0.25">
      <c r="A142" s="7" t="s">
        <v>72</v>
      </c>
      <c r="B142" s="8" t="s">
        <v>57</v>
      </c>
      <c r="C142" s="7" t="s">
        <v>755</v>
      </c>
      <c r="D142" s="9" t="s">
        <v>756</v>
      </c>
      <c r="E142" s="10" t="s">
        <v>75</v>
      </c>
      <c r="F142" s="10" t="s">
        <v>76</v>
      </c>
      <c r="G142" s="10" t="s">
        <v>58</v>
      </c>
      <c r="H142" s="10" t="s">
        <v>757</v>
      </c>
      <c r="I142" s="10" t="s">
        <v>78</v>
      </c>
      <c r="J142" s="10" t="s">
        <v>79</v>
      </c>
      <c r="K142" s="10" t="s">
        <v>59</v>
      </c>
      <c r="L142" s="7" t="s">
        <v>72</v>
      </c>
      <c r="M142" s="10" t="s">
        <v>60</v>
      </c>
      <c r="N142" s="7" t="s">
        <v>72</v>
      </c>
      <c r="O142" s="8" t="s">
        <v>61</v>
      </c>
      <c r="P142" s="7" t="s">
        <v>755</v>
      </c>
      <c r="Q142" s="11" t="s">
        <v>758</v>
      </c>
      <c r="R142" s="10" t="s">
        <v>81</v>
      </c>
      <c r="S142" s="10" t="s">
        <v>82</v>
      </c>
      <c r="T142" s="8" t="s">
        <v>62</v>
      </c>
      <c r="U142" s="7"/>
      <c r="V142" s="7" t="s">
        <v>83</v>
      </c>
      <c r="W142" s="8" t="s">
        <v>64</v>
      </c>
      <c r="X142" s="9" t="s">
        <v>759</v>
      </c>
    </row>
    <row r="143" spans="1:24" s="11" customFormat="1" ht="15.75" x14ac:dyDescent="0.25">
      <c r="A143" s="7" t="s">
        <v>72</v>
      </c>
      <c r="B143" s="8" t="s">
        <v>57</v>
      </c>
      <c r="C143" s="7" t="s">
        <v>760</v>
      </c>
      <c r="D143" s="9" t="s">
        <v>761</v>
      </c>
      <c r="E143" s="10" t="s">
        <v>75</v>
      </c>
      <c r="F143" s="10" t="s">
        <v>76</v>
      </c>
      <c r="G143" s="10" t="s">
        <v>58</v>
      </c>
      <c r="H143" s="10" t="s">
        <v>762</v>
      </c>
      <c r="I143" s="10" t="s">
        <v>78</v>
      </c>
      <c r="J143" s="10" t="s">
        <v>79</v>
      </c>
      <c r="K143" s="10" t="s">
        <v>59</v>
      </c>
      <c r="L143" s="7" t="s">
        <v>72</v>
      </c>
      <c r="M143" s="10" t="s">
        <v>60</v>
      </c>
      <c r="N143" s="7" t="s">
        <v>72</v>
      </c>
      <c r="O143" s="8" t="s">
        <v>61</v>
      </c>
      <c r="P143" s="7" t="s">
        <v>760</v>
      </c>
      <c r="Q143" s="11" t="s">
        <v>763</v>
      </c>
      <c r="R143" s="10" t="s">
        <v>81</v>
      </c>
      <c r="S143" s="10" t="s">
        <v>82</v>
      </c>
      <c r="T143" s="8" t="s">
        <v>62</v>
      </c>
      <c r="U143" s="7"/>
      <c r="V143" s="7" t="s">
        <v>83</v>
      </c>
      <c r="W143" s="8" t="s">
        <v>64</v>
      </c>
      <c r="X143" s="9" t="s">
        <v>764</v>
      </c>
    </row>
    <row r="144" spans="1:24" s="11" customFormat="1" ht="15.75" x14ac:dyDescent="0.25">
      <c r="A144" s="7" t="s">
        <v>72</v>
      </c>
      <c r="B144" s="8" t="s">
        <v>57</v>
      </c>
      <c r="C144" s="7" t="s">
        <v>142</v>
      </c>
      <c r="D144" s="9" t="s">
        <v>765</v>
      </c>
      <c r="E144" s="10" t="s">
        <v>75</v>
      </c>
      <c r="F144" s="10" t="s">
        <v>76</v>
      </c>
      <c r="G144" s="10" t="s">
        <v>58</v>
      </c>
      <c r="H144" s="10" t="s">
        <v>766</v>
      </c>
      <c r="I144" s="10" t="s">
        <v>78</v>
      </c>
      <c r="J144" s="10" t="s">
        <v>79</v>
      </c>
      <c r="K144" s="10" t="s">
        <v>59</v>
      </c>
      <c r="L144" s="7" t="s">
        <v>72</v>
      </c>
      <c r="M144" s="10" t="s">
        <v>60</v>
      </c>
      <c r="N144" s="7" t="s">
        <v>72</v>
      </c>
      <c r="O144" s="8" t="s">
        <v>61</v>
      </c>
      <c r="P144" s="7" t="s">
        <v>142</v>
      </c>
      <c r="Q144" s="11" t="s">
        <v>767</v>
      </c>
      <c r="R144" s="10" t="s">
        <v>81</v>
      </c>
      <c r="S144" s="10" t="s">
        <v>82</v>
      </c>
      <c r="T144" s="8" t="s">
        <v>62</v>
      </c>
      <c r="U144" s="7"/>
      <c r="V144" s="7" t="s">
        <v>83</v>
      </c>
      <c r="W144" s="8" t="s">
        <v>64</v>
      </c>
      <c r="X144" s="9" t="s">
        <v>768</v>
      </c>
    </row>
    <row r="145" spans="1:25" s="11" customFormat="1" ht="15.75" x14ac:dyDescent="0.25">
      <c r="A145" s="7" t="s">
        <v>72</v>
      </c>
      <c r="B145" s="8" t="s">
        <v>57</v>
      </c>
      <c r="C145" s="7" t="s">
        <v>769</v>
      </c>
      <c r="D145" s="9" t="s">
        <v>770</v>
      </c>
      <c r="E145" s="10" t="s">
        <v>75</v>
      </c>
      <c r="F145" s="10" t="s">
        <v>76</v>
      </c>
      <c r="G145" s="10" t="s">
        <v>58</v>
      </c>
      <c r="H145" s="10" t="s">
        <v>771</v>
      </c>
      <c r="I145" s="10" t="s">
        <v>78</v>
      </c>
      <c r="J145" s="10" t="s">
        <v>79</v>
      </c>
      <c r="K145" s="10" t="s">
        <v>59</v>
      </c>
      <c r="L145" s="7" t="s">
        <v>72</v>
      </c>
      <c r="M145" s="10" t="s">
        <v>60</v>
      </c>
      <c r="N145" s="7" t="s">
        <v>72</v>
      </c>
      <c r="O145" s="8" t="s">
        <v>61</v>
      </c>
      <c r="P145" s="7" t="s">
        <v>769</v>
      </c>
      <c r="Q145" s="11" t="s">
        <v>772</v>
      </c>
      <c r="R145" s="10" t="s">
        <v>81</v>
      </c>
      <c r="S145" s="10" t="s">
        <v>82</v>
      </c>
      <c r="T145" s="8" t="s">
        <v>62</v>
      </c>
      <c r="U145" s="7"/>
      <c r="V145" s="7" t="s">
        <v>83</v>
      </c>
      <c r="W145" s="8" t="s">
        <v>64</v>
      </c>
      <c r="X145" s="9" t="s">
        <v>773</v>
      </c>
    </row>
    <row r="146" spans="1:25" s="11" customFormat="1" ht="15.75" x14ac:dyDescent="0.25">
      <c r="A146" s="7" t="s">
        <v>72</v>
      </c>
      <c r="B146" s="8" t="s">
        <v>57</v>
      </c>
      <c r="C146" s="7" t="s">
        <v>774</v>
      </c>
      <c r="D146" s="9" t="s">
        <v>775</v>
      </c>
      <c r="E146" s="10" t="s">
        <v>75</v>
      </c>
      <c r="F146" s="10" t="s">
        <v>76</v>
      </c>
      <c r="G146" s="10" t="s">
        <v>58</v>
      </c>
      <c r="H146" s="10" t="s">
        <v>776</v>
      </c>
      <c r="I146" s="10" t="s">
        <v>78</v>
      </c>
      <c r="J146" s="10" t="s">
        <v>79</v>
      </c>
      <c r="K146" s="10" t="s">
        <v>59</v>
      </c>
      <c r="L146" s="7" t="s">
        <v>72</v>
      </c>
      <c r="M146" s="10" t="s">
        <v>60</v>
      </c>
      <c r="N146" s="7" t="s">
        <v>72</v>
      </c>
      <c r="O146" s="8" t="s">
        <v>61</v>
      </c>
      <c r="P146" s="7" t="s">
        <v>774</v>
      </c>
      <c r="Q146" s="11" t="s">
        <v>777</v>
      </c>
      <c r="R146" s="10" t="s">
        <v>81</v>
      </c>
      <c r="S146" s="10" t="s">
        <v>82</v>
      </c>
      <c r="T146" s="8" t="s">
        <v>62</v>
      </c>
      <c r="U146" s="7"/>
      <c r="V146" s="7" t="s">
        <v>83</v>
      </c>
      <c r="W146" s="8" t="s">
        <v>64</v>
      </c>
      <c r="X146" s="9" t="s">
        <v>778</v>
      </c>
    </row>
    <row r="147" spans="1:25" s="11" customFormat="1" ht="15.75" x14ac:dyDescent="0.25">
      <c r="A147" s="7" t="s">
        <v>72</v>
      </c>
      <c r="B147" s="8" t="s">
        <v>57</v>
      </c>
      <c r="C147" s="7" t="s">
        <v>779</v>
      </c>
      <c r="D147" s="9" t="s">
        <v>780</v>
      </c>
      <c r="E147" s="10" t="s">
        <v>75</v>
      </c>
      <c r="F147" s="10" t="s">
        <v>76</v>
      </c>
      <c r="G147" s="10" t="s">
        <v>58</v>
      </c>
      <c r="H147" s="10" t="s">
        <v>781</v>
      </c>
      <c r="I147" s="10" t="s">
        <v>78</v>
      </c>
      <c r="J147" s="10" t="s">
        <v>79</v>
      </c>
      <c r="K147" s="10" t="s">
        <v>59</v>
      </c>
      <c r="L147" s="7" t="s">
        <v>72</v>
      </c>
      <c r="M147" s="10" t="s">
        <v>60</v>
      </c>
      <c r="N147" s="7" t="s">
        <v>72</v>
      </c>
      <c r="O147" s="8" t="s">
        <v>61</v>
      </c>
      <c r="P147" s="7" t="s">
        <v>779</v>
      </c>
      <c r="Q147" s="11" t="s">
        <v>782</v>
      </c>
      <c r="R147" s="10" t="s">
        <v>81</v>
      </c>
      <c r="S147" s="10" t="s">
        <v>82</v>
      </c>
      <c r="T147" s="8" t="s">
        <v>62</v>
      </c>
      <c r="U147" s="7"/>
      <c r="V147" s="7" t="s">
        <v>83</v>
      </c>
      <c r="W147" s="8" t="s">
        <v>64</v>
      </c>
      <c r="X147" s="9" t="s">
        <v>783</v>
      </c>
    </row>
    <row r="148" spans="1:25" s="11" customFormat="1" ht="15.75" x14ac:dyDescent="0.25">
      <c r="A148" s="7" t="s">
        <v>72</v>
      </c>
      <c r="B148" s="8" t="s">
        <v>57</v>
      </c>
      <c r="C148" s="7" t="s">
        <v>784</v>
      </c>
      <c r="D148" s="9" t="s">
        <v>785</v>
      </c>
      <c r="E148" s="10" t="s">
        <v>75</v>
      </c>
      <c r="F148" s="10" t="s">
        <v>76</v>
      </c>
      <c r="G148" s="10" t="s">
        <v>58</v>
      </c>
      <c r="H148" s="10" t="s">
        <v>786</v>
      </c>
      <c r="I148" s="10" t="s">
        <v>78</v>
      </c>
      <c r="J148" s="10" t="s">
        <v>79</v>
      </c>
      <c r="K148" s="10" t="s">
        <v>59</v>
      </c>
      <c r="L148" s="7" t="s">
        <v>72</v>
      </c>
      <c r="M148" s="10" t="s">
        <v>60</v>
      </c>
      <c r="N148" s="7" t="s">
        <v>72</v>
      </c>
      <c r="O148" s="8" t="s">
        <v>61</v>
      </c>
      <c r="P148" s="7" t="s">
        <v>784</v>
      </c>
      <c r="Q148" s="11" t="s">
        <v>787</v>
      </c>
      <c r="R148" s="10" t="s">
        <v>81</v>
      </c>
      <c r="S148" s="10" t="s">
        <v>82</v>
      </c>
      <c r="T148" s="8" t="s">
        <v>62</v>
      </c>
      <c r="U148" s="7"/>
      <c r="V148" s="7" t="s">
        <v>83</v>
      </c>
      <c r="W148" s="8" t="s">
        <v>64</v>
      </c>
      <c r="X148" s="9" t="s">
        <v>788</v>
      </c>
    </row>
    <row r="149" spans="1:25" s="11" customFormat="1" ht="15.75" x14ac:dyDescent="0.25">
      <c r="A149" s="7" t="s">
        <v>72</v>
      </c>
      <c r="B149" s="8" t="s">
        <v>57</v>
      </c>
      <c r="C149" s="7" t="s">
        <v>789</v>
      </c>
      <c r="D149" s="9" t="s">
        <v>790</v>
      </c>
      <c r="E149" s="10" t="s">
        <v>75</v>
      </c>
      <c r="F149" s="10" t="s">
        <v>76</v>
      </c>
      <c r="G149" s="10" t="s">
        <v>58</v>
      </c>
      <c r="H149" s="10" t="s">
        <v>791</v>
      </c>
      <c r="I149" s="10" t="s">
        <v>78</v>
      </c>
      <c r="J149" s="10" t="s">
        <v>79</v>
      </c>
      <c r="K149" s="10" t="s">
        <v>59</v>
      </c>
      <c r="L149" s="7" t="s">
        <v>72</v>
      </c>
      <c r="M149" s="10" t="s">
        <v>60</v>
      </c>
      <c r="N149" s="7" t="s">
        <v>72</v>
      </c>
      <c r="O149" s="8" t="s">
        <v>61</v>
      </c>
      <c r="P149" s="7" t="s">
        <v>789</v>
      </c>
      <c r="Q149" s="11" t="s">
        <v>792</v>
      </c>
      <c r="R149" s="10" t="s">
        <v>81</v>
      </c>
      <c r="S149" s="10" t="s">
        <v>82</v>
      </c>
      <c r="T149" s="8" t="s">
        <v>62</v>
      </c>
      <c r="U149" s="7"/>
      <c r="V149" s="7" t="s">
        <v>83</v>
      </c>
      <c r="W149" s="8" t="s">
        <v>64</v>
      </c>
      <c r="X149" s="9" t="s">
        <v>793</v>
      </c>
    </row>
    <row r="150" spans="1:25" s="11" customFormat="1" ht="15.75" x14ac:dyDescent="0.25">
      <c r="A150" s="7" t="s">
        <v>72</v>
      </c>
      <c r="B150" s="8" t="s">
        <v>57</v>
      </c>
      <c r="C150" s="7" t="s">
        <v>794</v>
      </c>
      <c r="D150" s="9" t="s">
        <v>795</v>
      </c>
      <c r="E150" s="10" t="s">
        <v>75</v>
      </c>
      <c r="F150" s="10" t="s">
        <v>76</v>
      </c>
      <c r="G150" s="10" t="s">
        <v>58</v>
      </c>
      <c r="H150" s="10" t="s">
        <v>796</v>
      </c>
      <c r="I150" s="10" t="s">
        <v>78</v>
      </c>
      <c r="J150" s="10" t="s">
        <v>79</v>
      </c>
      <c r="K150" s="10" t="s">
        <v>59</v>
      </c>
      <c r="L150" s="7" t="s">
        <v>72</v>
      </c>
      <c r="M150" s="10" t="s">
        <v>60</v>
      </c>
      <c r="N150" s="7" t="s">
        <v>72</v>
      </c>
      <c r="O150" s="8" t="s">
        <v>61</v>
      </c>
      <c r="P150" s="7" t="s">
        <v>794</v>
      </c>
      <c r="Q150" s="11" t="s">
        <v>797</v>
      </c>
      <c r="R150" s="10" t="s">
        <v>81</v>
      </c>
      <c r="S150" s="10" t="s">
        <v>82</v>
      </c>
      <c r="T150" s="8" t="s">
        <v>62</v>
      </c>
      <c r="U150" s="7"/>
      <c r="V150" s="7" t="s">
        <v>83</v>
      </c>
      <c r="W150" s="8" t="s">
        <v>64</v>
      </c>
      <c r="X150" s="9" t="s">
        <v>798</v>
      </c>
    </row>
    <row r="151" spans="1:25" s="11" customFormat="1" ht="15.75" x14ac:dyDescent="0.25">
      <c r="A151" s="7" t="s">
        <v>72</v>
      </c>
      <c r="B151" s="8" t="s">
        <v>57</v>
      </c>
      <c r="C151" s="7" t="s">
        <v>799</v>
      </c>
      <c r="D151" s="9" t="s">
        <v>800</v>
      </c>
      <c r="E151" s="10" t="s">
        <v>75</v>
      </c>
      <c r="F151" s="10" t="s">
        <v>76</v>
      </c>
      <c r="G151" s="10" t="s">
        <v>58</v>
      </c>
      <c r="H151" s="10" t="s">
        <v>801</v>
      </c>
      <c r="I151" s="10" t="s">
        <v>78</v>
      </c>
      <c r="J151" s="10" t="s">
        <v>79</v>
      </c>
      <c r="K151" s="10" t="s">
        <v>59</v>
      </c>
      <c r="L151" s="7" t="s">
        <v>72</v>
      </c>
      <c r="M151" s="10" t="s">
        <v>60</v>
      </c>
      <c r="N151" s="7" t="s">
        <v>72</v>
      </c>
      <c r="O151" s="8" t="s">
        <v>61</v>
      </c>
      <c r="P151" s="7" t="s">
        <v>799</v>
      </c>
      <c r="Q151" s="11" t="s">
        <v>802</v>
      </c>
      <c r="R151" s="10" t="s">
        <v>81</v>
      </c>
      <c r="S151" s="10" t="s">
        <v>82</v>
      </c>
      <c r="T151" s="8" t="s">
        <v>62</v>
      </c>
      <c r="U151" s="7"/>
      <c r="V151" s="7" t="s">
        <v>83</v>
      </c>
      <c r="W151" s="8" t="s">
        <v>64</v>
      </c>
      <c r="X151" s="9" t="s">
        <v>803</v>
      </c>
    </row>
    <row r="152" spans="1:25" s="11" customFormat="1" ht="15.75" x14ac:dyDescent="0.25">
      <c r="A152" s="7" t="s">
        <v>72</v>
      </c>
      <c r="B152" s="8" t="s">
        <v>57</v>
      </c>
      <c r="C152" s="7" t="s">
        <v>804</v>
      </c>
      <c r="D152" s="9" t="s">
        <v>805</v>
      </c>
      <c r="E152" s="10" t="s">
        <v>75</v>
      </c>
      <c r="F152" s="10" t="s">
        <v>76</v>
      </c>
      <c r="G152" s="10" t="s">
        <v>58</v>
      </c>
      <c r="H152" s="10" t="s">
        <v>806</v>
      </c>
      <c r="I152" s="10" t="s">
        <v>78</v>
      </c>
      <c r="J152" s="10" t="s">
        <v>79</v>
      </c>
      <c r="K152" s="10" t="s">
        <v>59</v>
      </c>
      <c r="L152" s="7" t="s">
        <v>72</v>
      </c>
      <c r="M152" s="10" t="s">
        <v>60</v>
      </c>
      <c r="N152" s="7" t="s">
        <v>72</v>
      </c>
      <c r="O152" s="8" t="s">
        <v>61</v>
      </c>
      <c r="P152" s="7" t="s">
        <v>804</v>
      </c>
      <c r="Q152" s="11" t="s">
        <v>807</v>
      </c>
      <c r="R152" s="10" t="s">
        <v>81</v>
      </c>
      <c r="S152" s="10" t="s">
        <v>82</v>
      </c>
      <c r="T152" s="8" t="s">
        <v>62</v>
      </c>
      <c r="U152" s="7"/>
      <c r="V152" s="7" t="s">
        <v>83</v>
      </c>
      <c r="W152" s="8" t="s">
        <v>64</v>
      </c>
      <c r="X152" s="9" t="s">
        <v>808</v>
      </c>
      <c r="Y152" s="9"/>
    </row>
    <row r="153" spans="1:25" s="11" customFormat="1" ht="15.75" x14ac:dyDescent="0.25">
      <c r="A153" s="7" t="s">
        <v>72</v>
      </c>
      <c r="B153" s="8" t="s">
        <v>57</v>
      </c>
      <c r="C153" s="7" t="s">
        <v>809</v>
      </c>
      <c r="D153" s="9" t="s">
        <v>810</v>
      </c>
      <c r="E153" s="10" t="s">
        <v>75</v>
      </c>
      <c r="F153" s="10" t="s">
        <v>76</v>
      </c>
      <c r="G153" s="10" t="s">
        <v>58</v>
      </c>
      <c r="H153" s="10" t="s">
        <v>811</v>
      </c>
      <c r="I153" s="10" t="s">
        <v>78</v>
      </c>
      <c r="J153" s="10" t="s">
        <v>79</v>
      </c>
      <c r="K153" s="10" t="s">
        <v>59</v>
      </c>
      <c r="L153" s="7" t="s">
        <v>72</v>
      </c>
      <c r="M153" s="10" t="s">
        <v>60</v>
      </c>
      <c r="N153" s="7" t="s">
        <v>72</v>
      </c>
      <c r="O153" s="8" t="s">
        <v>61</v>
      </c>
      <c r="P153" s="7" t="s">
        <v>809</v>
      </c>
      <c r="Q153" s="11" t="s">
        <v>812</v>
      </c>
      <c r="R153" s="10" t="s">
        <v>81</v>
      </c>
      <c r="S153" s="10" t="s">
        <v>82</v>
      </c>
      <c r="T153" s="8" t="s">
        <v>62</v>
      </c>
      <c r="U153" s="7"/>
      <c r="V153" s="7" t="s">
        <v>83</v>
      </c>
      <c r="W153" s="8" t="s">
        <v>64</v>
      </c>
      <c r="X153" s="9" t="s">
        <v>813</v>
      </c>
    </row>
    <row r="154" spans="1:25" s="11" customFormat="1" ht="15.75" x14ac:dyDescent="0.25">
      <c r="A154" s="7" t="s">
        <v>72</v>
      </c>
      <c r="B154" s="8" t="s">
        <v>57</v>
      </c>
      <c r="C154" s="7" t="s">
        <v>492</v>
      </c>
      <c r="D154" s="9" t="s">
        <v>814</v>
      </c>
      <c r="E154" s="10" t="s">
        <v>75</v>
      </c>
      <c r="F154" s="10" t="s">
        <v>76</v>
      </c>
      <c r="G154" s="10" t="s">
        <v>58</v>
      </c>
      <c r="H154" s="10" t="s">
        <v>815</v>
      </c>
      <c r="I154" s="10" t="s">
        <v>78</v>
      </c>
      <c r="J154" s="10" t="s">
        <v>79</v>
      </c>
      <c r="K154" s="10" t="s">
        <v>59</v>
      </c>
      <c r="L154" s="7" t="s">
        <v>72</v>
      </c>
      <c r="M154" s="10" t="s">
        <v>60</v>
      </c>
      <c r="N154" s="7" t="s">
        <v>72</v>
      </c>
      <c r="O154" s="8" t="s">
        <v>61</v>
      </c>
      <c r="P154" s="7" t="s">
        <v>492</v>
      </c>
      <c r="Q154" s="11" t="s">
        <v>816</v>
      </c>
      <c r="R154" s="10" t="s">
        <v>81</v>
      </c>
      <c r="S154" s="10" t="s">
        <v>82</v>
      </c>
      <c r="T154" s="8" t="s">
        <v>62</v>
      </c>
      <c r="U154" s="7"/>
      <c r="V154" s="7" t="s">
        <v>83</v>
      </c>
      <c r="W154" s="8" t="s">
        <v>64</v>
      </c>
      <c r="X154" s="9" t="s">
        <v>817</v>
      </c>
    </row>
    <row r="155" spans="1:25" s="11" customFormat="1" ht="15.75" x14ac:dyDescent="0.25">
      <c r="A155" s="7" t="s">
        <v>72</v>
      </c>
      <c r="B155" s="8" t="s">
        <v>57</v>
      </c>
      <c r="C155" s="7" t="s">
        <v>818</v>
      </c>
      <c r="D155" s="9" t="s">
        <v>819</v>
      </c>
      <c r="E155" s="10" t="s">
        <v>75</v>
      </c>
      <c r="F155" s="10" t="s">
        <v>76</v>
      </c>
      <c r="G155" s="10" t="s">
        <v>58</v>
      </c>
      <c r="H155" s="10" t="s">
        <v>820</v>
      </c>
      <c r="I155" s="10" t="s">
        <v>78</v>
      </c>
      <c r="J155" s="10" t="s">
        <v>79</v>
      </c>
      <c r="K155" s="10" t="s">
        <v>59</v>
      </c>
      <c r="L155" s="7" t="s">
        <v>72</v>
      </c>
      <c r="M155" s="10" t="s">
        <v>60</v>
      </c>
      <c r="N155" s="7" t="s">
        <v>72</v>
      </c>
      <c r="O155" s="8" t="s">
        <v>61</v>
      </c>
      <c r="P155" s="7" t="s">
        <v>818</v>
      </c>
      <c r="Q155" s="11" t="s">
        <v>821</v>
      </c>
      <c r="R155" s="10" t="s">
        <v>81</v>
      </c>
      <c r="S155" s="10" t="s">
        <v>82</v>
      </c>
      <c r="T155" s="8" t="s">
        <v>62</v>
      </c>
      <c r="U155" s="7"/>
      <c r="V155" s="7" t="s">
        <v>83</v>
      </c>
      <c r="W155" s="8" t="s">
        <v>64</v>
      </c>
      <c r="X155" s="9" t="s">
        <v>822</v>
      </c>
    </row>
    <row r="156" spans="1:25" s="11" customFormat="1" ht="15.75" x14ac:dyDescent="0.25">
      <c r="A156" s="7" t="s">
        <v>72</v>
      </c>
      <c r="B156" s="8" t="s">
        <v>57</v>
      </c>
      <c r="C156" s="7" t="s">
        <v>823</v>
      </c>
      <c r="D156" s="9" t="s">
        <v>824</v>
      </c>
      <c r="E156" s="10" t="s">
        <v>75</v>
      </c>
      <c r="F156" s="10" t="s">
        <v>76</v>
      </c>
      <c r="G156" s="10" t="s">
        <v>58</v>
      </c>
      <c r="H156" s="10" t="s">
        <v>825</v>
      </c>
      <c r="I156" s="10" t="s">
        <v>78</v>
      </c>
      <c r="J156" s="10" t="s">
        <v>79</v>
      </c>
      <c r="K156" s="10" t="s">
        <v>59</v>
      </c>
      <c r="L156" s="7" t="s">
        <v>72</v>
      </c>
      <c r="M156" s="10" t="s">
        <v>60</v>
      </c>
      <c r="N156" s="7" t="s">
        <v>72</v>
      </c>
      <c r="O156" s="8" t="s">
        <v>61</v>
      </c>
      <c r="P156" s="7" t="s">
        <v>823</v>
      </c>
      <c r="Q156" s="11" t="s">
        <v>826</v>
      </c>
      <c r="R156" s="10" t="s">
        <v>81</v>
      </c>
      <c r="S156" s="10" t="s">
        <v>82</v>
      </c>
      <c r="T156" s="8" t="s">
        <v>62</v>
      </c>
      <c r="U156" s="7"/>
      <c r="V156" s="7" t="s">
        <v>83</v>
      </c>
      <c r="W156" s="8" t="s">
        <v>64</v>
      </c>
      <c r="X156" s="9" t="s">
        <v>827</v>
      </c>
    </row>
    <row r="157" spans="1:25" s="11" customFormat="1" ht="15.75" x14ac:dyDescent="0.25">
      <c r="A157" s="7" t="s">
        <v>72</v>
      </c>
      <c r="B157" s="8" t="s">
        <v>57</v>
      </c>
      <c r="C157" s="7" t="s">
        <v>828</v>
      </c>
      <c r="D157" s="9" t="s">
        <v>829</v>
      </c>
      <c r="E157" s="10" t="s">
        <v>75</v>
      </c>
      <c r="F157" s="10" t="s">
        <v>76</v>
      </c>
      <c r="G157" s="10" t="s">
        <v>58</v>
      </c>
      <c r="H157" s="10" t="s">
        <v>830</v>
      </c>
      <c r="I157" s="10" t="s">
        <v>78</v>
      </c>
      <c r="J157" s="10" t="s">
        <v>79</v>
      </c>
      <c r="K157" s="10" t="s">
        <v>59</v>
      </c>
      <c r="L157" s="7" t="s">
        <v>72</v>
      </c>
      <c r="M157" s="10" t="s">
        <v>60</v>
      </c>
      <c r="N157" s="7" t="s">
        <v>72</v>
      </c>
      <c r="O157" s="8" t="s">
        <v>61</v>
      </c>
      <c r="P157" s="7" t="s">
        <v>828</v>
      </c>
      <c r="Q157" s="11" t="s">
        <v>831</v>
      </c>
      <c r="R157" s="10" t="s">
        <v>81</v>
      </c>
      <c r="S157" s="10" t="s">
        <v>82</v>
      </c>
      <c r="T157" s="8" t="s">
        <v>62</v>
      </c>
      <c r="U157" s="7"/>
      <c r="V157" s="7" t="s">
        <v>83</v>
      </c>
      <c r="W157" s="8" t="s">
        <v>64</v>
      </c>
      <c r="X157" s="9" t="s">
        <v>832</v>
      </c>
    </row>
    <row r="158" spans="1:25" s="11" customFormat="1" ht="15.75" x14ac:dyDescent="0.25">
      <c r="A158" s="7" t="s">
        <v>72</v>
      </c>
      <c r="B158" s="8" t="s">
        <v>57</v>
      </c>
      <c r="C158" s="7" t="s">
        <v>833</v>
      </c>
      <c r="D158" s="9" t="s">
        <v>834</v>
      </c>
      <c r="E158" s="10" t="s">
        <v>75</v>
      </c>
      <c r="F158" s="10" t="s">
        <v>76</v>
      </c>
      <c r="G158" s="10" t="s">
        <v>58</v>
      </c>
      <c r="H158" s="10" t="s">
        <v>835</v>
      </c>
      <c r="I158" s="10" t="s">
        <v>78</v>
      </c>
      <c r="J158" s="10" t="s">
        <v>79</v>
      </c>
      <c r="K158" s="10" t="s">
        <v>59</v>
      </c>
      <c r="L158" s="7" t="s">
        <v>72</v>
      </c>
      <c r="M158" s="10" t="s">
        <v>60</v>
      </c>
      <c r="N158" s="7" t="s">
        <v>72</v>
      </c>
      <c r="O158" s="8" t="s">
        <v>61</v>
      </c>
      <c r="P158" s="7" t="s">
        <v>833</v>
      </c>
      <c r="Q158" s="9" t="s">
        <v>836</v>
      </c>
      <c r="R158" s="10" t="s">
        <v>81</v>
      </c>
      <c r="S158" s="10" t="s">
        <v>82</v>
      </c>
      <c r="T158" s="8" t="s">
        <v>62</v>
      </c>
      <c r="U158" s="7"/>
      <c r="V158" s="7" t="s">
        <v>83</v>
      </c>
      <c r="W158" s="8" t="s">
        <v>64</v>
      </c>
      <c r="X158" s="9" t="s">
        <v>837</v>
      </c>
    </row>
    <row r="159" spans="1:25" s="11" customFormat="1" ht="15.75" x14ac:dyDescent="0.25">
      <c r="A159" s="7" t="s">
        <v>72</v>
      </c>
      <c r="B159" s="8" t="s">
        <v>57</v>
      </c>
      <c r="C159" s="7" t="s">
        <v>838</v>
      </c>
      <c r="D159" s="9" t="s">
        <v>839</v>
      </c>
      <c r="E159" s="10" t="s">
        <v>75</v>
      </c>
      <c r="F159" s="10" t="s">
        <v>76</v>
      </c>
      <c r="G159" s="10" t="s">
        <v>58</v>
      </c>
      <c r="H159" s="10" t="s">
        <v>840</v>
      </c>
      <c r="I159" s="10" t="s">
        <v>78</v>
      </c>
      <c r="J159" s="10" t="s">
        <v>79</v>
      </c>
      <c r="K159" s="10" t="s">
        <v>59</v>
      </c>
      <c r="L159" s="7" t="s">
        <v>72</v>
      </c>
      <c r="M159" s="10" t="s">
        <v>60</v>
      </c>
      <c r="N159" s="7" t="s">
        <v>72</v>
      </c>
      <c r="O159" s="8" t="s">
        <v>61</v>
      </c>
      <c r="P159" s="7" t="s">
        <v>838</v>
      </c>
      <c r="Q159" s="11" t="s">
        <v>841</v>
      </c>
      <c r="R159" s="10" t="s">
        <v>81</v>
      </c>
      <c r="S159" s="10" t="s">
        <v>82</v>
      </c>
      <c r="T159" s="8" t="s">
        <v>62</v>
      </c>
      <c r="U159" s="7"/>
      <c r="V159" s="7" t="s">
        <v>83</v>
      </c>
      <c r="W159" s="8" t="s">
        <v>64</v>
      </c>
      <c r="X159" s="9" t="s">
        <v>842</v>
      </c>
    </row>
    <row r="160" spans="1:25" s="11" customFormat="1" ht="15.75" x14ac:dyDescent="0.25">
      <c r="A160" s="7" t="s">
        <v>72</v>
      </c>
      <c r="B160" s="8" t="s">
        <v>57</v>
      </c>
      <c r="C160" s="7" t="s">
        <v>843</v>
      </c>
      <c r="D160" s="9" t="s">
        <v>844</v>
      </c>
      <c r="E160" s="10" t="s">
        <v>75</v>
      </c>
      <c r="F160" s="10" t="s">
        <v>76</v>
      </c>
      <c r="G160" s="10" t="s">
        <v>58</v>
      </c>
      <c r="H160" s="10" t="s">
        <v>845</v>
      </c>
      <c r="I160" s="10" t="s">
        <v>78</v>
      </c>
      <c r="J160" s="10" t="s">
        <v>79</v>
      </c>
      <c r="K160" s="10" t="s">
        <v>59</v>
      </c>
      <c r="L160" s="7" t="s">
        <v>72</v>
      </c>
      <c r="M160" s="10" t="s">
        <v>60</v>
      </c>
      <c r="N160" s="7" t="s">
        <v>72</v>
      </c>
      <c r="O160" s="8" t="s">
        <v>61</v>
      </c>
      <c r="P160" s="7" t="s">
        <v>843</v>
      </c>
      <c r="Q160" s="11" t="s">
        <v>846</v>
      </c>
      <c r="R160" s="10" t="s">
        <v>81</v>
      </c>
      <c r="S160" s="10" t="s">
        <v>82</v>
      </c>
      <c r="T160" s="8" t="s">
        <v>62</v>
      </c>
      <c r="U160" s="7"/>
      <c r="V160" s="7" t="s">
        <v>83</v>
      </c>
      <c r="W160" s="8" t="s">
        <v>64</v>
      </c>
      <c r="X160" s="9" t="s">
        <v>847</v>
      </c>
    </row>
    <row r="161" spans="1:24" s="11" customFormat="1" ht="15.75" x14ac:dyDescent="0.25">
      <c r="A161" s="7" t="s">
        <v>72</v>
      </c>
      <c r="B161" s="8" t="s">
        <v>57</v>
      </c>
      <c r="C161" s="7" t="s">
        <v>291</v>
      </c>
      <c r="D161" s="9" t="s">
        <v>848</v>
      </c>
      <c r="E161" s="10" t="s">
        <v>75</v>
      </c>
      <c r="F161" s="10" t="s">
        <v>76</v>
      </c>
      <c r="G161" s="10" t="s">
        <v>58</v>
      </c>
      <c r="H161" s="10" t="s">
        <v>849</v>
      </c>
      <c r="I161" s="10" t="s">
        <v>78</v>
      </c>
      <c r="J161" s="10" t="s">
        <v>79</v>
      </c>
      <c r="K161" s="10" t="s">
        <v>59</v>
      </c>
      <c r="L161" s="7" t="s">
        <v>72</v>
      </c>
      <c r="M161" s="10" t="s">
        <v>60</v>
      </c>
      <c r="N161" s="7" t="s">
        <v>72</v>
      </c>
      <c r="O161" s="8" t="s">
        <v>61</v>
      </c>
      <c r="P161" s="7" t="s">
        <v>291</v>
      </c>
      <c r="Q161" s="11" t="s">
        <v>850</v>
      </c>
      <c r="R161" s="10" t="s">
        <v>81</v>
      </c>
      <c r="S161" s="10" t="s">
        <v>82</v>
      </c>
      <c r="T161" s="8" t="s">
        <v>62</v>
      </c>
      <c r="U161" s="7"/>
      <c r="V161" s="7" t="s">
        <v>83</v>
      </c>
      <c r="W161" s="8" t="s">
        <v>64</v>
      </c>
      <c r="X161" s="9" t="s">
        <v>851</v>
      </c>
    </row>
    <row r="162" spans="1:24" s="11" customFormat="1" ht="15.75" x14ac:dyDescent="0.25">
      <c r="A162" s="7" t="s">
        <v>72</v>
      </c>
      <c r="B162" s="8" t="s">
        <v>57</v>
      </c>
      <c r="C162" s="7" t="s">
        <v>852</v>
      </c>
      <c r="D162" s="9" t="s">
        <v>853</v>
      </c>
      <c r="E162" s="10" t="s">
        <v>75</v>
      </c>
      <c r="F162" s="10" t="s">
        <v>76</v>
      </c>
      <c r="G162" s="10" t="s">
        <v>58</v>
      </c>
      <c r="H162" s="10" t="s">
        <v>854</v>
      </c>
      <c r="I162" s="10" t="s">
        <v>78</v>
      </c>
      <c r="J162" s="10" t="s">
        <v>79</v>
      </c>
      <c r="K162" s="10" t="s">
        <v>59</v>
      </c>
      <c r="L162" s="7" t="s">
        <v>72</v>
      </c>
      <c r="M162" s="10" t="s">
        <v>60</v>
      </c>
      <c r="N162" s="7" t="s">
        <v>72</v>
      </c>
      <c r="O162" s="8" t="s">
        <v>61</v>
      </c>
      <c r="P162" s="7" t="s">
        <v>852</v>
      </c>
      <c r="Q162" s="11" t="s">
        <v>855</v>
      </c>
      <c r="R162" s="10" t="s">
        <v>81</v>
      </c>
      <c r="S162" s="10" t="s">
        <v>82</v>
      </c>
      <c r="T162" s="8" t="s">
        <v>62</v>
      </c>
      <c r="U162" s="7"/>
      <c r="V162" s="7" t="s">
        <v>83</v>
      </c>
      <c r="W162" s="8" t="s">
        <v>64</v>
      </c>
      <c r="X162" s="9" t="s">
        <v>856</v>
      </c>
    </row>
    <row r="163" spans="1:24" s="11" customFormat="1" ht="15.75" x14ac:dyDescent="0.25">
      <c r="A163" s="7" t="s">
        <v>72</v>
      </c>
      <c r="B163" s="8" t="s">
        <v>57</v>
      </c>
      <c r="C163" s="7" t="s">
        <v>857</v>
      </c>
      <c r="D163" s="9" t="s">
        <v>858</v>
      </c>
      <c r="E163" s="10" t="s">
        <v>75</v>
      </c>
      <c r="F163" s="10" t="s">
        <v>76</v>
      </c>
      <c r="G163" s="10" t="s">
        <v>58</v>
      </c>
      <c r="H163" s="10" t="s">
        <v>859</v>
      </c>
      <c r="I163" s="10" t="s">
        <v>78</v>
      </c>
      <c r="J163" s="10" t="s">
        <v>79</v>
      </c>
      <c r="K163" s="10" t="s">
        <v>59</v>
      </c>
      <c r="L163" s="7" t="s">
        <v>72</v>
      </c>
      <c r="M163" s="10" t="s">
        <v>60</v>
      </c>
      <c r="N163" s="7" t="s">
        <v>72</v>
      </c>
      <c r="O163" s="8" t="s">
        <v>61</v>
      </c>
      <c r="P163" s="7" t="s">
        <v>857</v>
      </c>
      <c r="Q163" s="11" t="s">
        <v>860</v>
      </c>
      <c r="R163" s="10" t="s">
        <v>81</v>
      </c>
      <c r="S163" s="10" t="s">
        <v>82</v>
      </c>
      <c r="T163" s="8" t="s">
        <v>62</v>
      </c>
      <c r="U163" s="7"/>
      <c r="V163" s="7" t="s">
        <v>83</v>
      </c>
      <c r="W163" s="8" t="s">
        <v>64</v>
      </c>
      <c r="X163" s="9" t="s">
        <v>861</v>
      </c>
    </row>
    <row r="164" spans="1:24" s="11" customFormat="1" ht="15.75" x14ac:dyDescent="0.25">
      <c r="A164" s="7" t="s">
        <v>72</v>
      </c>
      <c r="B164" s="8" t="s">
        <v>57</v>
      </c>
      <c r="C164" s="7" t="s">
        <v>862</v>
      </c>
      <c r="D164" s="9" t="s">
        <v>863</v>
      </c>
      <c r="E164" s="10" t="s">
        <v>75</v>
      </c>
      <c r="F164" s="10" t="s">
        <v>76</v>
      </c>
      <c r="G164" s="10" t="s">
        <v>58</v>
      </c>
      <c r="H164" s="10" t="s">
        <v>864</v>
      </c>
      <c r="I164" s="10" t="s">
        <v>78</v>
      </c>
      <c r="J164" s="10" t="s">
        <v>79</v>
      </c>
      <c r="K164" s="10" t="s">
        <v>59</v>
      </c>
      <c r="L164" s="7" t="s">
        <v>72</v>
      </c>
      <c r="M164" s="10" t="s">
        <v>60</v>
      </c>
      <c r="N164" s="7" t="s">
        <v>72</v>
      </c>
      <c r="O164" s="8" t="s">
        <v>61</v>
      </c>
      <c r="P164" s="7" t="s">
        <v>862</v>
      </c>
      <c r="Q164" s="11" t="s">
        <v>865</v>
      </c>
      <c r="R164" s="10" t="s">
        <v>81</v>
      </c>
      <c r="S164" s="10" t="s">
        <v>82</v>
      </c>
      <c r="T164" s="8" t="s">
        <v>62</v>
      </c>
      <c r="U164" s="7"/>
      <c r="V164" s="7" t="s">
        <v>83</v>
      </c>
      <c r="W164" s="8" t="s">
        <v>64</v>
      </c>
      <c r="X164" s="9" t="s">
        <v>866</v>
      </c>
    </row>
    <row r="165" spans="1:24" s="11" customFormat="1" ht="15.75" x14ac:dyDescent="0.25">
      <c r="A165" s="7" t="s">
        <v>72</v>
      </c>
      <c r="B165" s="8" t="s">
        <v>57</v>
      </c>
      <c r="C165" s="7" t="s">
        <v>867</v>
      </c>
      <c r="D165" s="9" t="s">
        <v>868</v>
      </c>
      <c r="E165" s="10" t="s">
        <v>75</v>
      </c>
      <c r="F165" s="10" t="s">
        <v>76</v>
      </c>
      <c r="G165" s="10" t="s">
        <v>58</v>
      </c>
      <c r="H165" s="10" t="s">
        <v>869</v>
      </c>
      <c r="I165" s="10" t="s">
        <v>78</v>
      </c>
      <c r="J165" s="10" t="s">
        <v>79</v>
      </c>
      <c r="K165" s="10" t="s">
        <v>59</v>
      </c>
      <c r="L165" s="7" t="s">
        <v>72</v>
      </c>
      <c r="M165" s="10" t="s">
        <v>60</v>
      </c>
      <c r="N165" s="7" t="s">
        <v>72</v>
      </c>
      <c r="O165" s="8" t="s">
        <v>61</v>
      </c>
      <c r="P165" s="7" t="s">
        <v>867</v>
      </c>
      <c r="Q165" s="11" t="s">
        <v>870</v>
      </c>
      <c r="R165" s="10" t="s">
        <v>81</v>
      </c>
      <c r="S165" s="10" t="s">
        <v>82</v>
      </c>
      <c r="T165" s="8" t="s">
        <v>62</v>
      </c>
      <c r="U165" s="7"/>
      <c r="V165" s="7" t="s">
        <v>83</v>
      </c>
      <c r="W165" s="8" t="s">
        <v>64</v>
      </c>
      <c r="X165" s="9" t="s">
        <v>871</v>
      </c>
    </row>
    <row r="166" spans="1:24" s="11" customFormat="1" ht="15.75" x14ac:dyDescent="0.25">
      <c r="A166" s="7" t="s">
        <v>72</v>
      </c>
      <c r="B166" s="8" t="s">
        <v>57</v>
      </c>
      <c r="C166" s="7" t="s">
        <v>872</v>
      </c>
      <c r="D166" s="9" t="s">
        <v>873</v>
      </c>
      <c r="E166" s="10" t="s">
        <v>75</v>
      </c>
      <c r="F166" s="10" t="s">
        <v>76</v>
      </c>
      <c r="G166" s="10" t="s">
        <v>58</v>
      </c>
      <c r="H166" s="10" t="s">
        <v>874</v>
      </c>
      <c r="I166" s="10" t="s">
        <v>78</v>
      </c>
      <c r="J166" s="10" t="s">
        <v>79</v>
      </c>
      <c r="K166" s="10" t="s">
        <v>59</v>
      </c>
      <c r="L166" s="7" t="s">
        <v>72</v>
      </c>
      <c r="M166" s="10" t="s">
        <v>60</v>
      </c>
      <c r="N166" s="7" t="s">
        <v>72</v>
      </c>
      <c r="O166" s="8" t="s">
        <v>61</v>
      </c>
      <c r="P166" s="7" t="s">
        <v>872</v>
      </c>
      <c r="Q166" s="11" t="s">
        <v>875</v>
      </c>
      <c r="R166" s="10" t="s">
        <v>81</v>
      </c>
      <c r="S166" s="10" t="s">
        <v>82</v>
      </c>
      <c r="T166" s="8" t="s">
        <v>62</v>
      </c>
      <c r="U166" s="7"/>
      <c r="V166" s="7" t="s">
        <v>83</v>
      </c>
      <c r="W166" s="8" t="s">
        <v>64</v>
      </c>
      <c r="X166" s="9" t="s">
        <v>876</v>
      </c>
    </row>
    <row r="167" spans="1:24" s="11" customFormat="1" ht="15.75" x14ac:dyDescent="0.25">
      <c r="A167" s="7" t="s">
        <v>72</v>
      </c>
      <c r="B167" s="8" t="s">
        <v>57</v>
      </c>
      <c r="C167" s="7" t="s">
        <v>877</v>
      </c>
      <c r="D167" s="9" t="s">
        <v>878</v>
      </c>
      <c r="E167" s="10" t="s">
        <v>75</v>
      </c>
      <c r="F167" s="10" t="s">
        <v>76</v>
      </c>
      <c r="G167" s="10" t="s">
        <v>58</v>
      </c>
      <c r="H167" s="10" t="s">
        <v>879</v>
      </c>
      <c r="I167" s="10" t="s">
        <v>78</v>
      </c>
      <c r="J167" s="10" t="s">
        <v>79</v>
      </c>
      <c r="K167" s="10" t="s">
        <v>59</v>
      </c>
      <c r="L167" s="7" t="s">
        <v>72</v>
      </c>
      <c r="M167" s="10" t="s">
        <v>60</v>
      </c>
      <c r="N167" s="7" t="s">
        <v>72</v>
      </c>
      <c r="O167" s="8" t="s">
        <v>61</v>
      </c>
      <c r="P167" s="7" t="s">
        <v>877</v>
      </c>
      <c r="Q167" s="11" t="s">
        <v>880</v>
      </c>
      <c r="R167" s="10" t="s">
        <v>81</v>
      </c>
      <c r="S167" s="10" t="s">
        <v>82</v>
      </c>
      <c r="T167" s="8" t="s">
        <v>62</v>
      </c>
      <c r="U167" s="7"/>
      <c r="V167" s="7" t="s">
        <v>83</v>
      </c>
      <c r="W167" s="8" t="s">
        <v>64</v>
      </c>
      <c r="X167" s="9" t="s">
        <v>881</v>
      </c>
    </row>
    <row r="168" spans="1:24" s="11" customFormat="1" ht="15.75" x14ac:dyDescent="0.25">
      <c r="A168" s="7" t="s">
        <v>72</v>
      </c>
      <c r="B168" s="8" t="s">
        <v>57</v>
      </c>
      <c r="C168" s="7" t="s">
        <v>882</v>
      </c>
      <c r="D168" s="9" t="s">
        <v>883</v>
      </c>
      <c r="E168" s="10" t="s">
        <v>75</v>
      </c>
      <c r="F168" s="10" t="s">
        <v>76</v>
      </c>
      <c r="G168" s="10" t="s">
        <v>58</v>
      </c>
      <c r="H168" s="10" t="s">
        <v>884</v>
      </c>
      <c r="I168" s="10" t="s">
        <v>78</v>
      </c>
      <c r="J168" s="10" t="s">
        <v>79</v>
      </c>
      <c r="K168" s="10" t="s">
        <v>59</v>
      </c>
      <c r="L168" s="7" t="s">
        <v>72</v>
      </c>
      <c r="M168" s="10" t="s">
        <v>60</v>
      </c>
      <c r="N168" s="7" t="s">
        <v>72</v>
      </c>
      <c r="O168" s="8" t="s">
        <v>61</v>
      </c>
      <c r="P168" s="7" t="s">
        <v>882</v>
      </c>
      <c r="Q168" s="11" t="s">
        <v>885</v>
      </c>
      <c r="R168" s="10" t="s">
        <v>81</v>
      </c>
      <c r="S168" s="10" t="s">
        <v>82</v>
      </c>
      <c r="T168" s="8" t="s">
        <v>62</v>
      </c>
      <c r="U168" s="7"/>
      <c r="V168" s="7" t="s">
        <v>83</v>
      </c>
      <c r="W168" s="8" t="s">
        <v>64</v>
      </c>
      <c r="X168" s="9" t="s">
        <v>886</v>
      </c>
    </row>
    <row r="169" spans="1:24" s="11" customFormat="1" ht="15.75" x14ac:dyDescent="0.25">
      <c r="A169" s="7" t="s">
        <v>72</v>
      </c>
      <c r="B169" s="8" t="s">
        <v>57</v>
      </c>
      <c r="C169" s="7" t="s">
        <v>67</v>
      </c>
      <c r="D169" s="9" t="s">
        <v>887</v>
      </c>
      <c r="E169" s="10" t="s">
        <v>75</v>
      </c>
      <c r="F169" s="10" t="s">
        <v>76</v>
      </c>
      <c r="G169" s="10" t="s">
        <v>58</v>
      </c>
      <c r="H169" s="10" t="s">
        <v>888</v>
      </c>
      <c r="I169" s="10" t="s">
        <v>78</v>
      </c>
      <c r="J169" s="10" t="s">
        <v>79</v>
      </c>
      <c r="K169" s="10" t="s">
        <v>59</v>
      </c>
      <c r="L169" s="7" t="s">
        <v>72</v>
      </c>
      <c r="M169" s="10" t="s">
        <v>60</v>
      </c>
      <c r="N169" s="7" t="s">
        <v>72</v>
      </c>
      <c r="O169" s="8" t="s">
        <v>61</v>
      </c>
      <c r="P169" s="7" t="s">
        <v>67</v>
      </c>
      <c r="Q169" s="11" t="s">
        <v>889</v>
      </c>
      <c r="R169" s="10" t="s">
        <v>81</v>
      </c>
      <c r="S169" s="10" t="s">
        <v>82</v>
      </c>
      <c r="T169" s="8" t="s">
        <v>62</v>
      </c>
      <c r="U169" s="7"/>
      <c r="V169" s="7" t="s">
        <v>83</v>
      </c>
      <c r="W169" s="8" t="s">
        <v>64</v>
      </c>
      <c r="X169" s="9" t="s">
        <v>890</v>
      </c>
    </row>
    <row r="170" spans="1:24" s="11" customFormat="1" ht="15.75" x14ac:dyDescent="0.25">
      <c r="A170" s="7" t="s">
        <v>72</v>
      </c>
      <c r="B170" s="8" t="s">
        <v>57</v>
      </c>
      <c r="C170" s="7" t="s">
        <v>891</v>
      </c>
      <c r="D170" s="9" t="s">
        <v>892</v>
      </c>
      <c r="E170" s="10" t="s">
        <v>75</v>
      </c>
      <c r="F170" s="10" t="s">
        <v>76</v>
      </c>
      <c r="G170" s="10" t="s">
        <v>58</v>
      </c>
      <c r="H170" s="10" t="s">
        <v>893</v>
      </c>
      <c r="I170" s="10" t="s">
        <v>78</v>
      </c>
      <c r="J170" s="10" t="s">
        <v>79</v>
      </c>
      <c r="K170" s="10" t="s">
        <v>59</v>
      </c>
      <c r="L170" s="7" t="s">
        <v>72</v>
      </c>
      <c r="M170" s="10" t="s">
        <v>60</v>
      </c>
      <c r="N170" s="7" t="s">
        <v>72</v>
      </c>
      <c r="O170" s="8" t="s">
        <v>61</v>
      </c>
      <c r="P170" s="7" t="s">
        <v>891</v>
      </c>
      <c r="Q170" s="11" t="s">
        <v>894</v>
      </c>
      <c r="R170" s="10" t="s">
        <v>81</v>
      </c>
      <c r="S170" s="10" t="s">
        <v>82</v>
      </c>
      <c r="T170" s="8" t="s">
        <v>62</v>
      </c>
      <c r="U170" s="7"/>
      <c r="V170" s="7" t="s">
        <v>83</v>
      </c>
      <c r="W170" s="8" t="s">
        <v>64</v>
      </c>
      <c r="X170" s="9" t="s">
        <v>895</v>
      </c>
    </row>
    <row r="171" spans="1:24" s="11" customFormat="1" ht="15.75" x14ac:dyDescent="0.25">
      <c r="A171" s="7" t="s">
        <v>72</v>
      </c>
      <c r="B171" s="8" t="s">
        <v>57</v>
      </c>
      <c r="C171" s="7" t="s">
        <v>365</v>
      </c>
      <c r="D171" s="9" t="s">
        <v>896</v>
      </c>
      <c r="E171" s="10" t="s">
        <v>75</v>
      </c>
      <c r="F171" s="10" t="s">
        <v>76</v>
      </c>
      <c r="G171" s="10" t="s">
        <v>58</v>
      </c>
      <c r="H171" s="10" t="s">
        <v>897</v>
      </c>
      <c r="I171" s="10" t="s">
        <v>78</v>
      </c>
      <c r="J171" s="10" t="s">
        <v>79</v>
      </c>
      <c r="K171" s="10" t="s">
        <v>59</v>
      </c>
      <c r="L171" s="7" t="s">
        <v>72</v>
      </c>
      <c r="M171" s="10" t="s">
        <v>60</v>
      </c>
      <c r="N171" s="7" t="s">
        <v>72</v>
      </c>
      <c r="O171" s="8" t="s">
        <v>61</v>
      </c>
      <c r="P171" s="7" t="s">
        <v>365</v>
      </c>
      <c r="Q171" s="11" t="s">
        <v>898</v>
      </c>
      <c r="R171" s="10" t="s">
        <v>81</v>
      </c>
      <c r="S171" s="10" t="s">
        <v>82</v>
      </c>
      <c r="T171" s="8" t="s">
        <v>62</v>
      </c>
      <c r="U171" s="7"/>
      <c r="V171" s="7" t="s">
        <v>83</v>
      </c>
      <c r="W171" s="8" t="s">
        <v>64</v>
      </c>
      <c r="X171" s="9" t="s">
        <v>899</v>
      </c>
    </row>
    <row r="172" spans="1:24" s="11" customFormat="1" ht="15.75" x14ac:dyDescent="0.25">
      <c r="A172" s="7" t="s">
        <v>72</v>
      </c>
      <c r="B172" s="8" t="s">
        <v>57</v>
      </c>
      <c r="C172" s="7" t="s">
        <v>900</v>
      </c>
      <c r="D172" s="9" t="s">
        <v>901</v>
      </c>
      <c r="E172" s="10" t="s">
        <v>75</v>
      </c>
      <c r="F172" s="10" t="s">
        <v>76</v>
      </c>
      <c r="G172" s="10" t="s">
        <v>58</v>
      </c>
      <c r="H172" s="10" t="s">
        <v>902</v>
      </c>
      <c r="I172" s="10" t="s">
        <v>78</v>
      </c>
      <c r="J172" s="10" t="s">
        <v>79</v>
      </c>
      <c r="K172" s="10" t="s">
        <v>59</v>
      </c>
      <c r="L172" s="7" t="s">
        <v>72</v>
      </c>
      <c r="M172" s="10" t="s">
        <v>60</v>
      </c>
      <c r="N172" s="7" t="s">
        <v>72</v>
      </c>
      <c r="O172" s="8" t="s">
        <v>61</v>
      </c>
      <c r="P172" s="7" t="s">
        <v>900</v>
      </c>
      <c r="Q172" s="11" t="s">
        <v>903</v>
      </c>
      <c r="R172" s="10" t="s">
        <v>81</v>
      </c>
      <c r="S172" s="10" t="s">
        <v>82</v>
      </c>
      <c r="T172" s="8" t="s">
        <v>62</v>
      </c>
      <c r="U172" s="7"/>
      <c r="V172" s="7" t="s">
        <v>83</v>
      </c>
      <c r="W172" s="8" t="s">
        <v>64</v>
      </c>
      <c r="X172" s="9" t="s">
        <v>904</v>
      </c>
    </row>
    <row r="173" spans="1:24" s="11" customFormat="1" ht="15.75" x14ac:dyDescent="0.25">
      <c r="A173" s="7" t="s">
        <v>72</v>
      </c>
      <c r="B173" s="8" t="s">
        <v>57</v>
      </c>
      <c r="C173" s="7" t="s">
        <v>905</v>
      </c>
      <c r="D173" s="9" t="s">
        <v>906</v>
      </c>
      <c r="E173" s="10" t="s">
        <v>75</v>
      </c>
      <c r="F173" s="10" t="s">
        <v>76</v>
      </c>
      <c r="G173" s="10" t="s">
        <v>58</v>
      </c>
      <c r="H173" s="10" t="s">
        <v>907</v>
      </c>
      <c r="I173" s="10" t="s">
        <v>78</v>
      </c>
      <c r="J173" s="10" t="s">
        <v>79</v>
      </c>
      <c r="K173" s="10" t="s">
        <v>59</v>
      </c>
      <c r="L173" s="7" t="s">
        <v>72</v>
      </c>
      <c r="M173" s="10" t="s">
        <v>60</v>
      </c>
      <c r="N173" s="7" t="s">
        <v>72</v>
      </c>
      <c r="O173" s="8" t="s">
        <v>61</v>
      </c>
      <c r="P173" s="7" t="s">
        <v>905</v>
      </c>
      <c r="Q173" s="11" t="s">
        <v>908</v>
      </c>
      <c r="R173" s="10" t="s">
        <v>81</v>
      </c>
      <c r="S173" s="10" t="s">
        <v>82</v>
      </c>
      <c r="T173" s="8" t="s">
        <v>62</v>
      </c>
      <c r="U173" s="7"/>
      <c r="V173" s="7" t="s">
        <v>83</v>
      </c>
      <c r="W173" s="8" t="s">
        <v>64</v>
      </c>
      <c r="X173" s="9" t="s">
        <v>909</v>
      </c>
    </row>
    <row r="174" spans="1:24" s="11" customFormat="1" ht="15.75" x14ac:dyDescent="0.25">
      <c r="A174" s="7" t="s">
        <v>72</v>
      </c>
      <c r="B174" s="8" t="s">
        <v>57</v>
      </c>
      <c r="C174" s="7" t="s">
        <v>910</v>
      </c>
      <c r="D174" s="9" t="s">
        <v>911</v>
      </c>
      <c r="E174" s="10" t="s">
        <v>75</v>
      </c>
      <c r="F174" s="10" t="s">
        <v>76</v>
      </c>
      <c r="G174" s="10" t="s">
        <v>58</v>
      </c>
      <c r="H174" s="10" t="s">
        <v>912</v>
      </c>
      <c r="I174" s="10" t="s">
        <v>78</v>
      </c>
      <c r="J174" s="10" t="s">
        <v>79</v>
      </c>
      <c r="K174" s="10" t="s">
        <v>59</v>
      </c>
      <c r="L174" s="7" t="s">
        <v>72</v>
      </c>
      <c r="M174" s="10" t="s">
        <v>60</v>
      </c>
      <c r="N174" s="7" t="s">
        <v>72</v>
      </c>
      <c r="O174" s="8" t="s">
        <v>61</v>
      </c>
      <c r="P174" s="7" t="s">
        <v>910</v>
      </c>
      <c r="Q174" s="11" t="s">
        <v>913</v>
      </c>
      <c r="R174" s="10" t="s">
        <v>81</v>
      </c>
      <c r="S174" s="10" t="s">
        <v>82</v>
      </c>
      <c r="T174" s="8" t="s">
        <v>62</v>
      </c>
      <c r="U174" s="7"/>
      <c r="V174" s="7" t="s">
        <v>83</v>
      </c>
      <c r="W174" s="8" t="s">
        <v>64</v>
      </c>
      <c r="X174" s="9" t="s">
        <v>914</v>
      </c>
    </row>
    <row r="175" spans="1:24" s="11" customFormat="1" ht="15.75" x14ac:dyDescent="0.25">
      <c r="A175" s="7" t="s">
        <v>72</v>
      </c>
      <c r="B175" s="8" t="s">
        <v>57</v>
      </c>
      <c r="C175" s="7" t="s">
        <v>915</v>
      </c>
      <c r="D175" s="9" t="s">
        <v>916</v>
      </c>
      <c r="E175" s="10" t="s">
        <v>75</v>
      </c>
      <c r="F175" s="10" t="s">
        <v>76</v>
      </c>
      <c r="G175" s="10" t="s">
        <v>58</v>
      </c>
      <c r="H175" s="10" t="s">
        <v>917</v>
      </c>
      <c r="I175" s="10" t="s">
        <v>78</v>
      </c>
      <c r="J175" s="10" t="s">
        <v>79</v>
      </c>
      <c r="K175" s="10" t="s">
        <v>59</v>
      </c>
      <c r="L175" s="7" t="s">
        <v>72</v>
      </c>
      <c r="M175" s="10" t="s">
        <v>60</v>
      </c>
      <c r="N175" s="7" t="s">
        <v>72</v>
      </c>
      <c r="O175" s="8" t="s">
        <v>61</v>
      </c>
      <c r="P175" s="7" t="s">
        <v>915</v>
      </c>
      <c r="Q175" s="11" t="s">
        <v>918</v>
      </c>
      <c r="R175" s="10" t="s">
        <v>81</v>
      </c>
      <c r="S175" s="10" t="s">
        <v>82</v>
      </c>
      <c r="T175" s="8" t="s">
        <v>62</v>
      </c>
      <c r="U175" s="7"/>
      <c r="V175" s="7" t="s">
        <v>83</v>
      </c>
      <c r="W175" s="8" t="s">
        <v>64</v>
      </c>
      <c r="X175" s="9" t="s">
        <v>919</v>
      </c>
    </row>
    <row r="176" spans="1:24" s="11" customFormat="1" ht="15.75" x14ac:dyDescent="0.25">
      <c r="A176" s="7" t="s">
        <v>72</v>
      </c>
      <c r="B176" s="8" t="s">
        <v>57</v>
      </c>
      <c r="C176" s="7" t="s">
        <v>920</v>
      </c>
      <c r="D176" s="9" t="s">
        <v>921</v>
      </c>
      <c r="E176" s="10" t="s">
        <v>75</v>
      </c>
      <c r="F176" s="10" t="s">
        <v>76</v>
      </c>
      <c r="G176" s="10" t="s">
        <v>58</v>
      </c>
      <c r="H176" s="10" t="s">
        <v>922</v>
      </c>
      <c r="I176" s="10" t="s">
        <v>78</v>
      </c>
      <c r="J176" s="10" t="s">
        <v>79</v>
      </c>
      <c r="K176" s="10" t="s">
        <v>59</v>
      </c>
      <c r="L176" s="7" t="s">
        <v>72</v>
      </c>
      <c r="M176" s="10" t="s">
        <v>60</v>
      </c>
      <c r="N176" s="7" t="s">
        <v>72</v>
      </c>
      <c r="O176" s="8" t="s">
        <v>61</v>
      </c>
      <c r="P176" s="7" t="s">
        <v>920</v>
      </c>
      <c r="Q176" s="11" t="s">
        <v>923</v>
      </c>
      <c r="R176" s="10" t="s">
        <v>81</v>
      </c>
      <c r="S176" s="10" t="s">
        <v>82</v>
      </c>
      <c r="T176" s="8" t="s">
        <v>62</v>
      </c>
      <c r="U176" s="7"/>
      <c r="V176" s="7" t="s">
        <v>83</v>
      </c>
      <c r="W176" s="8" t="s">
        <v>64</v>
      </c>
      <c r="X176" s="9" t="s">
        <v>924</v>
      </c>
    </row>
    <row r="177" spans="1:24" s="11" customFormat="1" ht="15.75" x14ac:dyDescent="0.25">
      <c r="A177" s="7" t="s">
        <v>72</v>
      </c>
      <c r="B177" s="8" t="s">
        <v>57</v>
      </c>
      <c r="C177" s="7" t="s">
        <v>403</v>
      </c>
      <c r="D177" s="9" t="s">
        <v>925</v>
      </c>
      <c r="E177" s="10" t="s">
        <v>75</v>
      </c>
      <c r="F177" s="10" t="s">
        <v>76</v>
      </c>
      <c r="G177" s="10" t="s">
        <v>58</v>
      </c>
      <c r="H177" s="10" t="s">
        <v>926</v>
      </c>
      <c r="I177" s="10" t="s">
        <v>78</v>
      </c>
      <c r="J177" s="10" t="s">
        <v>79</v>
      </c>
      <c r="K177" s="10" t="s">
        <v>59</v>
      </c>
      <c r="L177" s="7" t="s">
        <v>72</v>
      </c>
      <c r="M177" s="10" t="s">
        <v>60</v>
      </c>
      <c r="N177" s="7" t="s">
        <v>72</v>
      </c>
      <c r="O177" s="8" t="s">
        <v>61</v>
      </c>
      <c r="P177" s="7" t="s">
        <v>403</v>
      </c>
      <c r="Q177" s="11" t="s">
        <v>927</v>
      </c>
      <c r="R177" s="10" t="s">
        <v>81</v>
      </c>
      <c r="S177" s="10" t="s">
        <v>82</v>
      </c>
      <c r="T177" s="8" t="s">
        <v>62</v>
      </c>
      <c r="U177" s="7"/>
      <c r="V177" s="7" t="s">
        <v>83</v>
      </c>
      <c r="W177" s="8" t="s">
        <v>64</v>
      </c>
      <c r="X177" s="9" t="s">
        <v>928</v>
      </c>
    </row>
    <row r="178" spans="1:24" s="11" customFormat="1" ht="15.75" x14ac:dyDescent="0.25">
      <c r="A178" s="7" t="s">
        <v>72</v>
      </c>
      <c r="B178" s="8" t="s">
        <v>57</v>
      </c>
      <c r="C178" s="7" t="s">
        <v>929</v>
      </c>
      <c r="D178" s="9" t="s">
        <v>930</v>
      </c>
      <c r="E178" s="10" t="s">
        <v>75</v>
      </c>
      <c r="F178" s="10" t="s">
        <v>76</v>
      </c>
      <c r="G178" s="10" t="s">
        <v>58</v>
      </c>
      <c r="H178" s="11" t="s">
        <v>931</v>
      </c>
      <c r="I178" s="10" t="s">
        <v>78</v>
      </c>
      <c r="J178" s="10" t="s">
        <v>79</v>
      </c>
      <c r="K178" s="10" t="s">
        <v>59</v>
      </c>
      <c r="L178" s="7" t="s">
        <v>72</v>
      </c>
      <c r="M178" s="10" t="s">
        <v>60</v>
      </c>
      <c r="N178" s="7" t="s">
        <v>72</v>
      </c>
      <c r="O178" s="8" t="s">
        <v>61</v>
      </c>
      <c r="P178" s="7" t="s">
        <v>929</v>
      </c>
      <c r="Q178" s="11" t="s">
        <v>932</v>
      </c>
      <c r="R178" s="10" t="s">
        <v>81</v>
      </c>
      <c r="S178" s="10" t="s">
        <v>82</v>
      </c>
      <c r="T178" s="8" t="s">
        <v>62</v>
      </c>
      <c r="U178" s="7"/>
      <c r="V178" s="7" t="s">
        <v>83</v>
      </c>
      <c r="W178" s="8" t="s">
        <v>64</v>
      </c>
      <c r="X178" s="9" t="s">
        <v>933</v>
      </c>
    </row>
    <row r="179" spans="1:24" s="11" customFormat="1" ht="15.75" x14ac:dyDescent="0.25">
      <c r="A179" s="7" t="s">
        <v>72</v>
      </c>
      <c r="B179" s="8" t="s">
        <v>57</v>
      </c>
      <c r="C179" s="7" t="s">
        <v>259</v>
      </c>
      <c r="D179" s="9" t="s">
        <v>934</v>
      </c>
      <c r="E179" s="10" t="s">
        <v>75</v>
      </c>
      <c r="F179" s="10" t="s">
        <v>76</v>
      </c>
      <c r="G179" s="10" t="s">
        <v>58</v>
      </c>
      <c r="H179" s="10" t="s">
        <v>935</v>
      </c>
      <c r="I179" s="10" t="s">
        <v>78</v>
      </c>
      <c r="J179" s="10" t="s">
        <v>79</v>
      </c>
      <c r="K179" s="10" t="s">
        <v>59</v>
      </c>
      <c r="L179" s="7" t="s">
        <v>72</v>
      </c>
      <c r="M179" s="10" t="s">
        <v>60</v>
      </c>
      <c r="N179" s="7" t="s">
        <v>72</v>
      </c>
      <c r="O179" s="8" t="s">
        <v>61</v>
      </c>
      <c r="P179" s="7" t="s">
        <v>259</v>
      </c>
      <c r="Q179" s="11" t="s">
        <v>936</v>
      </c>
      <c r="R179" s="10" t="s">
        <v>81</v>
      </c>
      <c r="S179" s="10" t="s">
        <v>82</v>
      </c>
      <c r="T179" s="8" t="s">
        <v>62</v>
      </c>
      <c r="U179" s="7"/>
      <c r="V179" s="7" t="s">
        <v>83</v>
      </c>
      <c r="W179" s="8" t="s">
        <v>64</v>
      </c>
      <c r="X179" s="9" t="s">
        <v>937</v>
      </c>
    </row>
    <row r="180" spans="1:24" s="11" customFormat="1" ht="15.75" x14ac:dyDescent="0.25">
      <c r="A180" s="7" t="s">
        <v>72</v>
      </c>
      <c r="B180" s="8" t="s">
        <v>57</v>
      </c>
      <c r="C180" s="7" t="s">
        <v>938</v>
      </c>
      <c r="D180" s="9" t="s">
        <v>939</v>
      </c>
      <c r="E180" s="10" t="s">
        <v>75</v>
      </c>
      <c r="F180" s="10" t="s">
        <v>76</v>
      </c>
      <c r="G180" s="10" t="s">
        <v>58</v>
      </c>
      <c r="H180" s="10" t="s">
        <v>940</v>
      </c>
      <c r="I180" s="10" t="s">
        <v>78</v>
      </c>
      <c r="J180" s="10" t="s">
        <v>79</v>
      </c>
      <c r="K180" s="10" t="s">
        <v>59</v>
      </c>
      <c r="L180" s="7" t="s">
        <v>72</v>
      </c>
      <c r="M180" s="10" t="s">
        <v>60</v>
      </c>
      <c r="N180" s="7" t="s">
        <v>72</v>
      </c>
      <c r="O180" s="8" t="s">
        <v>61</v>
      </c>
      <c r="P180" s="7" t="s">
        <v>938</v>
      </c>
      <c r="Q180" s="11" t="s">
        <v>941</v>
      </c>
      <c r="R180" s="10" t="s">
        <v>81</v>
      </c>
      <c r="S180" s="10" t="s">
        <v>82</v>
      </c>
      <c r="T180" s="8" t="s">
        <v>62</v>
      </c>
      <c r="U180" s="7"/>
      <c r="V180" s="7" t="s">
        <v>83</v>
      </c>
      <c r="W180" s="8" t="s">
        <v>64</v>
      </c>
      <c r="X180" s="9" t="s">
        <v>942</v>
      </c>
    </row>
    <row r="181" spans="1:24" s="11" customFormat="1" ht="15.75" x14ac:dyDescent="0.25">
      <c r="A181" s="7" t="s">
        <v>72</v>
      </c>
      <c r="B181" s="8" t="s">
        <v>57</v>
      </c>
      <c r="C181" s="7" t="s">
        <v>66</v>
      </c>
      <c r="D181" s="9" t="s">
        <v>943</v>
      </c>
      <c r="E181" s="10" t="s">
        <v>75</v>
      </c>
      <c r="F181" s="10" t="s">
        <v>76</v>
      </c>
      <c r="G181" s="10" t="s">
        <v>58</v>
      </c>
      <c r="H181" s="10" t="s">
        <v>944</v>
      </c>
      <c r="I181" s="10" t="s">
        <v>78</v>
      </c>
      <c r="J181" s="10" t="s">
        <v>79</v>
      </c>
      <c r="K181" s="10" t="s">
        <v>59</v>
      </c>
      <c r="L181" s="7" t="s">
        <v>72</v>
      </c>
      <c r="M181" s="10" t="s">
        <v>60</v>
      </c>
      <c r="N181" s="7" t="s">
        <v>72</v>
      </c>
      <c r="O181" s="8" t="s">
        <v>61</v>
      </c>
      <c r="P181" s="7" t="s">
        <v>66</v>
      </c>
      <c r="Q181" s="11" t="s">
        <v>945</v>
      </c>
      <c r="R181" s="10" t="s">
        <v>81</v>
      </c>
      <c r="S181" s="10" t="s">
        <v>82</v>
      </c>
      <c r="T181" s="8" t="s">
        <v>62</v>
      </c>
      <c r="U181" s="7"/>
      <c r="V181" s="7" t="s">
        <v>83</v>
      </c>
      <c r="W181" s="8" t="s">
        <v>64</v>
      </c>
      <c r="X181" s="9" t="s">
        <v>946</v>
      </c>
    </row>
    <row r="182" spans="1:24" s="11" customFormat="1" ht="15.75" x14ac:dyDescent="0.25">
      <c r="A182" s="7" t="s">
        <v>72</v>
      </c>
      <c r="B182" s="8" t="s">
        <v>57</v>
      </c>
      <c r="C182" s="7" t="s">
        <v>305</v>
      </c>
      <c r="D182" s="9" t="s">
        <v>947</v>
      </c>
      <c r="E182" s="10" t="s">
        <v>75</v>
      </c>
      <c r="F182" s="10" t="s">
        <v>76</v>
      </c>
      <c r="G182" s="10" t="s">
        <v>58</v>
      </c>
      <c r="H182" s="10" t="s">
        <v>948</v>
      </c>
      <c r="I182" s="10" t="s">
        <v>78</v>
      </c>
      <c r="J182" s="10" t="s">
        <v>79</v>
      </c>
      <c r="K182" s="10" t="s">
        <v>59</v>
      </c>
      <c r="L182" s="7" t="s">
        <v>72</v>
      </c>
      <c r="M182" s="10" t="s">
        <v>60</v>
      </c>
      <c r="N182" s="7" t="s">
        <v>72</v>
      </c>
      <c r="O182" s="8" t="s">
        <v>61</v>
      </c>
      <c r="P182" s="7" t="s">
        <v>305</v>
      </c>
      <c r="Q182" s="11" t="s">
        <v>949</v>
      </c>
      <c r="R182" s="10" t="s">
        <v>81</v>
      </c>
      <c r="S182" s="10" t="s">
        <v>82</v>
      </c>
      <c r="T182" s="8" t="s">
        <v>62</v>
      </c>
      <c r="U182" s="7"/>
      <c r="V182" s="7" t="s">
        <v>83</v>
      </c>
      <c r="W182" s="8" t="s">
        <v>64</v>
      </c>
      <c r="X182" s="9" t="s">
        <v>950</v>
      </c>
    </row>
    <row r="183" spans="1:24" s="11" customFormat="1" ht="15.75" x14ac:dyDescent="0.25">
      <c r="A183" s="7" t="s">
        <v>72</v>
      </c>
      <c r="B183" s="8" t="s">
        <v>57</v>
      </c>
      <c r="C183" s="7" t="s">
        <v>951</v>
      </c>
      <c r="D183" s="9" t="s">
        <v>952</v>
      </c>
      <c r="E183" s="10" t="s">
        <v>75</v>
      </c>
      <c r="F183" s="10" t="s">
        <v>76</v>
      </c>
      <c r="G183" s="10" t="s">
        <v>58</v>
      </c>
      <c r="H183" s="10" t="s">
        <v>953</v>
      </c>
      <c r="I183" s="10" t="s">
        <v>78</v>
      </c>
      <c r="J183" s="10" t="s">
        <v>79</v>
      </c>
      <c r="K183" s="10" t="s">
        <v>59</v>
      </c>
      <c r="L183" s="7" t="s">
        <v>72</v>
      </c>
      <c r="M183" s="10" t="s">
        <v>60</v>
      </c>
      <c r="N183" s="7" t="s">
        <v>72</v>
      </c>
      <c r="O183" s="8" t="s">
        <v>61</v>
      </c>
      <c r="P183" s="7" t="s">
        <v>951</v>
      </c>
      <c r="Q183" s="11" t="s">
        <v>954</v>
      </c>
      <c r="R183" s="10" t="s">
        <v>81</v>
      </c>
      <c r="S183" s="10" t="s">
        <v>82</v>
      </c>
      <c r="T183" s="8" t="s">
        <v>62</v>
      </c>
      <c r="U183" s="7"/>
      <c r="V183" s="7" t="s">
        <v>83</v>
      </c>
      <c r="W183" s="8" t="s">
        <v>64</v>
      </c>
      <c r="X183" s="9" t="s">
        <v>955</v>
      </c>
    </row>
    <row r="184" spans="1:24" s="11" customFormat="1" ht="15.75" x14ac:dyDescent="0.25">
      <c r="A184" s="7" t="s">
        <v>72</v>
      </c>
      <c r="B184" s="8" t="s">
        <v>57</v>
      </c>
      <c r="C184" s="7" t="s">
        <v>956</v>
      </c>
      <c r="D184" s="9" t="s">
        <v>957</v>
      </c>
      <c r="E184" s="10" t="s">
        <v>75</v>
      </c>
      <c r="F184" s="10" t="s">
        <v>76</v>
      </c>
      <c r="G184" s="10" t="s">
        <v>58</v>
      </c>
      <c r="H184" s="10" t="s">
        <v>958</v>
      </c>
      <c r="I184" s="10" t="s">
        <v>78</v>
      </c>
      <c r="J184" s="10" t="s">
        <v>79</v>
      </c>
      <c r="K184" s="10" t="s">
        <v>59</v>
      </c>
      <c r="L184" s="7" t="s">
        <v>72</v>
      </c>
      <c r="M184" s="10" t="s">
        <v>60</v>
      </c>
      <c r="N184" s="7" t="s">
        <v>72</v>
      </c>
      <c r="O184" s="8" t="s">
        <v>61</v>
      </c>
      <c r="P184" s="7" t="s">
        <v>956</v>
      </c>
      <c r="Q184" s="11" t="s">
        <v>959</v>
      </c>
      <c r="R184" s="10" t="s">
        <v>81</v>
      </c>
      <c r="S184" s="10" t="s">
        <v>82</v>
      </c>
      <c r="T184" s="8" t="s">
        <v>62</v>
      </c>
      <c r="U184" s="7"/>
      <c r="V184" s="7" t="s">
        <v>83</v>
      </c>
      <c r="W184" s="8" t="s">
        <v>64</v>
      </c>
      <c r="X184" s="9" t="s">
        <v>960</v>
      </c>
    </row>
    <row r="185" spans="1:24" s="11" customFormat="1" ht="15.75" x14ac:dyDescent="0.25">
      <c r="A185" s="7" t="s">
        <v>72</v>
      </c>
      <c r="B185" s="8" t="s">
        <v>57</v>
      </c>
      <c r="C185" s="7" t="s">
        <v>961</v>
      </c>
      <c r="D185" s="9" t="s">
        <v>962</v>
      </c>
      <c r="E185" s="10" t="s">
        <v>75</v>
      </c>
      <c r="F185" s="10" t="s">
        <v>76</v>
      </c>
      <c r="G185" s="10" t="s">
        <v>58</v>
      </c>
      <c r="H185" s="10" t="s">
        <v>963</v>
      </c>
      <c r="I185" s="10" t="s">
        <v>78</v>
      </c>
      <c r="J185" s="10" t="s">
        <v>79</v>
      </c>
      <c r="K185" s="10" t="s">
        <v>59</v>
      </c>
      <c r="L185" s="7" t="s">
        <v>72</v>
      </c>
      <c r="M185" s="10" t="s">
        <v>60</v>
      </c>
      <c r="N185" s="7" t="s">
        <v>72</v>
      </c>
      <c r="O185" s="8" t="s">
        <v>61</v>
      </c>
      <c r="P185" s="7" t="s">
        <v>961</v>
      </c>
      <c r="Q185" s="11" t="s">
        <v>964</v>
      </c>
      <c r="R185" s="10" t="s">
        <v>81</v>
      </c>
      <c r="S185" s="10" t="s">
        <v>82</v>
      </c>
      <c r="T185" s="8" t="s">
        <v>62</v>
      </c>
      <c r="U185" s="7"/>
      <c r="V185" s="7" t="s">
        <v>83</v>
      </c>
      <c r="W185" s="8" t="s">
        <v>64</v>
      </c>
      <c r="X185" s="9" t="s">
        <v>965</v>
      </c>
    </row>
    <row r="186" spans="1:24" s="11" customFormat="1" ht="15.75" x14ac:dyDescent="0.25">
      <c r="A186" s="7" t="s">
        <v>72</v>
      </c>
      <c r="B186" s="8" t="s">
        <v>57</v>
      </c>
      <c r="C186" s="7" t="s">
        <v>966</v>
      </c>
      <c r="D186" s="9" t="s">
        <v>967</v>
      </c>
      <c r="E186" s="10" t="s">
        <v>75</v>
      </c>
      <c r="F186" s="10" t="s">
        <v>76</v>
      </c>
      <c r="G186" s="10" t="s">
        <v>58</v>
      </c>
      <c r="H186" s="10" t="s">
        <v>968</v>
      </c>
      <c r="I186" s="10" t="s">
        <v>78</v>
      </c>
      <c r="J186" s="10" t="s">
        <v>79</v>
      </c>
      <c r="K186" s="10" t="s">
        <v>59</v>
      </c>
      <c r="L186" s="7" t="s">
        <v>72</v>
      </c>
      <c r="M186" s="10" t="s">
        <v>60</v>
      </c>
      <c r="N186" s="7" t="s">
        <v>72</v>
      </c>
      <c r="O186" s="8" t="s">
        <v>61</v>
      </c>
      <c r="P186" s="7" t="s">
        <v>966</v>
      </c>
      <c r="Q186" s="11" t="s">
        <v>969</v>
      </c>
      <c r="R186" s="10" t="s">
        <v>81</v>
      </c>
      <c r="S186" s="10" t="s">
        <v>82</v>
      </c>
      <c r="T186" s="8" t="s">
        <v>62</v>
      </c>
      <c r="U186" s="7"/>
      <c r="V186" s="7" t="s">
        <v>83</v>
      </c>
      <c r="W186" s="8" t="s">
        <v>64</v>
      </c>
      <c r="X186" s="9" t="s">
        <v>970</v>
      </c>
    </row>
    <row r="187" spans="1:24" s="11" customFormat="1" ht="15.75" x14ac:dyDescent="0.25">
      <c r="A187" s="7" t="s">
        <v>72</v>
      </c>
      <c r="B187" s="8" t="s">
        <v>57</v>
      </c>
      <c r="C187" s="7" t="s">
        <v>971</v>
      </c>
      <c r="D187" s="9" t="s">
        <v>972</v>
      </c>
      <c r="E187" s="10" t="s">
        <v>75</v>
      </c>
      <c r="F187" s="10" t="s">
        <v>76</v>
      </c>
      <c r="G187" s="10" t="s">
        <v>58</v>
      </c>
      <c r="H187" s="10" t="s">
        <v>973</v>
      </c>
      <c r="I187" s="10" t="s">
        <v>78</v>
      </c>
      <c r="J187" s="10" t="s">
        <v>79</v>
      </c>
      <c r="K187" s="10" t="s">
        <v>59</v>
      </c>
      <c r="L187" s="7" t="s">
        <v>72</v>
      </c>
      <c r="M187" s="10" t="s">
        <v>60</v>
      </c>
      <c r="N187" s="7" t="s">
        <v>72</v>
      </c>
      <c r="O187" s="8" t="s">
        <v>61</v>
      </c>
      <c r="P187" s="7" t="s">
        <v>971</v>
      </c>
      <c r="Q187" s="11" t="s">
        <v>974</v>
      </c>
      <c r="R187" s="10" t="s">
        <v>81</v>
      </c>
      <c r="S187" s="10" t="s">
        <v>82</v>
      </c>
      <c r="T187" s="8" t="s">
        <v>62</v>
      </c>
      <c r="U187" s="7"/>
      <c r="V187" s="7" t="s">
        <v>83</v>
      </c>
      <c r="W187" s="8" t="s">
        <v>64</v>
      </c>
      <c r="X187" s="9" t="s">
        <v>975</v>
      </c>
    </row>
    <row r="188" spans="1:24" s="11" customFormat="1" ht="15.75" x14ac:dyDescent="0.25">
      <c r="A188" s="7" t="s">
        <v>72</v>
      </c>
      <c r="B188" s="8" t="s">
        <v>57</v>
      </c>
      <c r="C188" s="7" t="s">
        <v>976</v>
      </c>
      <c r="D188" s="9" t="s">
        <v>977</v>
      </c>
      <c r="E188" s="10" t="s">
        <v>75</v>
      </c>
      <c r="F188" s="10" t="s">
        <v>76</v>
      </c>
      <c r="G188" s="10" t="s">
        <v>58</v>
      </c>
      <c r="H188" s="10" t="s">
        <v>978</v>
      </c>
      <c r="I188" s="10" t="s">
        <v>78</v>
      </c>
      <c r="J188" s="10" t="s">
        <v>79</v>
      </c>
      <c r="K188" s="10" t="s">
        <v>59</v>
      </c>
      <c r="L188" s="7" t="s">
        <v>72</v>
      </c>
      <c r="M188" s="10" t="s">
        <v>60</v>
      </c>
      <c r="N188" s="7" t="s">
        <v>72</v>
      </c>
      <c r="O188" s="8" t="s">
        <v>61</v>
      </c>
      <c r="P188" s="7" t="s">
        <v>976</v>
      </c>
      <c r="Q188" s="11" t="s">
        <v>979</v>
      </c>
      <c r="R188" s="10" t="s">
        <v>81</v>
      </c>
      <c r="S188" s="10" t="s">
        <v>82</v>
      </c>
      <c r="T188" s="8" t="s">
        <v>62</v>
      </c>
      <c r="U188" s="7"/>
      <c r="V188" s="7" t="s">
        <v>83</v>
      </c>
      <c r="W188" s="8" t="s">
        <v>64</v>
      </c>
      <c r="X188" s="9" t="s">
        <v>980</v>
      </c>
    </row>
    <row r="189" spans="1:24" s="11" customFormat="1" ht="15.75" x14ac:dyDescent="0.25">
      <c r="A189" s="7" t="s">
        <v>72</v>
      </c>
      <c r="B189" s="8" t="s">
        <v>57</v>
      </c>
      <c r="C189" s="7" t="s">
        <v>374</v>
      </c>
      <c r="D189" s="9" t="s">
        <v>981</v>
      </c>
      <c r="E189" s="10" t="s">
        <v>75</v>
      </c>
      <c r="F189" s="10" t="s">
        <v>76</v>
      </c>
      <c r="G189" s="10" t="s">
        <v>58</v>
      </c>
      <c r="H189" s="10" t="s">
        <v>982</v>
      </c>
      <c r="I189" s="10" t="s">
        <v>78</v>
      </c>
      <c r="J189" s="10" t="s">
        <v>79</v>
      </c>
      <c r="K189" s="10" t="s">
        <v>59</v>
      </c>
      <c r="L189" s="7" t="s">
        <v>72</v>
      </c>
      <c r="M189" s="10" t="s">
        <v>60</v>
      </c>
      <c r="N189" s="7" t="s">
        <v>72</v>
      </c>
      <c r="O189" s="8" t="s">
        <v>61</v>
      </c>
      <c r="P189" s="7" t="s">
        <v>374</v>
      </c>
      <c r="Q189" s="11" t="s">
        <v>983</v>
      </c>
      <c r="R189" s="10" t="s">
        <v>81</v>
      </c>
      <c r="S189" s="10" t="s">
        <v>82</v>
      </c>
      <c r="T189" s="8" t="s">
        <v>62</v>
      </c>
      <c r="U189" s="7"/>
      <c r="V189" s="7" t="s">
        <v>83</v>
      </c>
      <c r="W189" s="8" t="s">
        <v>64</v>
      </c>
      <c r="X189" s="9" t="s">
        <v>984</v>
      </c>
    </row>
    <row r="190" spans="1:24" s="11" customFormat="1" ht="15.75" x14ac:dyDescent="0.25">
      <c r="A190" s="7" t="s">
        <v>72</v>
      </c>
      <c r="B190" s="8" t="s">
        <v>57</v>
      </c>
      <c r="C190" s="7" t="s">
        <v>985</v>
      </c>
      <c r="D190" s="9" t="s">
        <v>986</v>
      </c>
      <c r="E190" s="10" t="s">
        <v>75</v>
      </c>
      <c r="F190" s="10" t="s">
        <v>76</v>
      </c>
      <c r="G190" s="10" t="s">
        <v>58</v>
      </c>
      <c r="H190" s="10" t="s">
        <v>987</v>
      </c>
      <c r="I190" s="10" t="s">
        <v>78</v>
      </c>
      <c r="J190" s="10" t="s">
        <v>79</v>
      </c>
      <c r="K190" s="10" t="s">
        <v>59</v>
      </c>
      <c r="L190" s="7" t="s">
        <v>72</v>
      </c>
      <c r="M190" s="10" t="s">
        <v>60</v>
      </c>
      <c r="N190" s="7" t="s">
        <v>72</v>
      </c>
      <c r="O190" s="8" t="s">
        <v>61</v>
      </c>
      <c r="P190" s="7" t="s">
        <v>985</v>
      </c>
      <c r="Q190" s="11" t="s">
        <v>988</v>
      </c>
      <c r="R190" s="10" t="s">
        <v>81</v>
      </c>
      <c r="S190" s="10" t="s">
        <v>82</v>
      </c>
      <c r="T190" s="8" t="s">
        <v>62</v>
      </c>
      <c r="U190" s="7"/>
      <c r="V190" s="7" t="s">
        <v>83</v>
      </c>
      <c r="W190" s="8" t="s">
        <v>64</v>
      </c>
      <c r="X190" s="9" t="s">
        <v>989</v>
      </c>
    </row>
    <row r="191" spans="1:24" s="11" customFormat="1" ht="15.75" x14ac:dyDescent="0.25">
      <c r="A191" s="7" t="s">
        <v>72</v>
      </c>
      <c r="B191" s="8" t="s">
        <v>57</v>
      </c>
      <c r="C191" s="7" t="s">
        <v>990</v>
      </c>
      <c r="D191" s="9" t="s">
        <v>991</v>
      </c>
      <c r="E191" s="10" t="s">
        <v>75</v>
      </c>
      <c r="F191" s="10" t="s">
        <v>76</v>
      </c>
      <c r="G191" s="10" t="s">
        <v>58</v>
      </c>
      <c r="H191" s="11" t="s">
        <v>992</v>
      </c>
      <c r="I191" s="10" t="s">
        <v>78</v>
      </c>
      <c r="J191" s="10" t="s">
        <v>79</v>
      </c>
      <c r="K191" s="10" t="s">
        <v>59</v>
      </c>
      <c r="L191" s="7" t="s">
        <v>72</v>
      </c>
      <c r="M191" s="10" t="s">
        <v>60</v>
      </c>
      <c r="N191" s="7" t="s">
        <v>72</v>
      </c>
      <c r="O191" s="8" t="s">
        <v>61</v>
      </c>
      <c r="P191" s="7" t="s">
        <v>990</v>
      </c>
      <c r="Q191" s="11" t="s">
        <v>993</v>
      </c>
      <c r="R191" s="10" t="s">
        <v>81</v>
      </c>
      <c r="S191" s="10" t="s">
        <v>82</v>
      </c>
      <c r="T191" s="8" t="s">
        <v>62</v>
      </c>
      <c r="U191" s="7"/>
      <c r="V191" s="7" t="s">
        <v>83</v>
      </c>
      <c r="W191" s="8" t="s">
        <v>64</v>
      </c>
      <c r="X191" s="11" t="s">
        <v>994</v>
      </c>
    </row>
    <row r="192" spans="1:24" s="11" customFormat="1" ht="15.75" x14ac:dyDescent="0.25">
      <c r="A192" s="7" t="s">
        <v>72</v>
      </c>
      <c r="B192" s="8" t="s">
        <v>57</v>
      </c>
      <c r="C192" s="7" t="s">
        <v>995</v>
      </c>
      <c r="D192" s="9" t="s">
        <v>996</v>
      </c>
      <c r="E192" s="10" t="s">
        <v>75</v>
      </c>
      <c r="F192" s="10" t="s">
        <v>76</v>
      </c>
      <c r="G192" s="10" t="s">
        <v>58</v>
      </c>
      <c r="H192" s="11" t="s">
        <v>997</v>
      </c>
      <c r="I192" s="10" t="s">
        <v>78</v>
      </c>
      <c r="J192" s="10" t="s">
        <v>79</v>
      </c>
      <c r="K192" s="10" t="s">
        <v>59</v>
      </c>
      <c r="L192" s="7" t="s">
        <v>72</v>
      </c>
      <c r="M192" s="10" t="s">
        <v>60</v>
      </c>
      <c r="N192" s="7" t="s">
        <v>72</v>
      </c>
      <c r="O192" s="8" t="s">
        <v>61</v>
      </c>
      <c r="P192" s="7" t="s">
        <v>995</v>
      </c>
      <c r="Q192" s="11" t="s">
        <v>996</v>
      </c>
      <c r="R192" s="10" t="s">
        <v>81</v>
      </c>
      <c r="S192" s="10" t="s">
        <v>82</v>
      </c>
      <c r="T192" s="8" t="s">
        <v>62</v>
      </c>
      <c r="U192" s="7"/>
      <c r="V192" s="7" t="s">
        <v>83</v>
      </c>
      <c r="W192" s="8" t="s">
        <v>64</v>
      </c>
      <c r="X192" s="11" t="s">
        <v>998</v>
      </c>
    </row>
    <row r="193" spans="1:24" s="11" customFormat="1" ht="15.75" x14ac:dyDescent="0.25">
      <c r="A193" s="7" t="s">
        <v>72</v>
      </c>
      <c r="B193" s="8" t="s">
        <v>57</v>
      </c>
      <c r="C193" s="7" t="s">
        <v>999</v>
      </c>
      <c r="D193" s="9" t="s">
        <v>1000</v>
      </c>
      <c r="E193" s="10" t="s">
        <v>75</v>
      </c>
      <c r="F193" s="10" t="s">
        <v>76</v>
      </c>
      <c r="G193" s="10" t="s">
        <v>58</v>
      </c>
      <c r="H193" s="11" t="s">
        <v>1001</v>
      </c>
      <c r="I193" s="10" t="s">
        <v>78</v>
      </c>
      <c r="J193" s="10" t="s">
        <v>79</v>
      </c>
      <c r="K193" s="10" t="s">
        <v>59</v>
      </c>
      <c r="L193" s="7" t="s">
        <v>72</v>
      </c>
      <c r="M193" s="10" t="s">
        <v>60</v>
      </c>
      <c r="N193" s="7" t="s">
        <v>72</v>
      </c>
      <c r="O193" s="8" t="s">
        <v>61</v>
      </c>
      <c r="P193" s="7" t="s">
        <v>999</v>
      </c>
      <c r="Q193" s="11" t="s">
        <v>1002</v>
      </c>
      <c r="R193" s="10" t="s">
        <v>81</v>
      </c>
      <c r="S193" s="10" t="s">
        <v>82</v>
      </c>
      <c r="T193" s="8" t="s">
        <v>62</v>
      </c>
      <c r="U193" s="7"/>
      <c r="V193" s="7" t="s">
        <v>83</v>
      </c>
      <c r="W193" s="8" t="s">
        <v>64</v>
      </c>
      <c r="X193" s="11" t="s">
        <v>1003</v>
      </c>
    </row>
    <row r="194" spans="1:24" s="11" customFormat="1" ht="15.75" x14ac:dyDescent="0.25">
      <c r="A194" s="7" t="s">
        <v>72</v>
      </c>
      <c r="B194" s="8" t="s">
        <v>57</v>
      </c>
      <c r="C194" s="7" t="s">
        <v>1004</v>
      </c>
      <c r="D194" s="9" t="s">
        <v>1005</v>
      </c>
      <c r="E194" s="10" t="s">
        <v>75</v>
      </c>
      <c r="F194" s="10" t="s">
        <v>76</v>
      </c>
      <c r="G194" s="10" t="s">
        <v>58</v>
      </c>
      <c r="H194" s="10" t="s">
        <v>1006</v>
      </c>
      <c r="I194" s="10" t="s">
        <v>78</v>
      </c>
      <c r="J194" s="10" t="s">
        <v>79</v>
      </c>
      <c r="K194" s="10" t="s">
        <v>59</v>
      </c>
      <c r="L194" s="7" t="s">
        <v>72</v>
      </c>
      <c r="M194" s="10" t="s">
        <v>60</v>
      </c>
      <c r="N194" s="7" t="s">
        <v>72</v>
      </c>
      <c r="O194" s="8" t="s">
        <v>61</v>
      </c>
      <c r="P194" s="7" t="s">
        <v>1004</v>
      </c>
      <c r="Q194" s="11" t="s">
        <v>1007</v>
      </c>
      <c r="R194" s="10" t="s">
        <v>81</v>
      </c>
      <c r="S194" s="10" t="s">
        <v>82</v>
      </c>
      <c r="T194" s="8" t="s">
        <v>62</v>
      </c>
      <c r="U194" s="7"/>
      <c r="V194" s="7" t="s">
        <v>83</v>
      </c>
      <c r="W194" s="8" t="s">
        <v>64</v>
      </c>
      <c r="X194" s="9" t="s">
        <v>1008</v>
      </c>
    </row>
    <row r="195" spans="1:24" s="11" customFormat="1" ht="15.75" x14ac:dyDescent="0.25">
      <c r="A195" s="7" t="s">
        <v>72</v>
      </c>
      <c r="B195" s="8" t="s">
        <v>57</v>
      </c>
      <c r="C195" s="7" t="s">
        <v>1009</v>
      </c>
      <c r="D195" s="9" t="s">
        <v>1010</v>
      </c>
      <c r="E195" s="10" t="s">
        <v>75</v>
      </c>
      <c r="F195" s="10" t="s">
        <v>76</v>
      </c>
      <c r="G195" s="10" t="s">
        <v>58</v>
      </c>
      <c r="H195" s="11" t="s">
        <v>1011</v>
      </c>
      <c r="I195" s="10" t="s">
        <v>78</v>
      </c>
      <c r="J195" s="10" t="s">
        <v>79</v>
      </c>
      <c r="K195" s="10" t="s">
        <v>59</v>
      </c>
      <c r="L195" s="7" t="s">
        <v>72</v>
      </c>
      <c r="M195" s="10" t="s">
        <v>60</v>
      </c>
      <c r="N195" s="7" t="s">
        <v>72</v>
      </c>
      <c r="O195" s="8" t="s">
        <v>61</v>
      </c>
      <c r="P195" s="7" t="s">
        <v>1009</v>
      </c>
      <c r="Q195" s="11" t="s">
        <v>1012</v>
      </c>
      <c r="R195" s="10" t="s">
        <v>81</v>
      </c>
      <c r="S195" s="10" t="s">
        <v>82</v>
      </c>
      <c r="T195" s="8" t="s">
        <v>62</v>
      </c>
      <c r="U195" s="7"/>
      <c r="V195" s="7" t="s">
        <v>83</v>
      </c>
      <c r="W195" s="8" t="s">
        <v>64</v>
      </c>
      <c r="X195" s="9" t="s">
        <v>1013</v>
      </c>
    </row>
    <row r="196" spans="1:24" s="11" customFormat="1" ht="15.75" x14ac:dyDescent="0.25">
      <c r="A196" s="7" t="s">
        <v>72</v>
      </c>
      <c r="B196" s="8" t="s">
        <v>57</v>
      </c>
      <c r="C196" s="7" t="s">
        <v>315</v>
      </c>
      <c r="D196" s="9" t="s">
        <v>1014</v>
      </c>
      <c r="E196" s="10" t="s">
        <v>75</v>
      </c>
      <c r="F196" s="10" t="s">
        <v>76</v>
      </c>
      <c r="G196" s="10" t="s">
        <v>58</v>
      </c>
      <c r="H196" s="10" t="s">
        <v>1015</v>
      </c>
      <c r="I196" s="10" t="s">
        <v>78</v>
      </c>
      <c r="J196" s="10" t="s">
        <v>79</v>
      </c>
      <c r="K196" s="10" t="s">
        <v>59</v>
      </c>
      <c r="L196" s="7" t="s">
        <v>72</v>
      </c>
      <c r="M196" s="10" t="s">
        <v>60</v>
      </c>
      <c r="N196" s="7" t="s">
        <v>72</v>
      </c>
      <c r="O196" s="8" t="s">
        <v>61</v>
      </c>
      <c r="P196" s="7" t="s">
        <v>315</v>
      </c>
      <c r="Q196" s="11" t="s">
        <v>1016</v>
      </c>
      <c r="R196" s="10" t="s">
        <v>81</v>
      </c>
      <c r="S196" s="10" t="s">
        <v>82</v>
      </c>
      <c r="T196" s="8" t="s">
        <v>62</v>
      </c>
      <c r="U196" s="7"/>
      <c r="V196" s="7" t="s">
        <v>83</v>
      </c>
      <c r="W196" s="8" t="s">
        <v>64</v>
      </c>
      <c r="X196" s="9" t="s">
        <v>1017</v>
      </c>
    </row>
    <row r="197" spans="1:24" s="11" customFormat="1" ht="15.75" x14ac:dyDescent="0.25">
      <c r="A197" s="7" t="s">
        <v>72</v>
      </c>
      <c r="B197" s="8" t="s">
        <v>57</v>
      </c>
      <c r="C197" s="7" t="s">
        <v>1018</v>
      </c>
      <c r="D197" s="9" t="s">
        <v>1019</v>
      </c>
      <c r="E197" s="10" t="s">
        <v>75</v>
      </c>
      <c r="F197" s="10" t="s">
        <v>76</v>
      </c>
      <c r="G197" s="10" t="s">
        <v>58</v>
      </c>
      <c r="H197" s="10" t="s">
        <v>1020</v>
      </c>
      <c r="I197" s="10" t="s">
        <v>78</v>
      </c>
      <c r="J197" s="10" t="s">
        <v>79</v>
      </c>
      <c r="K197" s="10" t="s">
        <v>59</v>
      </c>
      <c r="L197" s="7" t="s">
        <v>72</v>
      </c>
      <c r="M197" s="10" t="s">
        <v>60</v>
      </c>
      <c r="N197" s="7" t="s">
        <v>72</v>
      </c>
      <c r="O197" s="8" t="s">
        <v>61</v>
      </c>
      <c r="P197" s="7" t="s">
        <v>1018</v>
      </c>
      <c r="Q197" s="11" t="s">
        <v>1021</v>
      </c>
      <c r="R197" s="10" t="s">
        <v>81</v>
      </c>
      <c r="S197" s="10" t="s">
        <v>82</v>
      </c>
      <c r="T197" s="8" t="s">
        <v>62</v>
      </c>
      <c r="U197" s="7"/>
      <c r="V197" s="7" t="s">
        <v>83</v>
      </c>
      <c r="W197" s="8" t="s">
        <v>64</v>
      </c>
      <c r="X197" s="9" t="s">
        <v>1022</v>
      </c>
    </row>
    <row r="198" spans="1:24" s="11" customFormat="1" ht="15.75" x14ac:dyDescent="0.25">
      <c r="A198" s="7" t="s">
        <v>72</v>
      </c>
      <c r="B198" s="8" t="s">
        <v>57</v>
      </c>
      <c r="C198" s="7" t="s">
        <v>269</v>
      </c>
      <c r="D198" s="9" t="str">
        <f>[1]Лист4!A325</f>
        <v>Юсантаева  Рушана  Бахтияровнаға</v>
      </c>
      <c r="E198" s="10" t="s">
        <v>75</v>
      </c>
      <c r="F198" s="10" t="s">
        <v>76</v>
      </c>
      <c r="G198" s="10" t="s">
        <v>58</v>
      </c>
      <c r="H198" s="10" t="s">
        <v>1023</v>
      </c>
      <c r="I198" s="10" t="s">
        <v>78</v>
      </c>
      <c r="J198" s="10" t="s">
        <v>79</v>
      </c>
      <c r="K198" s="10" t="s">
        <v>59</v>
      </c>
      <c r="L198" s="7" t="s">
        <v>72</v>
      </c>
      <c r="M198" s="10" t="s">
        <v>60</v>
      </c>
      <c r="N198" s="7" t="s">
        <v>72</v>
      </c>
      <c r="O198" s="8" t="s">
        <v>61</v>
      </c>
      <c r="P198" s="7" t="s">
        <v>269</v>
      </c>
      <c r="Q198" s="11" t="s">
        <v>1024</v>
      </c>
      <c r="R198" s="10" t="s">
        <v>81</v>
      </c>
      <c r="S198" s="10" t="s">
        <v>82</v>
      </c>
      <c r="T198" s="8" t="s">
        <v>62</v>
      </c>
      <c r="U198" s="7"/>
      <c r="V198" s="7" t="s">
        <v>83</v>
      </c>
      <c r="W198" s="8" t="s">
        <v>64</v>
      </c>
      <c r="X198" s="9" t="s">
        <v>1025</v>
      </c>
    </row>
    <row r="199" spans="1:24" s="11" customFormat="1" ht="15.75" x14ac:dyDescent="0.25">
      <c r="A199" s="7" t="s">
        <v>72</v>
      </c>
      <c r="B199" s="8" t="s">
        <v>57</v>
      </c>
      <c r="C199" s="7" t="s">
        <v>68</v>
      </c>
      <c r="D199" s="9" t="str">
        <f>[1]Лист4!A326</f>
        <v>Яковлев  Станислав  Юрьевичке</v>
      </c>
      <c r="E199" s="10" t="s">
        <v>75</v>
      </c>
      <c r="F199" s="10" t="s">
        <v>76</v>
      </c>
      <c r="G199" s="10" t="s">
        <v>58</v>
      </c>
      <c r="H199" s="10" t="s">
        <v>1026</v>
      </c>
      <c r="I199" s="10" t="s">
        <v>78</v>
      </c>
      <c r="J199" s="10" t="s">
        <v>79</v>
      </c>
      <c r="K199" s="10" t="s">
        <v>59</v>
      </c>
      <c r="L199" s="7" t="s">
        <v>72</v>
      </c>
      <c r="M199" s="10" t="s">
        <v>60</v>
      </c>
      <c r="N199" s="7" t="s">
        <v>72</v>
      </c>
      <c r="O199" s="8" t="s">
        <v>61</v>
      </c>
      <c r="P199" s="7" t="s">
        <v>68</v>
      </c>
      <c r="Q199" s="11" t="s">
        <v>1027</v>
      </c>
      <c r="R199" s="10" t="s">
        <v>81</v>
      </c>
      <c r="S199" s="10" t="s">
        <v>82</v>
      </c>
      <c r="T199" s="8" t="s">
        <v>62</v>
      </c>
      <c r="U199" s="7"/>
      <c r="V199" s="7" t="s">
        <v>83</v>
      </c>
      <c r="W199" s="8" t="s">
        <v>64</v>
      </c>
      <c r="X199" s="9" t="s">
        <v>1028</v>
      </c>
    </row>
    <row r="200" spans="1:24" s="11" customFormat="1" ht="15.75" x14ac:dyDescent="0.25">
      <c r="A200" s="7" t="s">
        <v>72</v>
      </c>
      <c r="B200" s="8" t="s">
        <v>57</v>
      </c>
      <c r="C200" s="7" t="s">
        <v>1029</v>
      </c>
      <c r="D200" s="9" t="str">
        <f>[1]Лист4!A328</f>
        <v>Якшиметова  Аяулым  Орынбасарқызына</v>
      </c>
      <c r="E200" s="10" t="s">
        <v>75</v>
      </c>
      <c r="F200" s="10" t="s">
        <v>76</v>
      </c>
      <c r="G200" s="10" t="s">
        <v>58</v>
      </c>
      <c r="H200" s="10" t="s">
        <v>1030</v>
      </c>
      <c r="I200" s="10" t="s">
        <v>78</v>
      </c>
      <c r="J200" s="10" t="s">
        <v>79</v>
      </c>
      <c r="K200" s="10" t="s">
        <v>59</v>
      </c>
      <c r="L200" s="7" t="s">
        <v>72</v>
      </c>
      <c r="M200" s="10" t="s">
        <v>60</v>
      </c>
      <c r="N200" s="7" t="s">
        <v>72</v>
      </c>
      <c r="O200" s="8" t="s">
        <v>61</v>
      </c>
      <c r="P200" s="7" t="s">
        <v>1029</v>
      </c>
      <c r="Q200" s="11" t="s">
        <v>1031</v>
      </c>
      <c r="R200" s="10" t="s">
        <v>81</v>
      </c>
      <c r="S200" s="10" t="s">
        <v>82</v>
      </c>
      <c r="T200" s="8" t="s">
        <v>62</v>
      </c>
      <c r="U200" s="7"/>
      <c r="V200" s="7" t="s">
        <v>83</v>
      </c>
      <c r="W200" s="8" t="s">
        <v>64</v>
      </c>
      <c r="X200" s="9" t="s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"/>
  <sheetViews>
    <sheetView topLeftCell="B161" workbookViewId="0">
      <selection activeCell="M5" sqref="M5:M199"/>
    </sheetView>
  </sheetViews>
  <sheetFormatPr defaultRowHeight="15" x14ac:dyDescent="0.25"/>
  <cols>
    <col min="1" max="1" width="23.42578125" customWidth="1"/>
    <col min="3" max="3" width="21.140625" bestFit="1" customWidth="1"/>
    <col min="6" max="6" width="17" customWidth="1"/>
    <col min="10" max="10" width="16" customWidth="1"/>
    <col min="12" max="12" width="14.28515625" bestFit="1" customWidth="1"/>
    <col min="13" max="13" width="113.42578125" bestFit="1" customWidth="1"/>
  </cols>
  <sheetData>
    <row r="1" spans="1:13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13" x14ac:dyDescent="0.25">
      <c r="A2" t="s">
        <v>431</v>
      </c>
      <c r="B2" t="s">
        <v>1034</v>
      </c>
      <c r="C2" t="s">
        <v>53</v>
      </c>
      <c r="D2" t="s">
        <v>70</v>
      </c>
      <c r="E2" t="s">
        <v>55</v>
      </c>
      <c r="F2" t="s">
        <v>1035</v>
      </c>
      <c r="G2" t="s">
        <v>1036</v>
      </c>
      <c r="H2" t="s">
        <v>71</v>
      </c>
      <c r="I2" t="s">
        <v>56</v>
      </c>
      <c r="J2" t="s">
        <v>1037</v>
      </c>
      <c r="K2" t="s">
        <v>54</v>
      </c>
      <c r="L2" t="s">
        <v>1038</v>
      </c>
      <c r="M2" t="str">
        <f>"https://epvo.kz/#/verification_education_document?iin="&amp;A2&amp;"&amp;diplomaSeries="&amp;I2&amp;"&amp;diplomaNumber="&amp;J2</f>
        <v>https://epvo.kz/#/verification_education_document?iin=040907600483&amp;diplomaSeries=BD&amp;diplomaNumber=00025721425</v>
      </c>
    </row>
    <row r="3" spans="1:13" x14ac:dyDescent="0.25">
      <c r="A3" t="s">
        <v>285</v>
      </c>
      <c r="B3" t="s">
        <v>1039</v>
      </c>
      <c r="C3" t="s">
        <v>53</v>
      </c>
      <c r="D3" t="s">
        <v>70</v>
      </c>
      <c r="E3" t="s">
        <v>55</v>
      </c>
      <c r="F3" t="s">
        <v>1035</v>
      </c>
      <c r="G3" t="s">
        <v>1036</v>
      </c>
      <c r="H3" t="s">
        <v>71</v>
      </c>
      <c r="I3" t="s">
        <v>56</v>
      </c>
      <c r="J3" t="s">
        <v>1040</v>
      </c>
      <c r="K3" t="s">
        <v>54</v>
      </c>
      <c r="L3" t="s">
        <v>1041</v>
      </c>
      <c r="M3" t="str">
        <f t="shared" ref="M3:M66" si="0">"https://epvo.kz/#/verification_education_document?iin="&amp;A3&amp;"&amp;diplomaSeries="&amp;I3&amp;"&amp;diplomaNumber="&amp;J3</f>
        <v>https://epvo.kz/#/verification_education_document?iin=040329601678&amp;diplomaSeries=BD&amp;diplomaNumber=00025695825</v>
      </c>
    </row>
    <row r="4" spans="1:13" x14ac:dyDescent="0.25">
      <c r="A4" t="s">
        <v>281</v>
      </c>
      <c r="B4" t="s">
        <v>1042</v>
      </c>
      <c r="C4" t="s">
        <v>53</v>
      </c>
      <c r="D4" t="s">
        <v>70</v>
      </c>
      <c r="E4" t="s">
        <v>55</v>
      </c>
      <c r="F4" t="s">
        <v>1035</v>
      </c>
      <c r="G4" t="s">
        <v>1036</v>
      </c>
      <c r="H4" t="s">
        <v>71</v>
      </c>
      <c r="I4" t="s">
        <v>56</v>
      </c>
      <c r="J4" t="s">
        <v>1043</v>
      </c>
      <c r="K4" t="s">
        <v>54</v>
      </c>
      <c r="L4" t="s">
        <v>1044</v>
      </c>
      <c r="M4" t="str">
        <f t="shared" si="0"/>
        <v>https://epvo.kz/#/verification_education_document?iin=030704650901&amp;diplomaSeries=BD&amp;diplomaNumber=00025695725</v>
      </c>
    </row>
    <row r="5" spans="1:13" x14ac:dyDescent="0.25">
      <c r="A5" t="s">
        <v>230</v>
      </c>
      <c r="B5" t="s">
        <v>1045</v>
      </c>
      <c r="C5" t="s">
        <v>53</v>
      </c>
      <c r="D5" t="s">
        <v>70</v>
      </c>
      <c r="E5" t="s">
        <v>55</v>
      </c>
      <c r="F5" t="s">
        <v>1035</v>
      </c>
      <c r="G5" t="s">
        <v>1036</v>
      </c>
      <c r="H5" t="s">
        <v>71</v>
      </c>
      <c r="I5" t="s">
        <v>56</v>
      </c>
      <c r="J5" t="s">
        <v>1046</v>
      </c>
      <c r="K5" t="s">
        <v>54</v>
      </c>
      <c r="L5" t="s">
        <v>1044</v>
      </c>
      <c r="M5" t="str">
        <f t="shared" si="0"/>
        <v>https://epvo.kz/#/verification_education_document?iin=020727000255&amp;diplomaSeries=BD&amp;diplomaNumber=00025695625</v>
      </c>
    </row>
    <row r="6" spans="1:13" x14ac:dyDescent="0.25">
      <c r="A6" t="s">
        <v>837</v>
      </c>
      <c r="B6" t="s">
        <v>836</v>
      </c>
      <c r="C6" t="s">
        <v>53</v>
      </c>
      <c r="D6" t="s">
        <v>70</v>
      </c>
      <c r="E6" t="s">
        <v>55</v>
      </c>
      <c r="F6" t="s">
        <v>1035</v>
      </c>
      <c r="G6" t="s">
        <v>1036</v>
      </c>
      <c r="H6" t="s">
        <v>71</v>
      </c>
      <c r="I6" t="s">
        <v>56</v>
      </c>
      <c r="J6" t="s">
        <v>1047</v>
      </c>
      <c r="K6" t="s">
        <v>54</v>
      </c>
      <c r="L6" t="s">
        <v>1044</v>
      </c>
      <c r="M6" t="str">
        <f t="shared" si="0"/>
        <v>https://epvo.kz/#/verification_education_document?iin=021108600439&amp;diplomaSeries=BD&amp;diplomaNumber=00025692325</v>
      </c>
    </row>
    <row r="7" spans="1:13" x14ac:dyDescent="0.25">
      <c r="A7" t="s">
        <v>866</v>
      </c>
      <c r="B7" t="s">
        <v>1048</v>
      </c>
      <c r="C7" t="s">
        <v>53</v>
      </c>
      <c r="D7" t="s">
        <v>70</v>
      </c>
      <c r="E7" t="s">
        <v>55</v>
      </c>
      <c r="F7" t="s">
        <v>1035</v>
      </c>
      <c r="G7" t="s">
        <v>1036</v>
      </c>
      <c r="H7" t="s">
        <v>71</v>
      </c>
      <c r="I7" t="s">
        <v>56</v>
      </c>
      <c r="J7" t="s">
        <v>1049</v>
      </c>
      <c r="K7" t="s">
        <v>54</v>
      </c>
      <c r="L7" t="s">
        <v>1050</v>
      </c>
      <c r="M7" t="str">
        <f t="shared" si="0"/>
        <v>https://epvo.kz/#/verification_education_document?iin=040212601205&amp;diplomaSeries=BD&amp;diplomaNumber=00025692125</v>
      </c>
    </row>
    <row r="8" spans="1:13" x14ac:dyDescent="0.25">
      <c r="A8" t="s">
        <v>650</v>
      </c>
      <c r="B8" t="s">
        <v>1051</v>
      </c>
      <c r="C8" t="s">
        <v>53</v>
      </c>
      <c r="D8" t="s">
        <v>70</v>
      </c>
      <c r="E8" t="s">
        <v>55</v>
      </c>
      <c r="F8" t="s">
        <v>1035</v>
      </c>
      <c r="G8" t="s">
        <v>1036</v>
      </c>
      <c r="H8" t="s">
        <v>71</v>
      </c>
      <c r="I8" t="s">
        <v>56</v>
      </c>
      <c r="J8" t="s">
        <v>1052</v>
      </c>
      <c r="K8" t="s">
        <v>54</v>
      </c>
      <c r="L8" t="s">
        <v>1050</v>
      </c>
      <c r="M8" t="str">
        <f t="shared" si="0"/>
        <v>https://epvo.kz/#/verification_education_document?iin=040517601035&amp;diplomaSeries=BD&amp;diplomaNumber=00025690625</v>
      </c>
    </row>
    <row r="9" spans="1:13" x14ac:dyDescent="0.25">
      <c r="A9" t="s">
        <v>645</v>
      </c>
      <c r="B9" t="s">
        <v>1053</v>
      </c>
      <c r="C9" t="s">
        <v>53</v>
      </c>
      <c r="D9" t="s">
        <v>70</v>
      </c>
      <c r="E9" t="s">
        <v>55</v>
      </c>
      <c r="F9" t="s">
        <v>1035</v>
      </c>
      <c r="G9" t="s">
        <v>1036</v>
      </c>
      <c r="H9" t="s">
        <v>71</v>
      </c>
      <c r="I9" t="s">
        <v>56</v>
      </c>
      <c r="J9" t="s">
        <v>1054</v>
      </c>
      <c r="K9" t="s">
        <v>54</v>
      </c>
      <c r="L9" t="s">
        <v>1050</v>
      </c>
      <c r="M9" t="str">
        <f t="shared" si="0"/>
        <v>https://epvo.kz/#/verification_education_document?iin=031028600199&amp;diplomaSeries=BD&amp;diplomaNumber=00025690325</v>
      </c>
    </row>
    <row r="10" spans="1:13" x14ac:dyDescent="0.25">
      <c r="A10" t="s">
        <v>640</v>
      </c>
      <c r="B10" t="s">
        <v>1055</v>
      </c>
      <c r="C10" t="s">
        <v>53</v>
      </c>
      <c r="D10" t="s">
        <v>70</v>
      </c>
      <c r="E10" t="s">
        <v>55</v>
      </c>
      <c r="F10" t="s">
        <v>1035</v>
      </c>
      <c r="G10" t="s">
        <v>1036</v>
      </c>
      <c r="H10" t="s">
        <v>71</v>
      </c>
      <c r="I10" t="s">
        <v>56</v>
      </c>
      <c r="J10" t="s">
        <v>1056</v>
      </c>
      <c r="K10" t="s">
        <v>54</v>
      </c>
      <c r="L10" t="s">
        <v>1050</v>
      </c>
      <c r="M10" t="str">
        <f t="shared" si="0"/>
        <v>https://epvo.kz/#/verification_education_document?iin=031220600221&amp;diplomaSeries=BD&amp;diplomaNumber=00025690225</v>
      </c>
    </row>
    <row r="11" spans="1:13" x14ac:dyDescent="0.25">
      <c r="A11" t="s">
        <v>590</v>
      </c>
      <c r="B11" t="s">
        <v>1057</v>
      </c>
      <c r="C11" t="s">
        <v>53</v>
      </c>
      <c r="D11" t="s">
        <v>70</v>
      </c>
      <c r="E11" t="s">
        <v>55</v>
      </c>
      <c r="F11" t="s">
        <v>1035</v>
      </c>
      <c r="G11" t="s">
        <v>1036</v>
      </c>
      <c r="H11" t="s">
        <v>71</v>
      </c>
      <c r="I11" t="s">
        <v>56</v>
      </c>
      <c r="J11" t="s">
        <v>1058</v>
      </c>
      <c r="K11" t="s">
        <v>54</v>
      </c>
      <c r="L11" t="s">
        <v>1050</v>
      </c>
      <c r="M11" t="str">
        <f t="shared" si="0"/>
        <v>https://epvo.kz/#/verification_education_document?iin=020309651007&amp;diplomaSeries=BD&amp;diplomaNumber=00025690125</v>
      </c>
    </row>
    <row r="12" spans="1:13" x14ac:dyDescent="0.25">
      <c r="A12" t="s">
        <v>555</v>
      </c>
      <c r="B12" t="s">
        <v>554</v>
      </c>
      <c r="C12" t="s">
        <v>53</v>
      </c>
      <c r="D12" t="s">
        <v>70</v>
      </c>
      <c r="E12" t="s">
        <v>55</v>
      </c>
      <c r="F12" t="s">
        <v>1035</v>
      </c>
      <c r="G12" t="s">
        <v>1036</v>
      </c>
      <c r="H12" t="s">
        <v>71</v>
      </c>
      <c r="I12" t="s">
        <v>56</v>
      </c>
      <c r="J12" t="s">
        <v>1059</v>
      </c>
      <c r="K12" t="s">
        <v>54</v>
      </c>
      <c r="L12" t="s">
        <v>1050</v>
      </c>
      <c r="M12" t="str">
        <f t="shared" si="0"/>
        <v>https://epvo.kz/#/verification_education_document?iin=020225650558&amp;diplomaSeries=BD&amp;diplomaNumber=00025690025</v>
      </c>
    </row>
    <row r="13" spans="1:13" x14ac:dyDescent="0.25">
      <c r="A13" t="s">
        <v>496</v>
      </c>
      <c r="B13" t="s">
        <v>1060</v>
      </c>
      <c r="C13" t="s">
        <v>53</v>
      </c>
      <c r="D13" t="s">
        <v>70</v>
      </c>
      <c r="E13" t="s">
        <v>55</v>
      </c>
      <c r="F13" t="s">
        <v>1035</v>
      </c>
      <c r="G13" t="s">
        <v>1036</v>
      </c>
      <c r="H13" t="s">
        <v>71</v>
      </c>
      <c r="I13" t="s">
        <v>56</v>
      </c>
      <c r="J13" t="s">
        <v>1061</v>
      </c>
      <c r="K13" t="s">
        <v>54</v>
      </c>
      <c r="L13" t="s">
        <v>1062</v>
      </c>
      <c r="M13" t="str">
        <f t="shared" si="0"/>
        <v>https://epvo.kz/#/verification_education_document?iin=040801650295&amp;diplomaSeries=BD&amp;diplomaNumber=00025685625</v>
      </c>
    </row>
    <row r="14" spans="1:13" x14ac:dyDescent="0.25">
      <c r="A14" t="s">
        <v>491</v>
      </c>
      <c r="B14" t="s">
        <v>1063</v>
      </c>
      <c r="C14" t="s">
        <v>53</v>
      </c>
      <c r="D14" t="s">
        <v>70</v>
      </c>
      <c r="E14" t="s">
        <v>55</v>
      </c>
      <c r="F14" t="s">
        <v>1035</v>
      </c>
      <c r="G14" t="s">
        <v>1036</v>
      </c>
      <c r="H14" t="s">
        <v>71</v>
      </c>
      <c r="I14" t="s">
        <v>56</v>
      </c>
      <c r="J14" t="s">
        <v>1064</v>
      </c>
      <c r="K14" t="s">
        <v>54</v>
      </c>
      <c r="L14" t="s">
        <v>1062</v>
      </c>
      <c r="M14" t="str">
        <f t="shared" si="0"/>
        <v>https://epvo.kz/#/verification_education_document?iin=030624650192&amp;diplomaSeries=BD&amp;diplomaNumber=00025685525</v>
      </c>
    </row>
    <row r="15" spans="1:13" x14ac:dyDescent="0.25">
      <c r="A15" t="s">
        <v>426</v>
      </c>
      <c r="B15" t="s">
        <v>1065</v>
      </c>
      <c r="C15" t="s">
        <v>53</v>
      </c>
      <c r="D15" t="s">
        <v>70</v>
      </c>
      <c r="E15" t="s">
        <v>55</v>
      </c>
      <c r="F15" t="s">
        <v>1035</v>
      </c>
      <c r="G15" t="s">
        <v>1036</v>
      </c>
      <c r="H15" t="s">
        <v>71</v>
      </c>
      <c r="I15" t="s">
        <v>56</v>
      </c>
      <c r="J15" t="s">
        <v>1066</v>
      </c>
      <c r="K15" t="s">
        <v>54</v>
      </c>
      <c r="L15" t="s">
        <v>1067</v>
      </c>
      <c r="M15" t="str">
        <f t="shared" si="0"/>
        <v>https://epvo.kz/#/verification_education_document?iin=040920551680&amp;diplomaSeries=BD&amp;diplomaNumber=00025684725</v>
      </c>
    </row>
    <row r="16" spans="1:13" x14ac:dyDescent="0.25">
      <c r="A16" t="s">
        <v>1032</v>
      </c>
      <c r="B16" t="s">
        <v>1068</v>
      </c>
      <c r="C16" t="s">
        <v>53</v>
      </c>
      <c r="D16" t="s">
        <v>70</v>
      </c>
      <c r="E16" t="s">
        <v>55</v>
      </c>
      <c r="F16" t="s">
        <v>1035</v>
      </c>
      <c r="G16" t="s">
        <v>1036</v>
      </c>
      <c r="H16" t="s">
        <v>71</v>
      </c>
      <c r="I16" t="s">
        <v>56</v>
      </c>
      <c r="J16" t="s">
        <v>1069</v>
      </c>
      <c r="K16" t="s">
        <v>54</v>
      </c>
      <c r="L16" t="s">
        <v>1070</v>
      </c>
      <c r="M16" t="str">
        <f t="shared" si="0"/>
        <v>https://epvo.kz/#/verification_education_document?iin=040706601667&amp;diplomaSeries=BD&amp;diplomaNumber=00025681725</v>
      </c>
    </row>
    <row r="17" spans="1:13" x14ac:dyDescent="0.25">
      <c r="A17" t="s">
        <v>1028</v>
      </c>
      <c r="B17" t="s">
        <v>1071</v>
      </c>
      <c r="C17" t="s">
        <v>53</v>
      </c>
      <c r="D17" t="s">
        <v>70</v>
      </c>
      <c r="E17" t="s">
        <v>55</v>
      </c>
      <c r="F17" t="s">
        <v>1035</v>
      </c>
      <c r="G17" t="s">
        <v>1036</v>
      </c>
      <c r="H17" t="s">
        <v>71</v>
      </c>
      <c r="I17" t="s">
        <v>56</v>
      </c>
      <c r="J17" t="s">
        <v>1072</v>
      </c>
      <c r="K17" t="s">
        <v>54</v>
      </c>
      <c r="L17" t="s">
        <v>1070</v>
      </c>
      <c r="M17" t="str">
        <f t="shared" si="0"/>
        <v>https://epvo.kz/#/verification_education_document?iin=020724551384&amp;diplomaSeries=BD&amp;diplomaNumber=00025681425</v>
      </c>
    </row>
    <row r="18" spans="1:13" x14ac:dyDescent="0.25">
      <c r="A18" t="s">
        <v>1025</v>
      </c>
      <c r="B18" t="s">
        <v>1073</v>
      </c>
      <c r="C18" t="s">
        <v>53</v>
      </c>
      <c r="D18" t="s">
        <v>70</v>
      </c>
      <c r="E18" t="s">
        <v>55</v>
      </c>
      <c r="F18" t="s">
        <v>1035</v>
      </c>
      <c r="G18" t="s">
        <v>1036</v>
      </c>
      <c r="H18" t="s">
        <v>71</v>
      </c>
      <c r="I18" t="s">
        <v>56</v>
      </c>
      <c r="J18" t="s">
        <v>1074</v>
      </c>
      <c r="K18" t="s">
        <v>54</v>
      </c>
      <c r="L18" t="s">
        <v>1070</v>
      </c>
      <c r="M18" t="str">
        <f t="shared" si="0"/>
        <v>https://epvo.kz/#/verification_education_document?iin=030212601719&amp;diplomaSeries=BD&amp;diplomaNumber=00025681225</v>
      </c>
    </row>
    <row r="19" spans="1:13" x14ac:dyDescent="0.25">
      <c r="A19" t="s">
        <v>1022</v>
      </c>
      <c r="B19" t="s">
        <v>1075</v>
      </c>
      <c r="C19" t="s">
        <v>53</v>
      </c>
      <c r="D19" t="s">
        <v>70</v>
      </c>
      <c r="E19" t="s">
        <v>55</v>
      </c>
      <c r="F19" t="s">
        <v>1035</v>
      </c>
      <c r="G19" t="s">
        <v>1036</v>
      </c>
      <c r="H19" t="s">
        <v>71</v>
      </c>
      <c r="I19" t="s">
        <v>56</v>
      </c>
      <c r="J19" t="s">
        <v>1076</v>
      </c>
      <c r="K19" t="s">
        <v>54</v>
      </c>
      <c r="L19" t="s">
        <v>1070</v>
      </c>
      <c r="M19" t="str">
        <f t="shared" si="0"/>
        <v>https://epvo.kz/#/verification_education_document?iin=030520500858&amp;diplomaSeries=BD&amp;diplomaNumber=00025680725</v>
      </c>
    </row>
    <row r="20" spans="1:13" x14ac:dyDescent="0.25">
      <c r="A20" t="s">
        <v>1017</v>
      </c>
      <c r="B20" t="s">
        <v>1077</v>
      </c>
      <c r="C20" t="s">
        <v>53</v>
      </c>
      <c r="D20" t="s">
        <v>70</v>
      </c>
      <c r="E20" t="s">
        <v>55</v>
      </c>
      <c r="F20" t="s">
        <v>1035</v>
      </c>
      <c r="G20" t="s">
        <v>1036</v>
      </c>
      <c r="H20" t="s">
        <v>71</v>
      </c>
      <c r="I20" t="s">
        <v>56</v>
      </c>
      <c r="J20" t="s">
        <v>1078</v>
      </c>
      <c r="K20" t="s">
        <v>54</v>
      </c>
      <c r="L20" t="s">
        <v>1070</v>
      </c>
      <c r="M20" t="str">
        <f t="shared" si="0"/>
        <v>https://epvo.kz/#/verification_education_document?iin=030727601682&amp;diplomaSeries=BD&amp;diplomaNumber=00025680525</v>
      </c>
    </row>
    <row r="21" spans="1:13" x14ac:dyDescent="0.25">
      <c r="A21" t="s">
        <v>1013</v>
      </c>
      <c r="B21" t="s">
        <v>1079</v>
      </c>
      <c r="C21" t="s">
        <v>53</v>
      </c>
      <c r="D21" t="s">
        <v>70</v>
      </c>
      <c r="E21" t="s">
        <v>55</v>
      </c>
      <c r="F21" t="s">
        <v>1035</v>
      </c>
      <c r="G21" t="s">
        <v>1036</v>
      </c>
      <c r="H21" t="s">
        <v>71</v>
      </c>
      <c r="I21" t="s">
        <v>56</v>
      </c>
      <c r="J21" t="s">
        <v>1080</v>
      </c>
      <c r="K21" t="s">
        <v>54</v>
      </c>
      <c r="L21" t="s">
        <v>1070</v>
      </c>
      <c r="M21" t="str">
        <f t="shared" si="0"/>
        <v>https://epvo.kz/#/verification_education_document?iin=040409601266&amp;diplomaSeries=BD&amp;diplomaNumber=00025680425</v>
      </c>
    </row>
    <row r="22" spans="1:13" x14ac:dyDescent="0.25">
      <c r="A22" t="s">
        <v>1008</v>
      </c>
      <c r="B22" t="s">
        <v>1081</v>
      </c>
      <c r="C22" t="s">
        <v>53</v>
      </c>
      <c r="D22" t="s">
        <v>70</v>
      </c>
      <c r="E22" t="s">
        <v>55</v>
      </c>
      <c r="F22" t="s">
        <v>1035</v>
      </c>
      <c r="G22" t="s">
        <v>1036</v>
      </c>
      <c r="H22" t="s">
        <v>71</v>
      </c>
      <c r="I22" t="s">
        <v>56</v>
      </c>
      <c r="J22" t="s">
        <v>1082</v>
      </c>
      <c r="K22" t="s">
        <v>54</v>
      </c>
      <c r="L22" t="s">
        <v>1070</v>
      </c>
      <c r="M22" t="str">
        <f t="shared" si="0"/>
        <v>https://epvo.kz/#/verification_education_document?iin=040520550767&amp;diplomaSeries=BD&amp;diplomaNumber=00025680325</v>
      </c>
    </row>
    <row r="23" spans="1:13" x14ac:dyDescent="0.25">
      <c r="A23" t="s">
        <v>1003</v>
      </c>
      <c r="B23" t="s">
        <v>1083</v>
      </c>
      <c r="C23" t="s">
        <v>53</v>
      </c>
      <c r="D23" t="s">
        <v>70</v>
      </c>
      <c r="E23" t="s">
        <v>55</v>
      </c>
      <c r="F23" t="s">
        <v>1035</v>
      </c>
      <c r="G23" t="s">
        <v>1036</v>
      </c>
      <c r="H23" t="s">
        <v>71</v>
      </c>
      <c r="I23" t="s">
        <v>56</v>
      </c>
      <c r="J23" t="s">
        <v>1084</v>
      </c>
      <c r="K23" t="s">
        <v>54</v>
      </c>
      <c r="L23" t="s">
        <v>1070</v>
      </c>
      <c r="M23" t="str">
        <f t="shared" si="0"/>
        <v>https://epvo.kz/#/verification_education_document?iin=031021650335&amp;diplomaSeries=BD&amp;diplomaNumber=00025680225</v>
      </c>
    </row>
    <row r="24" spans="1:13" x14ac:dyDescent="0.25">
      <c r="A24" t="s">
        <v>998</v>
      </c>
      <c r="B24" t="s">
        <v>1085</v>
      </c>
      <c r="C24" t="s">
        <v>53</v>
      </c>
      <c r="D24" t="s">
        <v>70</v>
      </c>
      <c r="E24" t="s">
        <v>55</v>
      </c>
      <c r="F24" t="s">
        <v>1035</v>
      </c>
      <c r="G24" t="s">
        <v>1036</v>
      </c>
      <c r="H24" t="s">
        <v>71</v>
      </c>
      <c r="I24" t="s">
        <v>56</v>
      </c>
      <c r="J24" t="s">
        <v>1086</v>
      </c>
      <c r="K24" t="s">
        <v>54</v>
      </c>
      <c r="L24" t="s">
        <v>1070</v>
      </c>
      <c r="M24" t="str">
        <f t="shared" si="0"/>
        <v>https://epvo.kz/#/verification_education_document?iin=041008650306&amp;diplomaSeries=BD&amp;diplomaNumber=00025680025</v>
      </c>
    </row>
    <row r="25" spans="1:13" x14ac:dyDescent="0.25">
      <c r="A25" t="s">
        <v>994</v>
      </c>
      <c r="B25" t="s">
        <v>1087</v>
      </c>
      <c r="C25" t="s">
        <v>53</v>
      </c>
      <c r="D25" t="s">
        <v>70</v>
      </c>
      <c r="E25" t="s">
        <v>55</v>
      </c>
      <c r="F25" t="s">
        <v>1035</v>
      </c>
      <c r="G25" t="s">
        <v>1036</v>
      </c>
      <c r="H25" t="s">
        <v>71</v>
      </c>
      <c r="I25" t="s">
        <v>56</v>
      </c>
      <c r="J25" t="s">
        <v>1088</v>
      </c>
      <c r="K25" t="s">
        <v>54</v>
      </c>
      <c r="L25" t="s">
        <v>1070</v>
      </c>
      <c r="M25" t="str">
        <f t="shared" si="0"/>
        <v>https://epvo.kz/#/verification_education_document?iin=040322650935&amp;diplomaSeries=BD&amp;diplomaNumber=00025679925</v>
      </c>
    </row>
    <row r="26" spans="1:13" x14ac:dyDescent="0.25">
      <c r="A26" t="s">
        <v>989</v>
      </c>
      <c r="B26" t="s">
        <v>1089</v>
      </c>
      <c r="C26" t="s">
        <v>53</v>
      </c>
      <c r="D26" t="s">
        <v>70</v>
      </c>
      <c r="E26" t="s">
        <v>55</v>
      </c>
      <c r="F26" t="s">
        <v>1035</v>
      </c>
      <c r="G26" t="s">
        <v>1036</v>
      </c>
      <c r="H26" t="s">
        <v>71</v>
      </c>
      <c r="I26" t="s">
        <v>56</v>
      </c>
      <c r="J26" t="s">
        <v>1090</v>
      </c>
      <c r="K26" t="s">
        <v>54</v>
      </c>
      <c r="L26" t="s">
        <v>1091</v>
      </c>
      <c r="M26" t="str">
        <f t="shared" si="0"/>
        <v>https://epvo.kz/#/verification_education_document?iin=041017650583&amp;diplomaSeries=BD&amp;diplomaNumber=00025677925</v>
      </c>
    </row>
    <row r="27" spans="1:13" x14ac:dyDescent="0.25">
      <c r="A27" t="s">
        <v>984</v>
      </c>
      <c r="B27" t="s">
        <v>1092</v>
      </c>
      <c r="C27" t="s">
        <v>53</v>
      </c>
      <c r="D27" t="s">
        <v>70</v>
      </c>
      <c r="E27" t="s">
        <v>55</v>
      </c>
      <c r="F27" t="s">
        <v>1035</v>
      </c>
      <c r="G27" t="s">
        <v>1036</v>
      </c>
      <c r="H27" t="s">
        <v>71</v>
      </c>
      <c r="I27" t="s">
        <v>56</v>
      </c>
      <c r="J27" t="s">
        <v>1093</v>
      </c>
      <c r="K27" t="s">
        <v>54</v>
      </c>
      <c r="L27" t="s">
        <v>1091</v>
      </c>
      <c r="M27" t="str">
        <f t="shared" si="0"/>
        <v>https://epvo.kz/#/verification_education_document?iin=960703352023&amp;diplomaSeries=BD&amp;diplomaNumber=00025677825</v>
      </c>
    </row>
    <row r="28" spans="1:13" x14ac:dyDescent="0.25">
      <c r="A28" t="s">
        <v>980</v>
      </c>
      <c r="B28" t="s">
        <v>1094</v>
      </c>
      <c r="C28" t="s">
        <v>53</v>
      </c>
      <c r="D28" t="s">
        <v>70</v>
      </c>
      <c r="E28" t="s">
        <v>55</v>
      </c>
      <c r="F28" t="s">
        <v>1035</v>
      </c>
      <c r="G28" t="s">
        <v>1036</v>
      </c>
      <c r="H28" t="s">
        <v>71</v>
      </c>
      <c r="I28" t="s">
        <v>56</v>
      </c>
      <c r="J28" t="s">
        <v>1095</v>
      </c>
      <c r="K28" t="s">
        <v>54</v>
      </c>
      <c r="L28" t="s">
        <v>1091</v>
      </c>
      <c r="M28" t="str">
        <f t="shared" si="0"/>
        <v>https://epvo.kz/#/verification_education_document?iin=030825500777&amp;diplomaSeries=BD&amp;diplomaNumber=00025677625</v>
      </c>
    </row>
    <row r="29" spans="1:13" x14ac:dyDescent="0.25">
      <c r="A29" t="s">
        <v>975</v>
      </c>
      <c r="B29" t="s">
        <v>1096</v>
      </c>
      <c r="C29" t="s">
        <v>53</v>
      </c>
      <c r="D29" t="s">
        <v>70</v>
      </c>
      <c r="E29" t="s">
        <v>55</v>
      </c>
      <c r="F29" t="s">
        <v>1035</v>
      </c>
      <c r="G29" t="s">
        <v>1036</v>
      </c>
      <c r="H29" t="s">
        <v>71</v>
      </c>
      <c r="I29" t="s">
        <v>56</v>
      </c>
      <c r="J29" t="s">
        <v>1097</v>
      </c>
      <c r="K29" t="s">
        <v>54</v>
      </c>
      <c r="L29" t="s">
        <v>1091</v>
      </c>
      <c r="M29" t="str">
        <f t="shared" si="0"/>
        <v>https://epvo.kz/#/verification_education_document?iin=040508600682&amp;diplomaSeries=BD&amp;diplomaNumber=00025677525</v>
      </c>
    </row>
    <row r="30" spans="1:13" x14ac:dyDescent="0.25">
      <c r="A30" t="s">
        <v>970</v>
      </c>
      <c r="B30" t="s">
        <v>1098</v>
      </c>
      <c r="C30" t="s">
        <v>53</v>
      </c>
      <c r="D30" t="s">
        <v>70</v>
      </c>
      <c r="E30" t="s">
        <v>55</v>
      </c>
      <c r="F30" t="s">
        <v>1035</v>
      </c>
      <c r="G30" t="s">
        <v>1036</v>
      </c>
      <c r="H30" t="s">
        <v>71</v>
      </c>
      <c r="I30" t="s">
        <v>56</v>
      </c>
      <c r="J30" t="s">
        <v>1099</v>
      </c>
      <c r="K30" t="s">
        <v>54</v>
      </c>
      <c r="L30" t="s">
        <v>1091</v>
      </c>
      <c r="M30" t="str">
        <f t="shared" si="0"/>
        <v>https://epvo.kz/#/verification_education_document?iin=040530600922&amp;diplomaSeries=BD&amp;diplomaNumber=00025677425</v>
      </c>
    </row>
    <row r="31" spans="1:13" x14ac:dyDescent="0.25">
      <c r="A31" t="s">
        <v>965</v>
      </c>
      <c r="B31" t="s">
        <v>1100</v>
      </c>
      <c r="C31" t="s">
        <v>53</v>
      </c>
      <c r="D31" t="s">
        <v>70</v>
      </c>
      <c r="E31" t="s">
        <v>55</v>
      </c>
      <c r="F31" t="s">
        <v>1035</v>
      </c>
      <c r="G31" t="s">
        <v>1036</v>
      </c>
      <c r="H31" t="s">
        <v>71</v>
      </c>
      <c r="I31" t="s">
        <v>56</v>
      </c>
      <c r="J31" t="s">
        <v>1101</v>
      </c>
      <c r="K31" t="s">
        <v>54</v>
      </c>
      <c r="L31" t="s">
        <v>1091</v>
      </c>
      <c r="M31" t="str">
        <f t="shared" si="0"/>
        <v>https://epvo.kz/#/verification_education_document?iin=030606600752&amp;diplomaSeries=BD&amp;diplomaNumber=00025677325</v>
      </c>
    </row>
    <row r="32" spans="1:13" x14ac:dyDescent="0.25">
      <c r="A32" t="s">
        <v>960</v>
      </c>
      <c r="B32" t="s">
        <v>1102</v>
      </c>
      <c r="C32" t="s">
        <v>53</v>
      </c>
      <c r="D32" t="s">
        <v>70</v>
      </c>
      <c r="E32" t="s">
        <v>55</v>
      </c>
      <c r="F32" t="s">
        <v>1035</v>
      </c>
      <c r="G32" t="s">
        <v>1036</v>
      </c>
      <c r="H32" t="s">
        <v>71</v>
      </c>
      <c r="I32" t="s">
        <v>56</v>
      </c>
      <c r="J32" t="s">
        <v>1103</v>
      </c>
      <c r="K32" t="s">
        <v>54</v>
      </c>
      <c r="L32" t="s">
        <v>1091</v>
      </c>
      <c r="M32" t="str">
        <f t="shared" si="0"/>
        <v>https://epvo.kz/#/verification_education_document?iin=040415600578&amp;diplomaSeries=BD&amp;diplomaNumber=00025677225</v>
      </c>
    </row>
    <row r="33" spans="1:13" x14ac:dyDescent="0.25">
      <c r="A33" t="s">
        <v>955</v>
      </c>
      <c r="B33" t="s">
        <v>1104</v>
      </c>
      <c r="C33" t="s">
        <v>53</v>
      </c>
      <c r="D33" t="s">
        <v>70</v>
      </c>
      <c r="E33" t="s">
        <v>55</v>
      </c>
      <c r="F33" t="s">
        <v>1035</v>
      </c>
      <c r="G33" t="s">
        <v>1036</v>
      </c>
      <c r="H33" t="s">
        <v>71</v>
      </c>
      <c r="I33" t="s">
        <v>56</v>
      </c>
      <c r="J33" t="s">
        <v>1105</v>
      </c>
      <c r="K33" t="s">
        <v>54</v>
      </c>
      <c r="L33" t="s">
        <v>1091</v>
      </c>
      <c r="M33" t="str">
        <f t="shared" si="0"/>
        <v>https://epvo.kz/#/verification_education_document?iin=040612500463&amp;diplomaSeries=BD&amp;diplomaNumber=00025677125</v>
      </c>
    </row>
    <row r="34" spans="1:13" x14ac:dyDescent="0.25">
      <c r="A34" t="s">
        <v>950</v>
      </c>
      <c r="B34" t="s">
        <v>1106</v>
      </c>
      <c r="C34" t="s">
        <v>53</v>
      </c>
      <c r="D34" t="s">
        <v>70</v>
      </c>
      <c r="E34" t="s">
        <v>55</v>
      </c>
      <c r="F34" t="s">
        <v>1035</v>
      </c>
      <c r="G34" t="s">
        <v>1036</v>
      </c>
      <c r="H34" t="s">
        <v>71</v>
      </c>
      <c r="I34" t="s">
        <v>56</v>
      </c>
      <c r="J34" t="s">
        <v>1107</v>
      </c>
      <c r="K34" t="s">
        <v>54</v>
      </c>
      <c r="L34" t="s">
        <v>1091</v>
      </c>
      <c r="M34" t="str">
        <f t="shared" si="0"/>
        <v>https://epvo.kz/#/verification_education_document?iin=040113600171&amp;diplomaSeries=BD&amp;diplomaNumber=00025677025</v>
      </c>
    </row>
    <row r="35" spans="1:13" x14ac:dyDescent="0.25">
      <c r="A35" t="s">
        <v>946</v>
      </c>
      <c r="B35" t="s">
        <v>1108</v>
      </c>
      <c r="C35" t="s">
        <v>53</v>
      </c>
      <c r="D35" t="s">
        <v>70</v>
      </c>
      <c r="E35" t="s">
        <v>55</v>
      </c>
      <c r="F35" t="s">
        <v>1035</v>
      </c>
      <c r="G35" t="s">
        <v>1036</v>
      </c>
      <c r="H35" t="s">
        <v>71</v>
      </c>
      <c r="I35" t="s">
        <v>56</v>
      </c>
      <c r="J35" t="s">
        <v>1109</v>
      </c>
      <c r="K35" t="s">
        <v>54</v>
      </c>
      <c r="L35" t="s">
        <v>1110</v>
      </c>
      <c r="M35" t="str">
        <f t="shared" si="0"/>
        <v>https://epvo.kz/#/verification_education_document?iin=040110601141&amp;diplomaSeries=BD&amp;diplomaNumber=00025671025</v>
      </c>
    </row>
    <row r="36" spans="1:13" x14ac:dyDescent="0.25">
      <c r="A36" t="s">
        <v>942</v>
      </c>
      <c r="B36" t="s">
        <v>1111</v>
      </c>
      <c r="C36" t="s">
        <v>53</v>
      </c>
      <c r="D36" t="s">
        <v>70</v>
      </c>
      <c r="E36" t="s">
        <v>55</v>
      </c>
      <c r="F36" t="s">
        <v>1035</v>
      </c>
      <c r="G36" t="s">
        <v>1036</v>
      </c>
      <c r="H36" t="s">
        <v>71</v>
      </c>
      <c r="I36" t="s">
        <v>56</v>
      </c>
      <c r="J36" t="s">
        <v>1112</v>
      </c>
      <c r="K36" t="s">
        <v>54</v>
      </c>
      <c r="L36" t="s">
        <v>1110</v>
      </c>
      <c r="M36" t="str">
        <f t="shared" si="0"/>
        <v>https://epvo.kz/#/verification_education_document?iin=040321601456&amp;diplomaSeries=BD&amp;diplomaNumber=00025670125</v>
      </c>
    </row>
    <row r="37" spans="1:13" x14ac:dyDescent="0.25">
      <c r="A37" t="s">
        <v>937</v>
      </c>
      <c r="B37" t="s">
        <v>1113</v>
      </c>
      <c r="C37" t="s">
        <v>53</v>
      </c>
      <c r="D37" t="s">
        <v>70</v>
      </c>
      <c r="E37" t="s">
        <v>55</v>
      </c>
      <c r="F37" t="s">
        <v>1035</v>
      </c>
      <c r="G37" t="s">
        <v>1036</v>
      </c>
      <c r="H37" t="s">
        <v>71</v>
      </c>
      <c r="I37" t="s">
        <v>56</v>
      </c>
      <c r="J37" t="s">
        <v>1114</v>
      </c>
      <c r="K37" t="s">
        <v>54</v>
      </c>
      <c r="L37" t="s">
        <v>1110</v>
      </c>
      <c r="M37" t="str">
        <f t="shared" si="0"/>
        <v>https://epvo.kz/#/verification_education_document?iin=040420600169&amp;diplomaSeries=BD&amp;diplomaNumber=00025669725</v>
      </c>
    </row>
    <row r="38" spans="1:13" x14ac:dyDescent="0.25">
      <c r="A38" t="s">
        <v>933</v>
      </c>
      <c r="B38" t="s">
        <v>1115</v>
      </c>
      <c r="C38" t="s">
        <v>53</v>
      </c>
      <c r="D38" t="s">
        <v>70</v>
      </c>
      <c r="E38" t="s">
        <v>55</v>
      </c>
      <c r="F38" t="s">
        <v>1035</v>
      </c>
      <c r="G38" t="s">
        <v>1036</v>
      </c>
      <c r="H38" t="s">
        <v>71</v>
      </c>
      <c r="I38" t="s">
        <v>56</v>
      </c>
      <c r="J38" t="s">
        <v>1116</v>
      </c>
      <c r="K38" t="s">
        <v>54</v>
      </c>
      <c r="L38" t="s">
        <v>1110</v>
      </c>
      <c r="M38" t="str">
        <f t="shared" si="0"/>
        <v>https://epvo.kz/#/verification_education_document?iin=041203600677&amp;diplomaSeries=BD&amp;diplomaNumber=00025669625</v>
      </c>
    </row>
    <row r="39" spans="1:13" x14ac:dyDescent="0.25">
      <c r="A39" t="s">
        <v>928</v>
      </c>
      <c r="B39" t="s">
        <v>1117</v>
      </c>
      <c r="C39" t="s">
        <v>53</v>
      </c>
      <c r="D39" t="s">
        <v>70</v>
      </c>
      <c r="E39" t="s">
        <v>55</v>
      </c>
      <c r="F39" t="s">
        <v>1035</v>
      </c>
      <c r="G39" t="s">
        <v>1036</v>
      </c>
      <c r="H39" t="s">
        <v>71</v>
      </c>
      <c r="I39" t="s">
        <v>56</v>
      </c>
      <c r="J39" t="s">
        <v>1118</v>
      </c>
      <c r="K39" t="s">
        <v>54</v>
      </c>
      <c r="L39" t="s">
        <v>1110</v>
      </c>
      <c r="M39" t="str">
        <f t="shared" si="0"/>
        <v>https://epvo.kz/#/verification_education_document?iin=040618650396&amp;diplomaSeries=BD&amp;diplomaNumber=00025669525</v>
      </c>
    </row>
    <row r="40" spans="1:13" x14ac:dyDescent="0.25">
      <c r="A40" t="s">
        <v>924</v>
      </c>
      <c r="B40" t="s">
        <v>1119</v>
      </c>
      <c r="C40" t="s">
        <v>53</v>
      </c>
      <c r="D40" t="s">
        <v>70</v>
      </c>
      <c r="E40" t="s">
        <v>55</v>
      </c>
      <c r="F40" t="s">
        <v>1035</v>
      </c>
      <c r="G40" t="s">
        <v>1036</v>
      </c>
      <c r="H40" t="s">
        <v>71</v>
      </c>
      <c r="I40" t="s">
        <v>56</v>
      </c>
      <c r="J40" t="s">
        <v>1120</v>
      </c>
      <c r="K40" t="s">
        <v>54</v>
      </c>
      <c r="L40" t="s">
        <v>1110</v>
      </c>
      <c r="M40" t="str">
        <f t="shared" si="0"/>
        <v>https://epvo.kz/#/verification_education_document?iin=031213650170&amp;diplomaSeries=BD&amp;diplomaNumber=00025669425</v>
      </c>
    </row>
    <row r="41" spans="1:13" x14ac:dyDescent="0.25">
      <c r="A41" t="s">
        <v>919</v>
      </c>
      <c r="B41" t="s">
        <v>1121</v>
      </c>
      <c r="C41" t="s">
        <v>53</v>
      </c>
      <c r="D41" t="s">
        <v>70</v>
      </c>
      <c r="E41" t="s">
        <v>55</v>
      </c>
      <c r="F41" t="s">
        <v>1035</v>
      </c>
      <c r="G41" t="s">
        <v>1036</v>
      </c>
      <c r="H41" t="s">
        <v>71</v>
      </c>
      <c r="I41" t="s">
        <v>56</v>
      </c>
      <c r="J41" t="s">
        <v>1122</v>
      </c>
      <c r="K41" t="s">
        <v>54</v>
      </c>
      <c r="L41" t="s">
        <v>1110</v>
      </c>
      <c r="M41" t="str">
        <f t="shared" si="0"/>
        <v>https://epvo.kz/#/verification_education_document?iin=030710601489&amp;diplomaSeries=BD&amp;diplomaNumber=00025669325</v>
      </c>
    </row>
    <row r="42" spans="1:13" x14ac:dyDescent="0.25">
      <c r="A42" t="s">
        <v>914</v>
      </c>
      <c r="B42" t="s">
        <v>1123</v>
      </c>
      <c r="C42" t="s">
        <v>53</v>
      </c>
      <c r="D42" t="s">
        <v>70</v>
      </c>
      <c r="E42" t="s">
        <v>55</v>
      </c>
      <c r="F42" t="s">
        <v>1035</v>
      </c>
      <c r="G42" t="s">
        <v>1036</v>
      </c>
      <c r="H42" t="s">
        <v>71</v>
      </c>
      <c r="I42" t="s">
        <v>56</v>
      </c>
      <c r="J42" t="s">
        <v>1124</v>
      </c>
      <c r="K42" t="s">
        <v>54</v>
      </c>
      <c r="L42" t="s">
        <v>1110</v>
      </c>
      <c r="M42" t="str">
        <f t="shared" si="0"/>
        <v>https://epvo.kz/#/verification_education_document?iin=040730651056&amp;diplomaSeries=BD&amp;diplomaNumber=00025669225</v>
      </c>
    </row>
    <row r="43" spans="1:13" x14ac:dyDescent="0.25">
      <c r="A43" t="s">
        <v>909</v>
      </c>
      <c r="B43" t="s">
        <v>1125</v>
      </c>
      <c r="C43" t="s">
        <v>53</v>
      </c>
      <c r="D43" t="s">
        <v>70</v>
      </c>
      <c r="E43" t="s">
        <v>55</v>
      </c>
      <c r="F43" t="s">
        <v>1035</v>
      </c>
      <c r="G43" t="s">
        <v>1036</v>
      </c>
      <c r="H43" t="s">
        <v>71</v>
      </c>
      <c r="I43" t="s">
        <v>56</v>
      </c>
      <c r="J43" t="s">
        <v>1126</v>
      </c>
      <c r="K43" t="s">
        <v>54</v>
      </c>
      <c r="L43" t="s">
        <v>1110</v>
      </c>
      <c r="M43" t="str">
        <f t="shared" si="0"/>
        <v>https://epvo.kz/#/verification_education_document?iin=040410600759&amp;diplomaSeries=BD&amp;diplomaNumber=00025669125</v>
      </c>
    </row>
    <row r="44" spans="1:13" x14ac:dyDescent="0.25">
      <c r="A44" t="s">
        <v>904</v>
      </c>
      <c r="B44" t="s">
        <v>1127</v>
      </c>
      <c r="C44" t="s">
        <v>53</v>
      </c>
      <c r="D44" t="s">
        <v>70</v>
      </c>
      <c r="E44" t="s">
        <v>55</v>
      </c>
      <c r="F44" t="s">
        <v>1035</v>
      </c>
      <c r="G44" t="s">
        <v>1036</v>
      </c>
      <c r="H44" t="s">
        <v>71</v>
      </c>
      <c r="I44" t="s">
        <v>56</v>
      </c>
      <c r="J44" t="s">
        <v>1128</v>
      </c>
      <c r="K44" t="s">
        <v>54</v>
      </c>
      <c r="L44" t="s">
        <v>1110</v>
      </c>
      <c r="M44" t="str">
        <f t="shared" si="0"/>
        <v>https://epvo.kz/#/verification_education_document?iin=040409601672&amp;diplomaSeries=BD&amp;diplomaNumber=00025669025</v>
      </c>
    </row>
    <row r="45" spans="1:13" x14ac:dyDescent="0.25">
      <c r="A45" t="s">
        <v>899</v>
      </c>
      <c r="B45" t="s">
        <v>1129</v>
      </c>
      <c r="C45" t="s">
        <v>53</v>
      </c>
      <c r="D45" t="s">
        <v>70</v>
      </c>
      <c r="E45" t="s">
        <v>55</v>
      </c>
      <c r="F45" t="s">
        <v>1035</v>
      </c>
      <c r="G45" t="s">
        <v>1036</v>
      </c>
      <c r="H45" t="s">
        <v>71</v>
      </c>
      <c r="I45" t="s">
        <v>56</v>
      </c>
      <c r="J45" t="s">
        <v>1130</v>
      </c>
      <c r="K45" t="s">
        <v>54</v>
      </c>
      <c r="L45" t="s">
        <v>1110</v>
      </c>
      <c r="M45" t="str">
        <f t="shared" si="0"/>
        <v>https://epvo.kz/#/verification_education_document?iin=031123650954&amp;diplomaSeries=BD&amp;diplomaNumber=00025668925</v>
      </c>
    </row>
    <row r="46" spans="1:13" x14ac:dyDescent="0.25">
      <c r="A46" t="s">
        <v>895</v>
      </c>
      <c r="B46" t="s">
        <v>1131</v>
      </c>
      <c r="C46" t="s">
        <v>53</v>
      </c>
      <c r="D46" t="s">
        <v>70</v>
      </c>
      <c r="E46" t="s">
        <v>55</v>
      </c>
      <c r="F46" t="s">
        <v>1035</v>
      </c>
      <c r="G46" t="s">
        <v>1036</v>
      </c>
      <c r="H46" t="s">
        <v>71</v>
      </c>
      <c r="I46" t="s">
        <v>56</v>
      </c>
      <c r="J46" t="s">
        <v>1132</v>
      </c>
      <c r="K46" t="s">
        <v>54</v>
      </c>
      <c r="L46" t="s">
        <v>1110</v>
      </c>
      <c r="M46" t="str">
        <f t="shared" si="0"/>
        <v>https://epvo.kz/#/verification_education_document?iin=031203501419&amp;diplomaSeries=BD&amp;diplomaNumber=00025668825</v>
      </c>
    </row>
    <row r="47" spans="1:13" x14ac:dyDescent="0.25">
      <c r="A47" t="s">
        <v>890</v>
      </c>
      <c r="B47" t="s">
        <v>1133</v>
      </c>
      <c r="C47" t="s">
        <v>53</v>
      </c>
      <c r="D47" t="s">
        <v>70</v>
      </c>
      <c r="E47" t="s">
        <v>55</v>
      </c>
      <c r="F47" t="s">
        <v>1035</v>
      </c>
      <c r="G47" t="s">
        <v>1036</v>
      </c>
      <c r="H47" t="s">
        <v>71</v>
      </c>
      <c r="I47" t="s">
        <v>56</v>
      </c>
      <c r="J47" t="s">
        <v>1134</v>
      </c>
      <c r="K47" t="s">
        <v>54</v>
      </c>
      <c r="L47" t="s">
        <v>1110</v>
      </c>
      <c r="M47" t="str">
        <f t="shared" si="0"/>
        <v>https://epvo.kz/#/verification_education_document?iin=040103650092&amp;diplomaSeries=BD&amp;diplomaNumber=00025668625</v>
      </c>
    </row>
    <row r="48" spans="1:13" x14ac:dyDescent="0.25">
      <c r="A48" t="s">
        <v>886</v>
      </c>
      <c r="B48" t="s">
        <v>1135</v>
      </c>
      <c r="C48" t="s">
        <v>53</v>
      </c>
      <c r="D48" t="s">
        <v>70</v>
      </c>
      <c r="E48" t="s">
        <v>55</v>
      </c>
      <c r="F48" t="s">
        <v>1035</v>
      </c>
      <c r="G48" t="s">
        <v>1036</v>
      </c>
      <c r="H48" t="s">
        <v>71</v>
      </c>
      <c r="I48" t="s">
        <v>56</v>
      </c>
      <c r="J48" t="s">
        <v>1136</v>
      </c>
      <c r="K48" t="s">
        <v>54</v>
      </c>
      <c r="L48" t="s">
        <v>1110</v>
      </c>
      <c r="M48" t="str">
        <f t="shared" si="0"/>
        <v>https://epvo.kz/#/verification_education_document?iin=040104600844&amp;diplomaSeries=BD&amp;diplomaNumber=00025668525</v>
      </c>
    </row>
    <row r="49" spans="1:13" x14ac:dyDescent="0.25">
      <c r="A49" t="s">
        <v>881</v>
      </c>
      <c r="B49" t="s">
        <v>1137</v>
      </c>
      <c r="C49" t="s">
        <v>53</v>
      </c>
      <c r="D49" t="s">
        <v>70</v>
      </c>
      <c r="E49" t="s">
        <v>55</v>
      </c>
      <c r="F49" t="s">
        <v>1035</v>
      </c>
      <c r="G49" t="s">
        <v>1036</v>
      </c>
      <c r="H49" t="s">
        <v>71</v>
      </c>
      <c r="I49" t="s">
        <v>56</v>
      </c>
      <c r="J49" t="s">
        <v>1138</v>
      </c>
      <c r="K49" t="s">
        <v>54</v>
      </c>
      <c r="L49" t="s">
        <v>1110</v>
      </c>
      <c r="M49" t="str">
        <f t="shared" si="0"/>
        <v>https://epvo.kz/#/verification_education_document?iin=040110650714&amp;diplomaSeries=BD&amp;diplomaNumber=00025668425</v>
      </c>
    </row>
    <row r="50" spans="1:13" x14ac:dyDescent="0.25">
      <c r="A50" t="s">
        <v>876</v>
      </c>
      <c r="B50" t="s">
        <v>1139</v>
      </c>
      <c r="C50" t="s">
        <v>53</v>
      </c>
      <c r="D50" t="s">
        <v>70</v>
      </c>
      <c r="E50" t="s">
        <v>55</v>
      </c>
      <c r="F50" t="s">
        <v>1035</v>
      </c>
      <c r="G50" t="s">
        <v>1036</v>
      </c>
      <c r="H50" t="s">
        <v>71</v>
      </c>
      <c r="I50" t="s">
        <v>56</v>
      </c>
      <c r="J50" t="s">
        <v>1140</v>
      </c>
      <c r="K50" t="s">
        <v>54</v>
      </c>
      <c r="L50" t="s">
        <v>1141</v>
      </c>
      <c r="M50" t="str">
        <f t="shared" si="0"/>
        <v>https://epvo.kz/#/verification_education_document?iin=030320500474&amp;diplomaSeries=BD&amp;diplomaNumber=00025668325</v>
      </c>
    </row>
    <row r="51" spans="1:13" x14ac:dyDescent="0.25">
      <c r="A51" t="s">
        <v>871</v>
      </c>
      <c r="B51" t="s">
        <v>1142</v>
      </c>
      <c r="C51" t="s">
        <v>53</v>
      </c>
      <c r="D51" t="s">
        <v>70</v>
      </c>
      <c r="E51" t="s">
        <v>55</v>
      </c>
      <c r="F51" t="s">
        <v>1035</v>
      </c>
      <c r="G51" t="s">
        <v>1036</v>
      </c>
      <c r="H51" t="s">
        <v>71</v>
      </c>
      <c r="I51" t="s">
        <v>56</v>
      </c>
      <c r="J51" t="s">
        <v>1143</v>
      </c>
      <c r="K51" t="s">
        <v>54</v>
      </c>
      <c r="L51" t="s">
        <v>1141</v>
      </c>
      <c r="M51" t="str">
        <f t="shared" si="0"/>
        <v>https://epvo.kz/#/verification_education_document?iin=040605501887&amp;diplomaSeries=BD&amp;diplomaNumber=00025668225</v>
      </c>
    </row>
    <row r="52" spans="1:13" x14ac:dyDescent="0.25">
      <c r="A52" t="s">
        <v>861</v>
      </c>
      <c r="B52" t="s">
        <v>1144</v>
      </c>
      <c r="C52" t="s">
        <v>53</v>
      </c>
      <c r="D52" t="s">
        <v>70</v>
      </c>
      <c r="E52" t="s">
        <v>55</v>
      </c>
      <c r="F52" t="s">
        <v>1035</v>
      </c>
      <c r="G52" t="s">
        <v>1036</v>
      </c>
      <c r="H52" t="s">
        <v>71</v>
      </c>
      <c r="I52" t="s">
        <v>56</v>
      </c>
      <c r="J52" t="s">
        <v>1145</v>
      </c>
      <c r="K52" t="s">
        <v>54</v>
      </c>
      <c r="L52" t="s">
        <v>1146</v>
      </c>
      <c r="M52" t="str">
        <f t="shared" si="0"/>
        <v>https://epvo.kz/#/verification_education_document?iin=040618600769&amp;diplomaSeries=BD&amp;diplomaNumber=00025666425</v>
      </c>
    </row>
    <row r="53" spans="1:13" x14ac:dyDescent="0.25">
      <c r="A53" t="s">
        <v>856</v>
      </c>
      <c r="B53" t="s">
        <v>1147</v>
      </c>
      <c r="C53" t="s">
        <v>53</v>
      </c>
      <c r="D53" t="s">
        <v>70</v>
      </c>
      <c r="E53" t="s">
        <v>55</v>
      </c>
      <c r="F53" t="s">
        <v>1035</v>
      </c>
      <c r="G53" t="s">
        <v>1036</v>
      </c>
      <c r="H53" t="s">
        <v>71</v>
      </c>
      <c r="I53" t="s">
        <v>56</v>
      </c>
      <c r="J53" t="s">
        <v>1148</v>
      </c>
      <c r="K53" t="s">
        <v>54</v>
      </c>
      <c r="L53" t="s">
        <v>1146</v>
      </c>
      <c r="M53" t="str">
        <f t="shared" si="0"/>
        <v>https://epvo.kz/#/verification_education_document?iin=031129600326&amp;diplomaSeries=BD&amp;diplomaNumber=00025666325</v>
      </c>
    </row>
    <row r="54" spans="1:13" x14ac:dyDescent="0.25">
      <c r="A54" t="s">
        <v>851</v>
      </c>
      <c r="B54" t="s">
        <v>1149</v>
      </c>
      <c r="C54" t="s">
        <v>53</v>
      </c>
      <c r="D54" t="s">
        <v>70</v>
      </c>
      <c r="E54" t="s">
        <v>55</v>
      </c>
      <c r="F54" t="s">
        <v>1035</v>
      </c>
      <c r="G54" t="s">
        <v>1036</v>
      </c>
      <c r="H54" t="s">
        <v>71</v>
      </c>
      <c r="I54" t="s">
        <v>56</v>
      </c>
      <c r="J54" t="s">
        <v>1150</v>
      </c>
      <c r="K54" t="s">
        <v>54</v>
      </c>
      <c r="L54" t="s">
        <v>1146</v>
      </c>
      <c r="M54" t="str">
        <f t="shared" si="0"/>
        <v>https://epvo.kz/#/verification_education_document?iin=030516600057&amp;diplomaSeries=BD&amp;diplomaNumber=00025666225</v>
      </c>
    </row>
    <row r="55" spans="1:13" x14ac:dyDescent="0.25">
      <c r="A55" t="s">
        <v>847</v>
      </c>
      <c r="B55" t="s">
        <v>1151</v>
      </c>
      <c r="C55" t="s">
        <v>53</v>
      </c>
      <c r="D55" t="s">
        <v>70</v>
      </c>
      <c r="E55" t="s">
        <v>55</v>
      </c>
      <c r="F55" t="s">
        <v>1035</v>
      </c>
      <c r="G55" t="s">
        <v>1036</v>
      </c>
      <c r="H55" t="s">
        <v>71</v>
      </c>
      <c r="I55" t="s">
        <v>56</v>
      </c>
      <c r="J55" t="s">
        <v>1152</v>
      </c>
      <c r="K55" t="s">
        <v>54</v>
      </c>
      <c r="L55" t="s">
        <v>1146</v>
      </c>
      <c r="M55" t="str">
        <f t="shared" si="0"/>
        <v>https://epvo.kz/#/verification_education_document?iin=040314600648&amp;diplomaSeries=BD&amp;diplomaNumber=00025666125</v>
      </c>
    </row>
    <row r="56" spans="1:13" x14ac:dyDescent="0.25">
      <c r="A56" t="s">
        <v>842</v>
      </c>
      <c r="B56" t="s">
        <v>1153</v>
      </c>
      <c r="C56" t="s">
        <v>53</v>
      </c>
      <c r="D56" t="s">
        <v>70</v>
      </c>
      <c r="E56" t="s">
        <v>55</v>
      </c>
      <c r="F56" t="s">
        <v>1035</v>
      </c>
      <c r="G56" t="s">
        <v>1036</v>
      </c>
      <c r="H56" t="s">
        <v>71</v>
      </c>
      <c r="I56" t="s">
        <v>56</v>
      </c>
      <c r="J56" t="s">
        <v>1154</v>
      </c>
      <c r="K56" t="s">
        <v>54</v>
      </c>
      <c r="L56" t="s">
        <v>1146</v>
      </c>
      <c r="M56" t="str">
        <f t="shared" si="0"/>
        <v>https://epvo.kz/#/verification_education_document?iin=040114601619&amp;diplomaSeries=BD&amp;diplomaNumber=00025666025</v>
      </c>
    </row>
    <row r="57" spans="1:13" x14ac:dyDescent="0.25">
      <c r="A57" t="s">
        <v>832</v>
      </c>
      <c r="B57" t="s">
        <v>1155</v>
      </c>
      <c r="C57" t="s">
        <v>53</v>
      </c>
      <c r="D57" t="s">
        <v>70</v>
      </c>
      <c r="E57" t="s">
        <v>55</v>
      </c>
      <c r="F57" t="s">
        <v>1035</v>
      </c>
      <c r="G57" t="s">
        <v>1036</v>
      </c>
      <c r="H57" t="s">
        <v>71</v>
      </c>
      <c r="I57" t="s">
        <v>56</v>
      </c>
      <c r="J57" t="s">
        <v>1156</v>
      </c>
      <c r="K57" t="s">
        <v>54</v>
      </c>
      <c r="L57" t="s">
        <v>1146</v>
      </c>
      <c r="M57" t="str">
        <f t="shared" si="0"/>
        <v>https://epvo.kz/#/verification_education_document?iin=031029601432&amp;diplomaSeries=BD&amp;diplomaNumber=00025665925</v>
      </c>
    </row>
    <row r="58" spans="1:13" x14ac:dyDescent="0.25">
      <c r="A58" t="s">
        <v>827</v>
      </c>
      <c r="B58" t="s">
        <v>1157</v>
      </c>
      <c r="C58" t="s">
        <v>53</v>
      </c>
      <c r="D58" t="s">
        <v>70</v>
      </c>
      <c r="E58" t="s">
        <v>55</v>
      </c>
      <c r="F58" t="s">
        <v>1035</v>
      </c>
      <c r="G58" t="s">
        <v>1036</v>
      </c>
      <c r="H58" t="s">
        <v>71</v>
      </c>
      <c r="I58" t="s">
        <v>56</v>
      </c>
      <c r="J58" t="s">
        <v>1158</v>
      </c>
      <c r="K58" t="s">
        <v>54</v>
      </c>
      <c r="L58" t="s">
        <v>1146</v>
      </c>
      <c r="M58" t="str">
        <f t="shared" si="0"/>
        <v>https://epvo.kz/#/verification_education_document?iin=040208600146&amp;diplomaSeries=BD&amp;diplomaNumber=00025665825</v>
      </c>
    </row>
    <row r="59" spans="1:13" x14ac:dyDescent="0.25">
      <c r="A59" t="s">
        <v>822</v>
      </c>
      <c r="B59" t="s">
        <v>1159</v>
      </c>
      <c r="C59" t="s">
        <v>53</v>
      </c>
      <c r="D59" t="s">
        <v>70</v>
      </c>
      <c r="E59" t="s">
        <v>55</v>
      </c>
      <c r="F59" t="s">
        <v>1035</v>
      </c>
      <c r="G59" t="s">
        <v>1036</v>
      </c>
      <c r="H59" t="s">
        <v>71</v>
      </c>
      <c r="I59" t="s">
        <v>56</v>
      </c>
      <c r="J59" t="s">
        <v>1160</v>
      </c>
      <c r="K59" t="s">
        <v>54</v>
      </c>
      <c r="L59" t="s">
        <v>1161</v>
      </c>
      <c r="M59" t="str">
        <f t="shared" si="0"/>
        <v>https://epvo.kz/#/verification_education_document?iin=031124601327&amp;diplomaSeries=BD&amp;diplomaNumber=00025665725</v>
      </c>
    </row>
    <row r="60" spans="1:13" x14ac:dyDescent="0.25">
      <c r="A60" t="s">
        <v>817</v>
      </c>
      <c r="B60" t="s">
        <v>1162</v>
      </c>
      <c r="C60" t="s">
        <v>53</v>
      </c>
      <c r="D60" t="s">
        <v>70</v>
      </c>
      <c r="E60" t="s">
        <v>55</v>
      </c>
      <c r="F60" t="s">
        <v>1035</v>
      </c>
      <c r="G60" t="s">
        <v>1036</v>
      </c>
      <c r="H60" t="s">
        <v>71</v>
      </c>
      <c r="I60" t="s">
        <v>56</v>
      </c>
      <c r="J60" t="s">
        <v>1163</v>
      </c>
      <c r="K60" t="s">
        <v>54</v>
      </c>
      <c r="L60" t="s">
        <v>1161</v>
      </c>
      <c r="M60" t="str">
        <f t="shared" si="0"/>
        <v>https://epvo.kz/#/verification_education_document?iin=031231650664&amp;diplomaSeries=BD&amp;diplomaNumber=00025665625</v>
      </c>
    </row>
    <row r="61" spans="1:13" x14ac:dyDescent="0.25">
      <c r="A61" t="s">
        <v>813</v>
      </c>
      <c r="B61" t="s">
        <v>1164</v>
      </c>
      <c r="C61" t="s">
        <v>53</v>
      </c>
      <c r="D61" t="s">
        <v>70</v>
      </c>
      <c r="E61" t="s">
        <v>55</v>
      </c>
      <c r="F61" t="s">
        <v>1035</v>
      </c>
      <c r="G61" t="s">
        <v>1036</v>
      </c>
      <c r="H61" t="s">
        <v>71</v>
      </c>
      <c r="I61" t="s">
        <v>56</v>
      </c>
      <c r="J61" t="s">
        <v>1165</v>
      </c>
      <c r="K61" t="s">
        <v>54</v>
      </c>
      <c r="L61" t="s">
        <v>1161</v>
      </c>
      <c r="M61" t="str">
        <f t="shared" si="0"/>
        <v>https://epvo.kz/#/verification_education_document?iin=040627600510&amp;diplomaSeries=BD&amp;diplomaNumber=00025665525</v>
      </c>
    </row>
    <row r="62" spans="1:13" x14ac:dyDescent="0.25">
      <c r="A62" t="s">
        <v>808</v>
      </c>
      <c r="B62" t="s">
        <v>1166</v>
      </c>
      <c r="C62" t="s">
        <v>53</v>
      </c>
      <c r="D62" t="s">
        <v>70</v>
      </c>
      <c r="E62" t="s">
        <v>55</v>
      </c>
      <c r="F62" t="s">
        <v>1035</v>
      </c>
      <c r="G62" t="s">
        <v>1036</v>
      </c>
      <c r="H62" t="s">
        <v>71</v>
      </c>
      <c r="I62" t="s">
        <v>56</v>
      </c>
      <c r="J62" t="s">
        <v>1167</v>
      </c>
      <c r="K62" t="s">
        <v>54</v>
      </c>
      <c r="L62" t="s">
        <v>1161</v>
      </c>
      <c r="M62" t="str">
        <f t="shared" si="0"/>
        <v>https://epvo.kz/#/verification_education_document?iin=040712600873&amp;diplomaSeries=BD&amp;diplomaNumber=00025665425</v>
      </c>
    </row>
    <row r="63" spans="1:13" x14ac:dyDescent="0.25">
      <c r="A63" t="s">
        <v>803</v>
      </c>
      <c r="B63" t="s">
        <v>1168</v>
      </c>
      <c r="C63" t="s">
        <v>53</v>
      </c>
      <c r="D63" t="s">
        <v>70</v>
      </c>
      <c r="E63" t="s">
        <v>55</v>
      </c>
      <c r="F63" t="s">
        <v>1035</v>
      </c>
      <c r="G63" t="s">
        <v>1036</v>
      </c>
      <c r="H63" t="s">
        <v>71</v>
      </c>
      <c r="I63" t="s">
        <v>56</v>
      </c>
      <c r="J63" t="s">
        <v>1169</v>
      </c>
      <c r="K63" t="s">
        <v>54</v>
      </c>
      <c r="L63" t="s">
        <v>1161</v>
      </c>
      <c r="M63" t="str">
        <f t="shared" si="0"/>
        <v>https://epvo.kz/#/verification_education_document?iin=040407600287&amp;diplomaSeries=BD&amp;diplomaNumber=00025665325</v>
      </c>
    </row>
    <row r="64" spans="1:13" x14ac:dyDescent="0.25">
      <c r="A64" t="s">
        <v>798</v>
      </c>
      <c r="B64" t="s">
        <v>1170</v>
      </c>
      <c r="C64" t="s">
        <v>53</v>
      </c>
      <c r="D64" t="s">
        <v>70</v>
      </c>
      <c r="E64" t="s">
        <v>55</v>
      </c>
      <c r="F64" t="s">
        <v>1035</v>
      </c>
      <c r="G64" t="s">
        <v>1036</v>
      </c>
      <c r="H64" t="s">
        <v>71</v>
      </c>
      <c r="I64" t="s">
        <v>56</v>
      </c>
      <c r="J64" t="s">
        <v>1171</v>
      </c>
      <c r="K64" t="s">
        <v>54</v>
      </c>
      <c r="L64" t="s">
        <v>1161</v>
      </c>
      <c r="M64" t="str">
        <f t="shared" si="0"/>
        <v>https://epvo.kz/#/verification_education_document?iin=040707601986&amp;diplomaSeries=BD&amp;diplomaNumber=00025665225</v>
      </c>
    </row>
    <row r="65" spans="1:13" x14ac:dyDescent="0.25">
      <c r="A65" t="s">
        <v>793</v>
      </c>
      <c r="B65" t="s">
        <v>1172</v>
      </c>
      <c r="C65" t="s">
        <v>53</v>
      </c>
      <c r="D65" t="s">
        <v>70</v>
      </c>
      <c r="E65" t="s">
        <v>55</v>
      </c>
      <c r="F65" t="s">
        <v>1035</v>
      </c>
      <c r="G65" t="s">
        <v>1036</v>
      </c>
      <c r="H65" t="s">
        <v>71</v>
      </c>
      <c r="I65" t="s">
        <v>56</v>
      </c>
      <c r="J65" t="s">
        <v>1173</v>
      </c>
      <c r="K65" t="s">
        <v>54</v>
      </c>
      <c r="L65" t="s">
        <v>1161</v>
      </c>
      <c r="M65" t="str">
        <f t="shared" si="0"/>
        <v>https://epvo.kz/#/verification_education_document?iin=030728601625&amp;diplomaSeries=BD&amp;diplomaNumber=00025665125</v>
      </c>
    </row>
    <row r="66" spans="1:13" x14ac:dyDescent="0.25">
      <c r="A66" t="s">
        <v>788</v>
      </c>
      <c r="B66" t="s">
        <v>1174</v>
      </c>
      <c r="C66" t="s">
        <v>53</v>
      </c>
      <c r="D66" t="s">
        <v>70</v>
      </c>
      <c r="E66" t="s">
        <v>55</v>
      </c>
      <c r="F66" t="s">
        <v>1035</v>
      </c>
      <c r="G66" t="s">
        <v>1036</v>
      </c>
      <c r="H66" t="s">
        <v>71</v>
      </c>
      <c r="I66" t="s">
        <v>56</v>
      </c>
      <c r="J66" t="s">
        <v>1175</v>
      </c>
      <c r="K66" t="s">
        <v>54</v>
      </c>
      <c r="L66" t="s">
        <v>1161</v>
      </c>
      <c r="M66" t="str">
        <f t="shared" si="0"/>
        <v>https://epvo.kz/#/verification_education_document?iin=040113600195&amp;diplomaSeries=BD&amp;diplomaNumber=00025665025</v>
      </c>
    </row>
    <row r="67" spans="1:13" x14ac:dyDescent="0.25">
      <c r="A67" t="s">
        <v>783</v>
      </c>
      <c r="B67" t="s">
        <v>1176</v>
      </c>
      <c r="C67" t="s">
        <v>53</v>
      </c>
      <c r="D67" t="s">
        <v>70</v>
      </c>
      <c r="E67" t="s">
        <v>55</v>
      </c>
      <c r="F67" t="s">
        <v>1035</v>
      </c>
      <c r="G67" t="s">
        <v>1036</v>
      </c>
      <c r="H67" t="s">
        <v>71</v>
      </c>
      <c r="I67" t="s">
        <v>56</v>
      </c>
      <c r="J67" t="s">
        <v>1177</v>
      </c>
      <c r="K67" t="s">
        <v>54</v>
      </c>
      <c r="L67" t="s">
        <v>1161</v>
      </c>
      <c r="M67" t="str">
        <f t="shared" ref="M67:M130" si="1">"https://epvo.kz/#/verification_education_document?iin="&amp;A67&amp;"&amp;diplomaSeries="&amp;I67&amp;"&amp;diplomaNumber="&amp;J67</f>
        <v>https://epvo.kz/#/verification_education_document?iin=040728601121&amp;diplomaSeries=BD&amp;diplomaNumber=00025664925</v>
      </c>
    </row>
    <row r="68" spans="1:13" x14ac:dyDescent="0.25">
      <c r="A68" t="s">
        <v>778</v>
      </c>
      <c r="B68" t="s">
        <v>1178</v>
      </c>
      <c r="C68" t="s">
        <v>53</v>
      </c>
      <c r="D68" t="s">
        <v>70</v>
      </c>
      <c r="E68" t="s">
        <v>55</v>
      </c>
      <c r="F68" t="s">
        <v>1035</v>
      </c>
      <c r="G68" t="s">
        <v>1036</v>
      </c>
      <c r="H68" t="s">
        <v>71</v>
      </c>
      <c r="I68" t="s">
        <v>56</v>
      </c>
      <c r="J68" t="s">
        <v>1179</v>
      </c>
      <c r="K68" t="s">
        <v>54</v>
      </c>
      <c r="L68" t="s">
        <v>1161</v>
      </c>
      <c r="M68" t="str">
        <f t="shared" si="1"/>
        <v>https://epvo.kz/#/verification_education_document?iin=030602601243&amp;diplomaSeries=BD&amp;diplomaNumber=00025664825</v>
      </c>
    </row>
    <row r="69" spans="1:13" x14ac:dyDescent="0.25">
      <c r="A69" t="s">
        <v>773</v>
      </c>
      <c r="B69" t="s">
        <v>1180</v>
      </c>
      <c r="C69" t="s">
        <v>53</v>
      </c>
      <c r="D69" t="s">
        <v>70</v>
      </c>
      <c r="E69" t="s">
        <v>55</v>
      </c>
      <c r="F69" t="s">
        <v>1035</v>
      </c>
      <c r="G69" t="s">
        <v>1036</v>
      </c>
      <c r="H69" t="s">
        <v>71</v>
      </c>
      <c r="I69" t="s">
        <v>56</v>
      </c>
      <c r="J69" t="s">
        <v>1181</v>
      </c>
      <c r="K69" t="s">
        <v>54</v>
      </c>
      <c r="L69" t="s">
        <v>1161</v>
      </c>
      <c r="M69" t="str">
        <f t="shared" si="1"/>
        <v>https://epvo.kz/#/verification_education_document?iin=040828600335&amp;diplomaSeries=BD&amp;diplomaNumber=00025664725</v>
      </c>
    </row>
    <row r="70" spans="1:13" x14ac:dyDescent="0.25">
      <c r="A70" t="s">
        <v>768</v>
      </c>
      <c r="B70" t="s">
        <v>1182</v>
      </c>
      <c r="C70" t="s">
        <v>53</v>
      </c>
      <c r="D70" t="s">
        <v>70</v>
      </c>
      <c r="E70" t="s">
        <v>55</v>
      </c>
      <c r="F70" t="s">
        <v>1035</v>
      </c>
      <c r="G70" t="s">
        <v>1036</v>
      </c>
      <c r="H70" t="s">
        <v>71</v>
      </c>
      <c r="I70" t="s">
        <v>56</v>
      </c>
      <c r="J70" t="s">
        <v>1183</v>
      </c>
      <c r="K70" t="s">
        <v>54</v>
      </c>
      <c r="L70" t="s">
        <v>1161</v>
      </c>
      <c r="M70" t="str">
        <f t="shared" si="1"/>
        <v>https://epvo.kz/#/verification_education_document?iin=030331650932&amp;diplomaSeries=BD&amp;diplomaNumber=00025664625</v>
      </c>
    </row>
    <row r="71" spans="1:13" x14ac:dyDescent="0.25">
      <c r="A71" t="s">
        <v>764</v>
      </c>
      <c r="B71" t="s">
        <v>1184</v>
      </c>
      <c r="C71" t="s">
        <v>53</v>
      </c>
      <c r="D71" t="s">
        <v>70</v>
      </c>
      <c r="E71" t="s">
        <v>55</v>
      </c>
      <c r="F71" t="s">
        <v>1035</v>
      </c>
      <c r="G71" t="s">
        <v>1036</v>
      </c>
      <c r="H71" t="s">
        <v>71</v>
      </c>
      <c r="I71" t="s">
        <v>56</v>
      </c>
      <c r="J71" t="s">
        <v>1185</v>
      </c>
      <c r="K71" t="s">
        <v>54</v>
      </c>
      <c r="L71" t="s">
        <v>1161</v>
      </c>
      <c r="M71" t="str">
        <f t="shared" si="1"/>
        <v>https://epvo.kz/#/verification_education_document?iin=030819600542&amp;diplomaSeries=BD&amp;diplomaNumber=00025664525</v>
      </c>
    </row>
    <row r="72" spans="1:13" x14ac:dyDescent="0.25">
      <c r="A72" t="s">
        <v>759</v>
      </c>
      <c r="B72" t="s">
        <v>1186</v>
      </c>
      <c r="C72" t="s">
        <v>53</v>
      </c>
      <c r="D72" t="s">
        <v>70</v>
      </c>
      <c r="E72" t="s">
        <v>55</v>
      </c>
      <c r="F72" t="s">
        <v>1035</v>
      </c>
      <c r="G72" t="s">
        <v>1036</v>
      </c>
      <c r="H72" t="s">
        <v>71</v>
      </c>
      <c r="I72" t="s">
        <v>56</v>
      </c>
      <c r="J72" t="s">
        <v>1187</v>
      </c>
      <c r="K72" t="s">
        <v>54</v>
      </c>
      <c r="L72" t="s">
        <v>1161</v>
      </c>
      <c r="M72" t="str">
        <f t="shared" si="1"/>
        <v>https://epvo.kz/#/verification_education_document?iin=040129600305&amp;diplomaSeries=BD&amp;diplomaNumber=00025664425</v>
      </c>
    </row>
    <row r="73" spans="1:13" x14ac:dyDescent="0.25">
      <c r="A73" t="s">
        <v>754</v>
      </c>
      <c r="B73" t="s">
        <v>1188</v>
      </c>
      <c r="C73" t="s">
        <v>53</v>
      </c>
      <c r="D73" t="s">
        <v>70</v>
      </c>
      <c r="E73" t="s">
        <v>55</v>
      </c>
      <c r="F73" t="s">
        <v>1035</v>
      </c>
      <c r="G73" t="s">
        <v>1036</v>
      </c>
      <c r="H73" t="s">
        <v>71</v>
      </c>
      <c r="I73" t="s">
        <v>56</v>
      </c>
      <c r="J73" t="s">
        <v>1189</v>
      </c>
      <c r="K73" t="s">
        <v>54</v>
      </c>
      <c r="L73" t="s">
        <v>1161</v>
      </c>
      <c r="M73" t="str">
        <f t="shared" si="1"/>
        <v>https://epvo.kz/#/verification_education_document?iin=040705651033&amp;diplomaSeries=BD&amp;diplomaNumber=00025664325</v>
      </c>
    </row>
    <row r="74" spans="1:13" x14ac:dyDescent="0.25">
      <c r="A74" t="s">
        <v>750</v>
      </c>
      <c r="B74" t="s">
        <v>1190</v>
      </c>
      <c r="C74" t="s">
        <v>53</v>
      </c>
      <c r="D74" t="s">
        <v>70</v>
      </c>
      <c r="E74" t="s">
        <v>55</v>
      </c>
      <c r="F74" t="s">
        <v>1035</v>
      </c>
      <c r="G74" t="s">
        <v>1036</v>
      </c>
      <c r="H74" t="s">
        <v>71</v>
      </c>
      <c r="I74" t="s">
        <v>56</v>
      </c>
      <c r="J74" t="s">
        <v>1191</v>
      </c>
      <c r="K74" t="s">
        <v>54</v>
      </c>
      <c r="L74" t="s">
        <v>1161</v>
      </c>
      <c r="M74" t="str">
        <f t="shared" si="1"/>
        <v>https://epvo.kz/#/verification_education_document?iin=031102600349&amp;diplomaSeries=BD&amp;diplomaNumber=00025664225</v>
      </c>
    </row>
    <row r="75" spans="1:13" x14ac:dyDescent="0.25">
      <c r="A75" t="s">
        <v>745</v>
      </c>
      <c r="B75" t="s">
        <v>1192</v>
      </c>
      <c r="C75" t="s">
        <v>53</v>
      </c>
      <c r="D75" t="s">
        <v>70</v>
      </c>
      <c r="E75" t="s">
        <v>55</v>
      </c>
      <c r="F75" t="s">
        <v>1035</v>
      </c>
      <c r="G75" t="s">
        <v>1036</v>
      </c>
      <c r="H75" t="s">
        <v>71</v>
      </c>
      <c r="I75" t="s">
        <v>56</v>
      </c>
      <c r="J75" t="s">
        <v>1193</v>
      </c>
      <c r="K75" t="s">
        <v>54</v>
      </c>
      <c r="L75" t="s">
        <v>1161</v>
      </c>
      <c r="M75" t="str">
        <f t="shared" si="1"/>
        <v>https://epvo.kz/#/verification_education_document?iin=031026600267&amp;diplomaSeries=BD&amp;diplomaNumber=00025664125</v>
      </c>
    </row>
    <row r="76" spans="1:13" x14ac:dyDescent="0.25">
      <c r="A76" t="s">
        <v>740</v>
      </c>
      <c r="B76" t="s">
        <v>1194</v>
      </c>
      <c r="C76" t="s">
        <v>53</v>
      </c>
      <c r="D76" t="s">
        <v>70</v>
      </c>
      <c r="E76" t="s">
        <v>55</v>
      </c>
      <c r="F76" t="s">
        <v>1035</v>
      </c>
      <c r="G76" t="s">
        <v>1036</v>
      </c>
      <c r="H76" t="s">
        <v>71</v>
      </c>
      <c r="I76" t="s">
        <v>56</v>
      </c>
      <c r="J76" t="s">
        <v>1195</v>
      </c>
      <c r="K76" t="s">
        <v>54</v>
      </c>
      <c r="L76" t="s">
        <v>1196</v>
      </c>
      <c r="M76" t="str">
        <f t="shared" si="1"/>
        <v>https://epvo.kz/#/verification_education_document?iin=041017601208&amp;diplomaSeries=BD&amp;diplomaNumber=00025659825</v>
      </c>
    </row>
    <row r="77" spans="1:13" x14ac:dyDescent="0.25">
      <c r="A77" t="s">
        <v>735</v>
      </c>
      <c r="B77" t="s">
        <v>1197</v>
      </c>
      <c r="C77" t="s">
        <v>53</v>
      </c>
      <c r="D77" t="s">
        <v>70</v>
      </c>
      <c r="E77" t="s">
        <v>55</v>
      </c>
      <c r="F77" t="s">
        <v>1035</v>
      </c>
      <c r="G77" t="s">
        <v>1036</v>
      </c>
      <c r="H77" t="s">
        <v>71</v>
      </c>
      <c r="I77" t="s">
        <v>56</v>
      </c>
      <c r="J77" t="s">
        <v>1198</v>
      </c>
      <c r="K77" t="s">
        <v>54</v>
      </c>
      <c r="L77" t="s">
        <v>1196</v>
      </c>
      <c r="M77" t="str">
        <f t="shared" si="1"/>
        <v>https://epvo.kz/#/verification_education_document?iin=040111600981&amp;diplomaSeries=BD&amp;diplomaNumber=00025659525</v>
      </c>
    </row>
    <row r="78" spans="1:13" x14ac:dyDescent="0.25">
      <c r="A78" t="s">
        <v>730</v>
      </c>
      <c r="B78" t="s">
        <v>1199</v>
      </c>
      <c r="C78" t="s">
        <v>53</v>
      </c>
      <c r="D78" t="s">
        <v>70</v>
      </c>
      <c r="E78" t="s">
        <v>55</v>
      </c>
      <c r="F78" t="s">
        <v>1035</v>
      </c>
      <c r="G78" t="s">
        <v>1036</v>
      </c>
      <c r="H78" t="s">
        <v>71</v>
      </c>
      <c r="I78" t="s">
        <v>56</v>
      </c>
      <c r="J78" t="s">
        <v>1200</v>
      </c>
      <c r="K78" t="s">
        <v>54</v>
      </c>
      <c r="L78" t="s">
        <v>1196</v>
      </c>
      <c r="M78" t="str">
        <f t="shared" si="1"/>
        <v>https://epvo.kz/#/verification_education_document?iin=040402651581&amp;diplomaSeries=BD&amp;diplomaNumber=00025659325</v>
      </c>
    </row>
    <row r="79" spans="1:13" x14ac:dyDescent="0.25">
      <c r="A79" t="s">
        <v>725</v>
      </c>
      <c r="B79" t="s">
        <v>1201</v>
      </c>
      <c r="C79" t="s">
        <v>53</v>
      </c>
      <c r="D79" t="s">
        <v>70</v>
      </c>
      <c r="E79" t="s">
        <v>55</v>
      </c>
      <c r="F79" t="s">
        <v>1035</v>
      </c>
      <c r="G79" t="s">
        <v>1036</v>
      </c>
      <c r="H79" t="s">
        <v>71</v>
      </c>
      <c r="I79" t="s">
        <v>56</v>
      </c>
      <c r="J79" t="s">
        <v>1202</v>
      </c>
      <c r="K79" t="s">
        <v>54</v>
      </c>
      <c r="L79" t="s">
        <v>1196</v>
      </c>
      <c r="M79" t="str">
        <f t="shared" si="1"/>
        <v>https://epvo.kz/#/verification_education_document?iin=030304600522&amp;diplomaSeries=BD&amp;diplomaNumber=00025659025</v>
      </c>
    </row>
    <row r="80" spans="1:13" x14ac:dyDescent="0.25">
      <c r="A80" t="s">
        <v>720</v>
      </c>
      <c r="B80" t="s">
        <v>1203</v>
      </c>
      <c r="C80" t="s">
        <v>53</v>
      </c>
      <c r="D80" t="s">
        <v>70</v>
      </c>
      <c r="E80" t="s">
        <v>55</v>
      </c>
      <c r="F80" t="s">
        <v>1035</v>
      </c>
      <c r="G80" t="s">
        <v>1036</v>
      </c>
      <c r="H80" t="s">
        <v>71</v>
      </c>
      <c r="I80" t="s">
        <v>56</v>
      </c>
      <c r="J80" t="s">
        <v>1204</v>
      </c>
      <c r="K80" t="s">
        <v>54</v>
      </c>
      <c r="L80" t="s">
        <v>1196</v>
      </c>
      <c r="M80" t="str">
        <f t="shared" si="1"/>
        <v>https://epvo.kz/#/verification_education_document?iin=041012600400&amp;diplomaSeries=BD&amp;diplomaNumber=00025658825</v>
      </c>
    </row>
    <row r="81" spans="1:13" x14ac:dyDescent="0.25">
      <c r="A81" t="s">
        <v>715</v>
      </c>
      <c r="B81" t="s">
        <v>1205</v>
      </c>
      <c r="C81" t="s">
        <v>53</v>
      </c>
      <c r="D81" t="s">
        <v>70</v>
      </c>
      <c r="E81" t="s">
        <v>55</v>
      </c>
      <c r="F81" t="s">
        <v>1035</v>
      </c>
      <c r="G81" t="s">
        <v>1036</v>
      </c>
      <c r="H81" t="s">
        <v>71</v>
      </c>
      <c r="I81" t="s">
        <v>56</v>
      </c>
      <c r="J81" t="s">
        <v>1206</v>
      </c>
      <c r="K81" t="s">
        <v>54</v>
      </c>
      <c r="L81" t="s">
        <v>1196</v>
      </c>
      <c r="M81" t="str">
        <f t="shared" si="1"/>
        <v>https://epvo.kz/#/verification_education_document?iin=031027601301&amp;diplomaSeries=BD&amp;diplomaNumber=00025658625</v>
      </c>
    </row>
    <row r="82" spans="1:13" x14ac:dyDescent="0.25">
      <c r="A82" t="s">
        <v>710</v>
      </c>
      <c r="B82" t="s">
        <v>1207</v>
      </c>
      <c r="C82" t="s">
        <v>53</v>
      </c>
      <c r="D82" t="s">
        <v>70</v>
      </c>
      <c r="E82" t="s">
        <v>55</v>
      </c>
      <c r="F82" t="s">
        <v>1035</v>
      </c>
      <c r="G82" t="s">
        <v>1036</v>
      </c>
      <c r="H82" t="s">
        <v>71</v>
      </c>
      <c r="I82" t="s">
        <v>56</v>
      </c>
      <c r="J82" t="s">
        <v>1208</v>
      </c>
      <c r="K82" t="s">
        <v>54</v>
      </c>
      <c r="L82" t="s">
        <v>1196</v>
      </c>
      <c r="M82" t="str">
        <f t="shared" si="1"/>
        <v>https://epvo.kz/#/verification_education_document?iin=040827651804&amp;diplomaSeries=BD&amp;diplomaNumber=00025658425</v>
      </c>
    </row>
    <row r="83" spans="1:13" x14ac:dyDescent="0.25">
      <c r="A83" t="s">
        <v>705</v>
      </c>
      <c r="B83" t="s">
        <v>1209</v>
      </c>
      <c r="C83" t="s">
        <v>53</v>
      </c>
      <c r="D83" t="s">
        <v>70</v>
      </c>
      <c r="E83" t="s">
        <v>55</v>
      </c>
      <c r="F83" t="s">
        <v>1035</v>
      </c>
      <c r="G83" t="s">
        <v>1036</v>
      </c>
      <c r="H83" t="s">
        <v>71</v>
      </c>
      <c r="I83" t="s">
        <v>56</v>
      </c>
      <c r="J83" t="s">
        <v>1210</v>
      </c>
      <c r="K83" t="s">
        <v>54</v>
      </c>
      <c r="L83" t="s">
        <v>1196</v>
      </c>
      <c r="M83" t="str">
        <f t="shared" si="1"/>
        <v>https://epvo.kz/#/verification_education_document?iin=030913501783&amp;diplomaSeries=BD&amp;diplomaNumber=00025658325</v>
      </c>
    </row>
    <row r="84" spans="1:13" x14ac:dyDescent="0.25">
      <c r="A84" t="s">
        <v>700</v>
      </c>
      <c r="B84" t="s">
        <v>1211</v>
      </c>
      <c r="C84" t="s">
        <v>53</v>
      </c>
      <c r="D84" t="s">
        <v>70</v>
      </c>
      <c r="E84" t="s">
        <v>55</v>
      </c>
      <c r="F84" t="s">
        <v>1035</v>
      </c>
      <c r="G84" t="s">
        <v>1036</v>
      </c>
      <c r="H84" t="s">
        <v>71</v>
      </c>
      <c r="I84" t="s">
        <v>56</v>
      </c>
      <c r="J84" t="s">
        <v>1212</v>
      </c>
      <c r="K84" t="s">
        <v>54</v>
      </c>
      <c r="L84" t="s">
        <v>1196</v>
      </c>
      <c r="M84" t="str">
        <f t="shared" si="1"/>
        <v>https://epvo.kz/#/verification_education_document?iin=040305600420&amp;diplomaSeries=BD&amp;diplomaNumber=00025658225</v>
      </c>
    </row>
    <row r="85" spans="1:13" x14ac:dyDescent="0.25">
      <c r="A85" t="s">
        <v>695</v>
      </c>
      <c r="B85" t="s">
        <v>1213</v>
      </c>
      <c r="C85" t="s">
        <v>53</v>
      </c>
      <c r="D85" t="s">
        <v>70</v>
      </c>
      <c r="E85" t="s">
        <v>55</v>
      </c>
      <c r="F85" t="s">
        <v>1035</v>
      </c>
      <c r="G85" t="s">
        <v>1036</v>
      </c>
      <c r="H85" t="s">
        <v>71</v>
      </c>
      <c r="I85" t="s">
        <v>56</v>
      </c>
      <c r="J85" t="s">
        <v>1214</v>
      </c>
      <c r="K85" t="s">
        <v>54</v>
      </c>
      <c r="L85" t="s">
        <v>1196</v>
      </c>
      <c r="M85" t="str">
        <f t="shared" si="1"/>
        <v>https://epvo.kz/#/verification_education_document?iin=040206600978&amp;diplomaSeries=BD&amp;diplomaNumber=00025658125</v>
      </c>
    </row>
    <row r="86" spans="1:13" x14ac:dyDescent="0.25">
      <c r="A86" t="s">
        <v>690</v>
      </c>
      <c r="B86" t="s">
        <v>1215</v>
      </c>
      <c r="C86" t="s">
        <v>53</v>
      </c>
      <c r="D86" t="s">
        <v>70</v>
      </c>
      <c r="E86" t="s">
        <v>55</v>
      </c>
      <c r="F86" t="s">
        <v>1035</v>
      </c>
      <c r="G86" t="s">
        <v>1036</v>
      </c>
      <c r="H86" t="s">
        <v>71</v>
      </c>
      <c r="I86" t="s">
        <v>56</v>
      </c>
      <c r="J86" t="s">
        <v>1216</v>
      </c>
      <c r="K86" t="s">
        <v>54</v>
      </c>
      <c r="L86" t="s">
        <v>1196</v>
      </c>
      <c r="M86" t="str">
        <f t="shared" si="1"/>
        <v>https://epvo.kz/#/verification_education_document?iin=040326601196&amp;diplomaSeries=BD&amp;diplomaNumber=00025658025</v>
      </c>
    </row>
    <row r="87" spans="1:13" x14ac:dyDescent="0.25">
      <c r="A87" t="s">
        <v>685</v>
      </c>
      <c r="B87" t="s">
        <v>1217</v>
      </c>
      <c r="C87" t="s">
        <v>53</v>
      </c>
      <c r="D87" t="s">
        <v>70</v>
      </c>
      <c r="E87" t="s">
        <v>55</v>
      </c>
      <c r="F87" t="s">
        <v>1035</v>
      </c>
      <c r="G87" t="s">
        <v>1036</v>
      </c>
      <c r="H87" t="s">
        <v>71</v>
      </c>
      <c r="I87" t="s">
        <v>56</v>
      </c>
      <c r="J87" t="s">
        <v>1218</v>
      </c>
      <c r="K87" t="s">
        <v>54</v>
      </c>
      <c r="L87" t="s">
        <v>1196</v>
      </c>
      <c r="M87" t="str">
        <f t="shared" si="1"/>
        <v>https://epvo.kz/#/verification_education_document?iin=041208600723&amp;diplomaSeries=BD&amp;diplomaNumber=00025657925</v>
      </c>
    </row>
    <row r="88" spans="1:13" x14ac:dyDescent="0.25">
      <c r="A88" t="s">
        <v>680</v>
      </c>
      <c r="B88" t="s">
        <v>1219</v>
      </c>
      <c r="C88" t="s">
        <v>53</v>
      </c>
      <c r="D88" t="s">
        <v>70</v>
      </c>
      <c r="E88" t="s">
        <v>55</v>
      </c>
      <c r="F88" t="s">
        <v>1035</v>
      </c>
      <c r="G88" t="s">
        <v>1036</v>
      </c>
      <c r="H88" t="s">
        <v>71</v>
      </c>
      <c r="I88" t="s">
        <v>56</v>
      </c>
      <c r="J88" t="s">
        <v>1220</v>
      </c>
      <c r="K88" t="s">
        <v>54</v>
      </c>
      <c r="L88" t="s">
        <v>1196</v>
      </c>
      <c r="M88" t="str">
        <f t="shared" si="1"/>
        <v>https://epvo.kz/#/verification_education_document?iin=040405601036&amp;diplomaSeries=BD&amp;diplomaNumber=00025657625</v>
      </c>
    </row>
    <row r="89" spans="1:13" x14ac:dyDescent="0.25">
      <c r="A89" t="s">
        <v>675</v>
      </c>
      <c r="B89" t="s">
        <v>1221</v>
      </c>
      <c r="C89" t="s">
        <v>53</v>
      </c>
      <c r="D89" t="s">
        <v>70</v>
      </c>
      <c r="E89" t="s">
        <v>55</v>
      </c>
      <c r="F89" t="s">
        <v>1035</v>
      </c>
      <c r="G89" t="s">
        <v>1036</v>
      </c>
      <c r="H89" t="s">
        <v>71</v>
      </c>
      <c r="I89" t="s">
        <v>56</v>
      </c>
      <c r="J89" t="s">
        <v>1222</v>
      </c>
      <c r="K89" t="s">
        <v>54</v>
      </c>
      <c r="L89" t="s">
        <v>1196</v>
      </c>
      <c r="M89" t="str">
        <f t="shared" si="1"/>
        <v>https://epvo.kz/#/verification_education_document?iin=031227500401&amp;diplomaSeries=BD&amp;diplomaNumber=00025657425</v>
      </c>
    </row>
    <row r="90" spans="1:13" x14ac:dyDescent="0.25">
      <c r="A90" t="s">
        <v>670</v>
      </c>
      <c r="B90" t="s">
        <v>1223</v>
      </c>
      <c r="C90" t="s">
        <v>53</v>
      </c>
      <c r="D90" t="s">
        <v>70</v>
      </c>
      <c r="E90" t="s">
        <v>55</v>
      </c>
      <c r="F90" t="s">
        <v>1035</v>
      </c>
      <c r="G90" t="s">
        <v>1036</v>
      </c>
      <c r="H90" t="s">
        <v>71</v>
      </c>
      <c r="I90" t="s">
        <v>56</v>
      </c>
      <c r="J90" t="s">
        <v>1224</v>
      </c>
      <c r="K90" t="s">
        <v>54</v>
      </c>
      <c r="L90" t="s">
        <v>1196</v>
      </c>
      <c r="M90" t="str">
        <f t="shared" si="1"/>
        <v>https://epvo.kz/#/verification_education_document?iin=031017651351&amp;diplomaSeries=BD&amp;diplomaNumber=00025657125</v>
      </c>
    </row>
    <row r="91" spans="1:13" x14ac:dyDescent="0.25">
      <c r="A91" t="s">
        <v>665</v>
      </c>
      <c r="B91" t="s">
        <v>1225</v>
      </c>
      <c r="C91" t="s">
        <v>53</v>
      </c>
      <c r="D91" t="s">
        <v>70</v>
      </c>
      <c r="E91" t="s">
        <v>55</v>
      </c>
      <c r="F91" t="s">
        <v>1035</v>
      </c>
      <c r="G91" t="s">
        <v>1036</v>
      </c>
      <c r="H91" t="s">
        <v>71</v>
      </c>
      <c r="I91" t="s">
        <v>56</v>
      </c>
      <c r="J91" t="s">
        <v>1226</v>
      </c>
      <c r="K91" t="s">
        <v>54</v>
      </c>
      <c r="L91" t="s">
        <v>1196</v>
      </c>
      <c r="M91" t="str">
        <f t="shared" si="1"/>
        <v>https://epvo.kz/#/verification_education_document?iin=030711651629&amp;diplomaSeries=BD&amp;diplomaNumber=00025656925</v>
      </c>
    </row>
    <row r="92" spans="1:13" x14ac:dyDescent="0.25">
      <c r="A92" t="s">
        <v>660</v>
      </c>
      <c r="B92" t="s">
        <v>1227</v>
      </c>
      <c r="C92" t="s">
        <v>53</v>
      </c>
      <c r="D92" t="s">
        <v>70</v>
      </c>
      <c r="E92" t="s">
        <v>55</v>
      </c>
      <c r="F92" t="s">
        <v>1035</v>
      </c>
      <c r="G92" t="s">
        <v>1036</v>
      </c>
      <c r="H92" t="s">
        <v>71</v>
      </c>
      <c r="I92" t="s">
        <v>56</v>
      </c>
      <c r="J92" t="s">
        <v>1228</v>
      </c>
      <c r="K92" t="s">
        <v>54</v>
      </c>
      <c r="L92" t="s">
        <v>1196</v>
      </c>
      <c r="M92" t="str">
        <f t="shared" si="1"/>
        <v>https://epvo.kz/#/verification_education_document?iin=040521500578&amp;diplomaSeries=BD&amp;diplomaNumber=00025656725</v>
      </c>
    </row>
    <row r="93" spans="1:13" x14ac:dyDescent="0.25">
      <c r="A93" t="s">
        <v>655</v>
      </c>
      <c r="B93" t="s">
        <v>1229</v>
      </c>
      <c r="C93" t="s">
        <v>53</v>
      </c>
      <c r="D93" t="s">
        <v>70</v>
      </c>
      <c r="E93" t="s">
        <v>55</v>
      </c>
      <c r="F93" t="s">
        <v>1035</v>
      </c>
      <c r="G93" t="s">
        <v>1036</v>
      </c>
      <c r="H93" t="s">
        <v>71</v>
      </c>
      <c r="I93" t="s">
        <v>56</v>
      </c>
      <c r="J93" t="s">
        <v>1230</v>
      </c>
      <c r="K93" t="s">
        <v>54</v>
      </c>
      <c r="L93" t="s">
        <v>1196</v>
      </c>
      <c r="M93" t="str">
        <f t="shared" si="1"/>
        <v>https://epvo.kz/#/verification_education_document?iin=040208650192&amp;diplomaSeries=BD&amp;diplomaNumber=00025656425</v>
      </c>
    </row>
    <row r="94" spans="1:13" x14ac:dyDescent="0.25">
      <c r="A94" t="s">
        <v>635</v>
      </c>
      <c r="B94" t="s">
        <v>1231</v>
      </c>
      <c r="C94" t="s">
        <v>53</v>
      </c>
      <c r="D94" t="s">
        <v>70</v>
      </c>
      <c r="E94" t="s">
        <v>55</v>
      </c>
      <c r="F94" t="s">
        <v>1035</v>
      </c>
      <c r="G94" t="s">
        <v>1036</v>
      </c>
      <c r="H94" t="s">
        <v>71</v>
      </c>
      <c r="I94" t="s">
        <v>56</v>
      </c>
      <c r="J94" t="s">
        <v>1232</v>
      </c>
      <c r="K94" t="s">
        <v>54</v>
      </c>
      <c r="L94" t="s">
        <v>1233</v>
      </c>
      <c r="M94" t="str">
        <f t="shared" si="1"/>
        <v>https://epvo.kz/#/verification_education_document?iin=031002601036&amp;diplomaSeries=BD&amp;diplomaNumber=00025654925</v>
      </c>
    </row>
    <row r="95" spans="1:13" x14ac:dyDescent="0.25">
      <c r="A95" t="s">
        <v>630</v>
      </c>
      <c r="B95" t="s">
        <v>1234</v>
      </c>
      <c r="C95" t="s">
        <v>53</v>
      </c>
      <c r="D95" t="s">
        <v>70</v>
      </c>
      <c r="E95" t="s">
        <v>55</v>
      </c>
      <c r="F95" t="s">
        <v>1035</v>
      </c>
      <c r="G95" t="s">
        <v>1036</v>
      </c>
      <c r="H95" t="s">
        <v>71</v>
      </c>
      <c r="I95" t="s">
        <v>56</v>
      </c>
      <c r="J95" t="s">
        <v>1235</v>
      </c>
      <c r="K95" t="s">
        <v>54</v>
      </c>
      <c r="L95" t="s">
        <v>1233</v>
      </c>
      <c r="M95" t="str">
        <f t="shared" si="1"/>
        <v>https://epvo.kz/#/verification_education_document?iin=030910651363&amp;diplomaSeries=BD&amp;diplomaNumber=00025654525</v>
      </c>
    </row>
    <row r="96" spans="1:13" x14ac:dyDescent="0.25">
      <c r="A96" t="s">
        <v>625</v>
      </c>
      <c r="B96" t="s">
        <v>1236</v>
      </c>
      <c r="C96" t="s">
        <v>53</v>
      </c>
      <c r="D96" t="s">
        <v>70</v>
      </c>
      <c r="E96" t="s">
        <v>55</v>
      </c>
      <c r="F96" t="s">
        <v>1035</v>
      </c>
      <c r="G96" t="s">
        <v>1036</v>
      </c>
      <c r="H96" t="s">
        <v>71</v>
      </c>
      <c r="I96" t="s">
        <v>56</v>
      </c>
      <c r="J96" t="s">
        <v>1237</v>
      </c>
      <c r="K96" t="s">
        <v>54</v>
      </c>
      <c r="L96" t="s">
        <v>1233</v>
      </c>
      <c r="M96" t="str">
        <f t="shared" si="1"/>
        <v>https://epvo.kz/#/verification_education_document?iin=040429651380&amp;diplomaSeries=BD&amp;diplomaNumber=00025654125</v>
      </c>
    </row>
    <row r="97" spans="1:13" x14ac:dyDescent="0.25">
      <c r="A97" t="s">
        <v>620</v>
      </c>
      <c r="B97" t="s">
        <v>1238</v>
      </c>
      <c r="C97" t="s">
        <v>53</v>
      </c>
      <c r="D97" t="s">
        <v>70</v>
      </c>
      <c r="E97" t="s">
        <v>55</v>
      </c>
      <c r="F97" t="s">
        <v>1035</v>
      </c>
      <c r="G97" t="s">
        <v>1036</v>
      </c>
      <c r="H97" t="s">
        <v>71</v>
      </c>
      <c r="I97" t="s">
        <v>56</v>
      </c>
      <c r="J97" t="s">
        <v>1239</v>
      </c>
      <c r="K97" t="s">
        <v>54</v>
      </c>
      <c r="L97" t="s">
        <v>1233</v>
      </c>
      <c r="M97" t="str">
        <f t="shared" si="1"/>
        <v>https://epvo.kz/#/verification_education_document?iin=040317500300&amp;diplomaSeries=BD&amp;diplomaNumber=00025653825</v>
      </c>
    </row>
    <row r="98" spans="1:13" x14ac:dyDescent="0.25">
      <c r="A98" t="s">
        <v>615</v>
      </c>
      <c r="B98" t="s">
        <v>1240</v>
      </c>
      <c r="C98" t="s">
        <v>53</v>
      </c>
      <c r="D98" t="s">
        <v>70</v>
      </c>
      <c r="E98" t="s">
        <v>55</v>
      </c>
      <c r="F98" t="s">
        <v>1035</v>
      </c>
      <c r="G98" t="s">
        <v>1036</v>
      </c>
      <c r="H98" t="s">
        <v>71</v>
      </c>
      <c r="I98" t="s">
        <v>56</v>
      </c>
      <c r="J98" t="s">
        <v>1241</v>
      </c>
      <c r="K98" t="s">
        <v>54</v>
      </c>
      <c r="L98" t="s">
        <v>1233</v>
      </c>
      <c r="M98" t="str">
        <f t="shared" si="1"/>
        <v>https://epvo.kz/#/verification_education_document?iin=031231600599&amp;diplomaSeries=BD&amp;diplomaNumber=00025651725</v>
      </c>
    </row>
    <row r="99" spans="1:13" x14ac:dyDescent="0.25">
      <c r="A99" t="s">
        <v>610</v>
      </c>
      <c r="B99" t="s">
        <v>1242</v>
      </c>
      <c r="C99" t="s">
        <v>53</v>
      </c>
      <c r="D99" t="s">
        <v>70</v>
      </c>
      <c r="E99" t="s">
        <v>55</v>
      </c>
      <c r="F99" t="s">
        <v>1035</v>
      </c>
      <c r="G99" t="s">
        <v>1036</v>
      </c>
      <c r="H99" t="s">
        <v>71</v>
      </c>
      <c r="I99" t="s">
        <v>56</v>
      </c>
      <c r="J99" t="s">
        <v>1243</v>
      </c>
      <c r="K99" t="s">
        <v>54</v>
      </c>
      <c r="L99" t="s">
        <v>1233</v>
      </c>
      <c r="M99" t="str">
        <f t="shared" si="1"/>
        <v>https://epvo.kz/#/verification_education_document?iin=030822601329&amp;diplomaSeries=BD&amp;diplomaNumber=00025651525</v>
      </c>
    </row>
    <row r="100" spans="1:13" x14ac:dyDescent="0.25">
      <c r="A100" t="s">
        <v>605</v>
      </c>
      <c r="B100" t="s">
        <v>1244</v>
      </c>
      <c r="C100" t="s">
        <v>53</v>
      </c>
      <c r="D100" t="s">
        <v>70</v>
      </c>
      <c r="E100" t="s">
        <v>55</v>
      </c>
      <c r="F100" t="s">
        <v>1035</v>
      </c>
      <c r="G100" t="s">
        <v>1036</v>
      </c>
      <c r="H100" t="s">
        <v>71</v>
      </c>
      <c r="I100" t="s">
        <v>56</v>
      </c>
      <c r="J100" t="s">
        <v>1245</v>
      </c>
      <c r="K100" t="s">
        <v>54</v>
      </c>
      <c r="L100" t="s">
        <v>1233</v>
      </c>
      <c r="M100" t="str">
        <f t="shared" si="1"/>
        <v>https://epvo.kz/#/verification_education_document?iin=040421601291&amp;diplomaSeries=BD&amp;diplomaNumber=00025651325</v>
      </c>
    </row>
    <row r="101" spans="1:13" x14ac:dyDescent="0.25">
      <c r="A101" t="s">
        <v>600</v>
      </c>
      <c r="B101" t="s">
        <v>1246</v>
      </c>
      <c r="C101" t="s">
        <v>53</v>
      </c>
      <c r="D101" t="s">
        <v>70</v>
      </c>
      <c r="E101" t="s">
        <v>55</v>
      </c>
      <c r="F101" t="s">
        <v>1035</v>
      </c>
      <c r="G101" t="s">
        <v>1036</v>
      </c>
      <c r="H101" t="s">
        <v>71</v>
      </c>
      <c r="I101" t="s">
        <v>56</v>
      </c>
      <c r="J101" t="s">
        <v>1247</v>
      </c>
      <c r="K101" t="s">
        <v>54</v>
      </c>
      <c r="L101" t="s">
        <v>1233</v>
      </c>
      <c r="M101" t="str">
        <f t="shared" si="1"/>
        <v>https://epvo.kz/#/verification_education_document?iin=030516600773&amp;diplomaSeries=BD&amp;diplomaNumber=00025651125</v>
      </c>
    </row>
    <row r="102" spans="1:13" x14ac:dyDescent="0.25">
      <c r="A102" t="s">
        <v>595</v>
      </c>
      <c r="B102" t="s">
        <v>1248</v>
      </c>
      <c r="C102" t="s">
        <v>53</v>
      </c>
      <c r="D102" t="s">
        <v>70</v>
      </c>
      <c r="E102" t="s">
        <v>55</v>
      </c>
      <c r="F102" t="s">
        <v>1035</v>
      </c>
      <c r="G102" t="s">
        <v>1036</v>
      </c>
      <c r="H102" t="s">
        <v>71</v>
      </c>
      <c r="I102" t="s">
        <v>56</v>
      </c>
      <c r="J102" t="s">
        <v>1249</v>
      </c>
      <c r="K102" t="s">
        <v>54</v>
      </c>
      <c r="L102" t="s">
        <v>1233</v>
      </c>
      <c r="M102" t="str">
        <f t="shared" si="1"/>
        <v>https://epvo.kz/#/verification_education_document?iin=040813650875&amp;diplomaSeries=BD&amp;diplomaNumber=00025650925</v>
      </c>
    </row>
    <row r="103" spans="1:13" x14ac:dyDescent="0.25">
      <c r="A103" t="s">
        <v>585</v>
      </c>
      <c r="B103" t="s">
        <v>1250</v>
      </c>
      <c r="C103" t="s">
        <v>53</v>
      </c>
      <c r="D103" t="s">
        <v>70</v>
      </c>
      <c r="E103" t="s">
        <v>55</v>
      </c>
      <c r="F103" t="s">
        <v>1035</v>
      </c>
      <c r="G103" t="s">
        <v>1036</v>
      </c>
      <c r="H103" t="s">
        <v>71</v>
      </c>
      <c r="I103" t="s">
        <v>56</v>
      </c>
      <c r="J103" t="s">
        <v>1251</v>
      </c>
      <c r="K103" t="s">
        <v>54</v>
      </c>
      <c r="L103" t="s">
        <v>1233</v>
      </c>
      <c r="M103" t="str">
        <f t="shared" si="1"/>
        <v>https://epvo.kz/#/verification_education_document?iin=040708651055&amp;diplomaSeries=BD&amp;diplomaNumber=00025650825</v>
      </c>
    </row>
    <row r="104" spans="1:13" x14ac:dyDescent="0.25">
      <c r="A104" t="s">
        <v>580</v>
      </c>
      <c r="B104" t="s">
        <v>1252</v>
      </c>
      <c r="C104" t="s">
        <v>53</v>
      </c>
      <c r="D104" t="s">
        <v>70</v>
      </c>
      <c r="E104" t="s">
        <v>55</v>
      </c>
      <c r="F104" t="s">
        <v>1035</v>
      </c>
      <c r="G104" t="s">
        <v>1036</v>
      </c>
      <c r="H104" t="s">
        <v>71</v>
      </c>
      <c r="I104" t="s">
        <v>56</v>
      </c>
      <c r="J104" t="s">
        <v>1253</v>
      </c>
      <c r="K104" t="s">
        <v>54</v>
      </c>
      <c r="L104" t="s">
        <v>1233</v>
      </c>
      <c r="M104" t="str">
        <f t="shared" si="1"/>
        <v>https://epvo.kz/#/verification_education_document?iin=040323600984&amp;diplomaSeries=BD&amp;diplomaNumber=00025650625</v>
      </c>
    </row>
    <row r="105" spans="1:13" x14ac:dyDescent="0.25">
      <c r="A105" t="s">
        <v>575</v>
      </c>
      <c r="B105" t="s">
        <v>1254</v>
      </c>
      <c r="C105" t="s">
        <v>53</v>
      </c>
      <c r="D105" t="s">
        <v>70</v>
      </c>
      <c r="E105" t="s">
        <v>55</v>
      </c>
      <c r="F105" t="s">
        <v>1035</v>
      </c>
      <c r="G105" t="s">
        <v>1036</v>
      </c>
      <c r="H105" t="s">
        <v>71</v>
      </c>
      <c r="I105" t="s">
        <v>56</v>
      </c>
      <c r="J105" t="s">
        <v>1255</v>
      </c>
      <c r="K105" t="s">
        <v>54</v>
      </c>
      <c r="L105" t="s">
        <v>1233</v>
      </c>
      <c r="M105" t="str">
        <f t="shared" si="1"/>
        <v>https://epvo.kz/#/verification_education_document?iin=040125601311&amp;diplomaSeries=BD&amp;diplomaNumber=00025650525</v>
      </c>
    </row>
    <row r="106" spans="1:13" x14ac:dyDescent="0.25">
      <c r="A106" t="s">
        <v>570</v>
      </c>
      <c r="B106" t="s">
        <v>1256</v>
      </c>
      <c r="C106" t="s">
        <v>53</v>
      </c>
      <c r="D106" t="s">
        <v>70</v>
      </c>
      <c r="E106" t="s">
        <v>55</v>
      </c>
      <c r="F106" t="s">
        <v>1035</v>
      </c>
      <c r="G106" t="s">
        <v>1036</v>
      </c>
      <c r="H106" t="s">
        <v>71</v>
      </c>
      <c r="I106" t="s">
        <v>56</v>
      </c>
      <c r="J106" t="s">
        <v>1257</v>
      </c>
      <c r="K106" t="s">
        <v>54</v>
      </c>
      <c r="L106" t="s">
        <v>1233</v>
      </c>
      <c r="M106" t="str">
        <f t="shared" si="1"/>
        <v>https://epvo.kz/#/verification_education_document?iin=031122551079&amp;diplomaSeries=BD&amp;diplomaNumber=00025650325</v>
      </c>
    </row>
    <row r="107" spans="1:13" x14ac:dyDescent="0.25">
      <c r="A107" t="s">
        <v>565</v>
      </c>
      <c r="B107" t="s">
        <v>1258</v>
      </c>
      <c r="C107" t="s">
        <v>53</v>
      </c>
      <c r="D107" t="s">
        <v>70</v>
      </c>
      <c r="E107" t="s">
        <v>55</v>
      </c>
      <c r="F107" t="s">
        <v>1035</v>
      </c>
      <c r="G107" t="s">
        <v>1036</v>
      </c>
      <c r="H107" t="s">
        <v>71</v>
      </c>
      <c r="I107" t="s">
        <v>56</v>
      </c>
      <c r="J107" t="s">
        <v>1259</v>
      </c>
      <c r="K107" t="s">
        <v>54</v>
      </c>
      <c r="L107" t="s">
        <v>1260</v>
      </c>
      <c r="M107" t="str">
        <f t="shared" si="1"/>
        <v>https://epvo.kz/#/verification_education_document?iin=040120601700&amp;diplomaSeries=BD&amp;diplomaNumber=00025649825</v>
      </c>
    </row>
    <row r="108" spans="1:13" x14ac:dyDescent="0.25">
      <c r="A108" t="s">
        <v>560</v>
      </c>
      <c r="B108" t="s">
        <v>1261</v>
      </c>
      <c r="C108" t="s">
        <v>53</v>
      </c>
      <c r="D108" t="s">
        <v>70</v>
      </c>
      <c r="E108" t="s">
        <v>55</v>
      </c>
      <c r="F108" t="s">
        <v>1035</v>
      </c>
      <c r="G108" t="s">
        <v>1036</v>
      </c>
      <c r="H108" t="s">
        <v>71</v>
      </c>
      <c r="I108" t="s">
        <v>56</v>
      </c>
      <c r="J108" t="s">
        <v>1262</v>
      </c>
      <c r="K108" t="s">
        <v>54</v>
      </c>
      <c r="L108" t="s">
        <v>1260</v>
      </c>
      <c r="M108" t="str">
        <f t="shared" si="1"/>
        <v>https://epvo.kz/#/verification_education_document?iin=040310600735&amp;diplomaSeries=BD&amp;diplomaNumber=00025649625</v>
      </c>
    </row>
    <row r="109" spans="1:13" x14ac:dyDescent="0.25">
      <c r="A109" t="s">
        <v>550</v>
      </c>
      <c r="B109" t="s">
        <v>1263</v>
      </c>
      <c r="C109" t="s">
        <v>53</v>
      </c>
      <c r="D109" t="s">
        <v>70</v>
      </c>
      <c r="E109" t="s">
        <v>55</v>
      </c>
      <c r="F109" t="s">
        <v>1035</v>
      </c>
      <c r="G109" t="s">
        <v>1036</v>
      </c>
      <c r="H109" t="s">
        <v>71</v>
      </c>
      <c r="I109" t="s">
        <v>56</v>
      </c>
      <c r="J109" t="s">
        <v>1264</v>
      </c>
      <c r="K109" t="s">
        <v>54</v>
      </c>
      <c r="L109" t="s">
        <v>1260</v>
      </c>
      <c r="M109" t="str">
        <f t="shared" si="1"/>
        <v>https://epvo.kz/#/verification_education_document?iin=030604650649&amp;diplomaSeries=BD&amp;diplomaNumber=00025649525</v>
      </c>
    </row>
    <row r="110" spans="1:13" x14ac:dyDescent="0.25">
      <c r="A110" t="s">
        <v>546</v>
      </c>
      <c r="B110" t="s">
        <v>1265</v>
      </c>
      <c r="C110" t="s">
        <v>53</v>
      </c>
      <c r="D110" t="s">
        <v>70</v>
      </c>
      <c r="E110" t="s">
        <v>55</v>
      </c>
      <c r="F110" t="s">
        <v>1035</v>
      </c>
      <c r="G110" t="s">
        <v>1036</v>
      </c>
      <c r="H110" t="s">
        <v>71</v>
      </c>
      <c r="I110" t="s">
        <v>56</v>
      </c>
      <c r="J110" t="s">
        <v>1266</v>
      </c>
      <c r="K110" t="s">
        <v>54</v>
      </c>
      <c r="L110" t="s">
        <v>1260</v>
      </c>
      <c r="M110" t="str">
        <f t="shared" si="1"/>
        <v>https://epvo.kz/#/verification_education_document?iin=040825601753&amp;diplomaSeries=BD&amp;diplomaNumber=00025649425</v>
      </c>
    </row>
    <row r="111" spans="1:13" x14ac:dyDescent="0.25">
      <c r="A111" t="s">
        <v>541</v>
      </c>
      <c r="B111" t="s">
        <v>1267</v>
      </c>
      <c r="C111" t="s">
        <v>53</v>
      </c>
      <c r="D111" t="s">
        <v>70</v>
      </c>
      <c r="E111" t="s">
        <v>55</v>
      </c>
      <c r="F111" t="s">
        <v>1035</v>
      </c>
      <c r="G111" t="s">
        <v>1036</v>
      </c>
      <c r="H111" t="s">
        <v>71</v>
      </c>
      <c r="I111" t="s">
        <v>56</v>
      </c>
      <c r="J111" t="s">
        <v>1268</v>
      </c>
      <c r="K111" t="s">
        <v>54</v>
      </c>
      <c r="L111" t="s">
        <v>1260</v>
      </c>
      <c r="M111" t="str">
        <f t="shared" si="1"/>
        <v>https://epvo.kz/#/verification_education_document?iin=040516601387&amp;diplomaSeries=BD&amp;diplomaNumber=00025649325</v>
      </c>
    </row>
    <row r="112" spans="1:13" x14ac:dyDescent="0.25">
      <c r="A112" t="s">
        <v>536</v>
      </c>
      <c r="B112" t="s">
        <v>1269</v>
      </c>
      <c r="C112" t="s">
        <v>53</v>
      </c>
      <c r="D112" t="s">
        <v>70</v>
      </c>
      <c r="E112" t="s">
        <v>55</v>
      </c>
      <c r="F112" t="s">
        <v>1035</v>
      </c>
      <c r="G112" t="s">
        <v>1036</v>
      </c>
      <c r="H112" t="s">
        <v>71</v>
      </c>
      <c r="I112" t="s">
        <v>56</v>
      </c>
      <c r="J112" t="s">
        <v>1270</v>
      </c>
      <c r="K112" t="s">
        <v>54</v>
      </c>
      <c r="L112" t="s">
        <v>1260</v>
      </c>
      <c r="M112" t="str">
        <f t="shared" si="1"/>
        <v>https://epvo.kz/#/verification_education_document?iin=031209502182&amp;diplomaSeries=BD&amp;diplomaNumber=00025649225</v>
      </c>
    </row>
    <row r="113" spans="1:13" x14ac:dyDescent="0.25">
      <c r="A113" t="s">
        <v>531</v>
      </c>
      <c r="B113" t="s">
        <v>1271</v>
      </c>
      <c r="C113" t="s">
        <v>53</v>
      </c>
      <c r="D113" t="s">
        <v>70</v>
      </c>
      <c r="E113" t="s">
        <v>55</v>
      </c>
      <c r="F113" t="s">
        <v>1035</v>
      </c>
      <c r="G113" t="s">
        <v>1036</v>
      </c>
      <c r="H113" t="s">
        <v>71</v>
      </c>
      <c r="I113" t="s">
        <v>56</v>
      </c>
      <c r="J113" t="s">
        <v>1272</v>
      </c>
      <c r="K113" t="s">
        <v>54</v>
      </c>
      <c r="L113" t="s">
        <v>1260</v>
      </c>
      <c r="M113" t="str">
        <f t="shared" si="1"/>
        <v>https://epvo.kz/#/verification_education_document?iin=030919600982&amp;diplomaSeries=BD&amp;diplomaNumber=00025649025</v>
      </c>
    </row>
    <row r="114" spans="1:13" x14ac:dyDescent="0.25">
      <c r="A114" t="s">
        <v>526</v>
      </c>
      <c r="B114" t="s">
        <v>1273</v>
      </c>
      <c r="C114" t="s">
        <v>53</v>
      </c>
      <c r="D114" t="s">
        <v>70</v>
      </c>
      <c r="E114" t="s">
        <v>55</v>
      </c>
      <c r="F114" t="s">
        <v>1035</v>
      </c>
      <c r="G114" t="s">
        <v>1036</v>
      </c>
      <c r="H114" t="s">
        <v>71</v>
      </c>
      <c r="I114" t="s">
        <v>56</v>
      </c>
      <c r="J114" t="s">
        <v>1274</v>
      </c>
      <c r="K114" t="s">
        <v>54</v>
      </c>
      <c r="L114" t="s">
        <v>1260</v>
      </c>
      <c r="M114" t="str">
        <f t="shared" si="1"/>
        <v>https://epvo.kz/#/verification_education_document?iin=030308600831&amp;diplomaSeries=BD&amp;diplomaNumber=00025648825</v>
      </c>
    </row>
    <row r="115" spans="1:13" x14ac:dyDescent="0.25">
      <c r="A115" t="s">
        <v>521</v>
      </c>
      <c r="B115" t="s">
        <v>1275</v>
      </c>
      <c r="C115" t="s">
        <v>53</v>
      </c>
      <c r="D115" t="s">
        <v>70</v>
      </c>
      <c r="E115" t="s">
        <v>55</v>
      </c>
      <c r="F115" t="s">
        <v>1035</v>
      </c>
      <c r="G115" t="s">
        <v>1036</v>
      </c>
      <c r="H115" t="s">
        <v>71</v>
      </c>
      <c r="I115" t="s">
        <v>56</v>
      </c>
      <c r="J115" t="s">
        <v>1276</v>
      </c>
      <c r="K115" t="s">
        <v>54</v>
      </c>
      <c r="L115" t="s">
        <v>1260</v>
      </c>
      <c r="M115" t="str">
        <f t="shared" si="1"/>
        <v>https://epvo.kz/#/verification_education_document?iin=040205601475&amp;diplomaSeries=BD&amp;diplomaNumber=00025648725</v>
      </c>
    </row>
    <row r="116" spans="1:13" x14ac:dyDescent="0.25">
      <c r="A116" t="s">
        <v>516</v>
      </c>
      <c r="B116" t="s">
        <v>1277</v>
      </c>
      <c r="C116" t="s">
        <v>53</v>
      </c>
      <c r="D116" t="s">
        <v>70</v>
      </c>
      <c r="E116" t="s">
        <v>55</v>
      </c>
      <c r="F116" t="s">
        <v>1035</v>
      </c>
      <c r="G116" t="s">
        <v>1036</v>
      </c>
      <c r="H116" t="s">
        <v>71</v>
      </c>
      <c r="I116" t="s">
        <v>56</v>
      </c>
      <c r="J116" t="s">
        <v>1278</v>
      </c>
      <c r="K116" t="s">
        <v>54</v>
      </c>
      <c r="L116" t="s">
        <v>1260</v>
      </c>
      <c r="M116" t="str">
        <f t="shared" si="1"/>
        <v>https://epvo.kz/#/verification_education_document?iin=040622600880&amp;diplomaSeries=BD&amp;diplomaNumber=00025648625</v>
      </c>
    </row>
    <row r="117" spans="1:13" x14ac:dyDescent="0.25">
      <c r="A117" t="s">
        <v>511</v>
      </c>
      <c r="B117" t="s">
        <v>1279</v>
      </c>
      <c r="C117" t="s">
        <v>53</v>
      </c>
      <c r="D117" t="s">
        <v>70</v>
      </c>
      <c r="E117" t="s">
        <v>55</v>
      </c>
      <c r="F117" t="s">
        <v>1035</v>
      </c>
      <c r="G117" t="s">
        <v>1036</v>
      </c>
      <c r="H117" t="s">
        <v>71</v>
      </c>
      <c r="I117" t="s">
        <v>56</v>
      </c>
      <c r="J117" t="s">
        <v>1280</v>
      </c>
      <c r="K117" t="s">
        <v>54</v>
      </c>
      <c r="L117" t="s">
        <v>1260</v>
      </c>
      <c r="M117" t="str">
        <f t="shared" si="1"/>
        <v>https://epvo.kz/#/verification_education_document?iin=031125651329&amp;diplomaSeries=BD&amp;diplomaNumber=00025648525</v>
      </c>
    </row>
    <row r="118" spans="1:13" x14ac:dyDescent="0.25">
      <c r="A118" t="s">
        <v>506</v>
      </c>
      <c r="B118" t="s">
        <v>1281</v>
      </c>
      <c r="C118" t="s">
        <v>53</v>
      </c>
      <c r="D118" t="s">
        <v>70</v>
      </c>
      <c r="E118" t="s">
        <v>55</v>
      </c>
      <c r="F118" t="s">
        <v>1035</v>
      </c>
      <c r="G118" t="s">
        <v>1036</v>
      </c>
      <c r="H118" t="s">
        <v>71</v>
      </c>
      <c r="I118" t="s">
        <v>56</v>
      </c>
      <c r="J118" t="s">
        <v>1282</v>
      </c>
      <c r="K118" t="s">
        <v>54</v>
      </c>
      <c r="L118" t="s">
        <v>1260</v>
      </c>
      <c r="M118" t="str">
        <f t="shared" si="1"/>
        <v>https://epvo.kz/#/verification_education_document?iin=030916601538&amp;diplomaSeries=BD&amp;diplomaNumber=00025648425</v>
      </c>
    </row>
    <row r="119" spans="1:13" x14ac:dyDescent="0.25">
      <c r="A119" t="s">
        <v>501</v>
      </c>
      <c r="B119" t="s">
        <v>1283</v>
      </c>
      <c r="C119" t="s">
        <v>53</v>
      </c>
      <c r="D119" t="s">
        <v>70</v>
      </c>
      <c r="E119" t="s">
        <v>55</v>
      </c>
      <c r="F119" t="s">
        <v>1035</v>
      </c>
      <c r="G119" t="s">
        <v>1036</v>
      </c>
      <c r="H119" t="s">
        <v>71</v>
      </c>
      <c r="I119" t="s">
        <v>56</v>
      </c>
      <c r="J119" t="s">
        <v>1284</v>
      </c>
      <c r="K119" t="s">
        <v>54</v>
      </c>
      <c r="L119" t="s">
        <v>1260</v>
      </c>
      <c r="M119" t="str">
        <f t="shared" si="1"/>
        <v>https://epvo.kz/#/verification_education_document?iin=040415651532&amp;diplomaSeries=BD&amp;diplomaNumber=00025648325</v>
      </c>
    </row>
    <row r="120" spans="1:13" x14ac:dyDescent="0.25">
      <c r="A120" t="s">
        <v>486</v>
      </c>
      <c r="B120" t="s">
        <v>1285</v>
      </c>
      <c r="C120" t="s">
        <v>53</v>
      </c>
      <c r="D120" t="s">
        <v>70</v>
      </c>
      <c r="E120" t="s">
        <v>55</v>
      </c>
      <c r="F120" t="s">
        <v>1035</v>
      </c>
      <c r="G120" t="s">
        <v>1036</v>
      </c>
      <c r="H120" t="s">
        <v>71</v>
      </c>
      <c r="I120" t="s">
        <v>56</v>
      </c>
      <c r="J120" t="s">
        <v>1286</v>
      </c>
      <c r="K120" t="s">
        <v>54</v>
      </c>
      <c r="L120" t="s">
        <v>1287</v>
      </c>
      <c r="M120" t="str">
        <f t="shared" si="1"/>
        <v>https://epvo.kz/#/verification_education_document?iin=040720601316&amp;diplomaSeries=BD&amp;diplomaNumber=00025648125</v>
      </c>
    </row>
    <row r="121" spans="1:13" x14ac:dyDescent="0.25">
      <c r="A121" t="s">
        <v>481</v>
      </c>
      <c r="B121" t="s">
        <v>1288</v>
      </c>
      <c r="C121" t="s">
        <v>53</v>
      </c>
      <c r="D121" t="s">
        <v>70</v>
      </c>
      <c r="E121" t="s">
        <v>55</v>
      </c>
      <c r="F121" t="s">
        <v>1035</v>
      </c>
      <c r="G121" t="s">
        <v>1036</v>
      </c>
      <c r="H121" t="s">
        <v>71</v>
      </c>
      <c r="I121" t="s">
        <v>56</v>
      </c>
      <c r="J121" t="s">
        <v>1289</v>
      </c>
      <c r="K121" t="s">
        <v>54</v>
      </c>
      <c r="L121" t="s">
        <v>1287</v>
      </c>
      <c r="M121" t="str">
        <f t="shared" si="1"/>
        <v>https://epvo.kz/#/verification_education_document?iin=030628601651&amp;diplomaSeries=BD&amp;diplomaNumber=00025647925</v>
      </c>
    </row>
    <row r="122" spans="1:13" x14ac:dyDescent="0.25">
      <c r="A122" t="s">
        <v>476</v>
      </c>
      <c r="B122" t="s">
        <v>1290</v>
      </c>
      <c r="C122" t="s">
        <v>53</v>
      </c>
      <c r="D122" t="s">
        <v>70</v>
      </c>
      <c r="E122" t="s">
        <v>55</v>
      </c>
      <c r="F122" t="s">
        <v>1035</v>
      </c>
      <c r="G122" t="s">
        <v>1036</v>
      </c>
      <c r="H122" t="s">
        <v>71</v>
      </c>
      <c r="I122" t="s">
        <v>56</v>
      </c>
      <c r="J122" t="s">
        <v>1291</v>
      </c>
      <c r="K122" t="s">
        <v>54</v>
      </c>
      <c r="L122" t="s">
        <v>1287</v>
      </c>
      <c r="M122" t="str">
        <f t="shared" si="1"/>
        <v>https://epvo.kz/#/verification_education_document?iin=040801650770&amp;diplomaSeries=BD&amp;diplomaNumber=00025647725</v>
      </c>
    </row>
    <row r="123" spans="1:13" x14ac:dyDescent="0.25">
      <c r="A123" t="s">
        <v>471</v>
      </c>
      <c r="B123" t="s">
        <v>1292</v>
      </c>
      <c r="C123" t="s">
        <v>53</v>
      </c>
      <c r="D123" t="s">
        <v>70</v>
      </c>
      <c r="E123" t="s">
        <v>55</v>
      </c>
      <c r="F123" t="s">
        <v>1035</v>
      </c>
      <c r="G123" t="s">
        <v>1036</v>
      </c>
      <c r="H123" t="s">
        <v>71</v>
      </c>
      <c r="I123" t="s">
        <v>56</v>
      </c>
      <c r="J123" t="s">
        <v>1293</v>
      </c>
      <c r="K123" t="s">
        <v>54</v>
      </c>
      <c r="L123" t="s">
        <v>1287</v>
      </c>
      <c r="M123" t="str">
        <f t="shared" si="1"/>
        <v>https://epvo.kz/#/verification_education_document?iin=031106601081&amp;diplomaSeries=BD&amp;diplomaNumber=00025647425</v>
      </c>
    </row>
    <row r="124" spans="1:13" x14ac:dyDescent="0.25">
      <c r="A124" t="s">
        <v>466</v>
      </c>
      <c r="B124" t="s">
        <v>1294</v>
      </c>
      <c r="C124" t="s">
        <v>53</v>
      </c>
      <c r="D124" t="s">
        <v>70</v>
      </c>
      <c r="E124" t="s">
        <v>55</v>
      </c>
      <c r="F124" t="s">
        <v>1035</v>
      </c>
      <c r="G124" t="s">
        <v>1036</v>
      </c>
      <c r="H124" t="s">
        <v>71</v>
      </c>
      <c r="I124" t="s">
        <v>56</v>
      </c>
      <c r="J124" t="s">
        <v>1295</v>
      </c>
      <c r="K124" t="s">
        <v>54</v>
      </c>
      <c r="L124" t="s">
        <v>1296</v>
      </c>
      <c r="M124" t="str">
        <f t="shared" si="1"/>
        <v>https://epvo.kz/#/verification_education_document?iin=040920601521&amp;diplomaSeries=BD&amp;diplomaNumber=00025646325</v>
      </c>
    </row>
    <row r="125" spans="1:13" x14ac:dyDescent="0.25">
      <c r="A125" t="s">
        <v>461</v>
      </c>
      <c r="B125" t="s">
        <v>1297</v>
      </c>
      <c r="C125" t="s">
        <v>53</v>
      </c>
      <c r="D125" t="s">
        <v>70</v>
      </c>
      <c r="E125" t="s">
        <v>55</v>
      </c>
      <c r="F125" t="s">
        <v>1035</v>
      </c>
      <c r="G125" t="s">
        <v>1036</v>
      </c>
      <c r="H125" t="s">
        <v>71</v>
      </c>
      <c r="I125" t="s">
        <v>56</v>
      </c>
      <c r="J125" t="s">
        <v>1298</v>
      </c>
      <c r="K125" t="s">
        <v>54</v>
      </c>
      <c r="L125" t="s">
        <v>1296</v>
      </c>
      <c r="M125" t="str">
        <f t="shared" si="1"/>
        <v>https://epvo.kz/#/verification_education_document?iin=030820600311&amp;diplomaSeries=BD&amp;diplomaNumber=00025646225</v>
      </c>
    </row>
    <row r="126" spans="1:13" x14ac:dyDescent="0.25">
      <c r="A126" t="s">
        <v>456</v>
      </c>
      <c r="B126" t="s">
        <v>1299</v>
      </c>
      <c r="C126" t="s">
        <v>53</v>
      </c>
      <c r="D126" t="s">
        <v>70</v>
      </c>
      <c r="E126" t="s">
        <v>55</v>
      </c>
      <c r="F126" t="s">
        <v>1035</v>
      </c>
      <c r="G126" t="s">
        <v>1036</v>
      </c>
      <c r="H126" t="s">
        <v>71</v>
      </c>
      <c r="I126" t="s">
        <v>56</v>
      </c>
      <c r="J126" t="s">
        <v>1300</v>
      </c>
      <c r="K126" t="s">
        <v>54</v>
      </c>
      <c r="L126" t="s">
        <v>1296</v>
      </c>
      <c r="M126" t="str">
        <f t="shared" si="1"/>
        <v>https://epvo.kz/#/verification_education_document?iin=040117601328&amp;diplomaSeries=BD&amp;diplomaNumber=00025646025</v>
      </c>
    </row>
    <row r="127" spans="1:13" x14ac:dyDescent="0.25">
      <c r="A127" t="s">
        <v>451</v>
      </c>
      <c r="B127" t="s">
        <v>1301</v>
      </c>
      <c r="C127" t="s">
        <v>53</v>
      </c>
      <c r="D127" t="s">
        <v>70</v>
      </c>
      <c r="E127" t="s">
        <v>55</v>
      </c>
      <c r="F127" t="s">
        <v>1035</v>
      </c>
      <c r="G127" t="s">
        <v>1036</v>
      </c>
      <c r="H127" t="s">
        <v>71</v>
      </c>
      <c r="I127" t="s">
        <v>56</v>
      </c>
      <c r="J127" t="s">
        <v>1302</v>
      </c>
      <c r="K127" t="s">
        <v>54</v>
      </c>
      <c r="L127" t="s">
        <v>1296</v>
      </c>
      <c r="M127" t="str">
        <f t="shared" si="1"/>
        <v>https://epvo.kz/#/verification_education_document?iin=031002600711&amp;diplomaSeries=BD&amp;diplomaNumber=00025645925</v>
      </c>
    </row>
    <row r="128" spans="1:13" x14ac:dyDescent="0.25">
      <c r="A128" t="s">
        <v>446</v>
      </c>
      <c r="B128" t="s">
        <v>1303</v>
      </c>
      <c r="C128" t="s">
        <v>53</v>
      </c>
      <c r="D128" t="s">
        <v>70</v>
      </c>
      <c r="E128" t="s">
        <v>55</v>
      </c>
      <c r="F128" t="s">
        <v>1035</v>
      </c>
      <c r="G128" t="s">
        <v>1036</v>
      </c>
      <c r="H128" t="s">
        <v>71</v>
      </c>
      <c r="I128" t="s">
        <v>56</v>
      </c>
      <c r="J128" t="s">
        <v>1304</v>
      </c>
      <c r="K128" t="s">
        <v>54</v>
      </c>
      <c r="L128" t="s">
        <v>1296</v>
      </c>
      <c r="M128" t="str">
        <f t="shared" si="1"/>
        <v>https://epvo.kz/#/verification_education_document?iin=040614601469&amp;diplomaSeries=BD&amp;diplomaNumber=00025645725</v>
      </c>
    </row>
    <row r="129" spans="1:13" x14ac:dyDescent="0.25">
      <c r="A129" t="s">
        <v>441</v>
      </c>
      <c r="B129" t="s">
        <v>1305</v>
      </c>
      <c r="C129" t="s">
        <v>53</v>
      </c>
      <c r="D129" t="s">
        <v>70</v>
      </c>
      <c r="E129" t="s">
        <v>55</v>
      </c>
      <c r="F129" t="s">
        <v>1035</v>
      </c>
      <c r="G129" t="s">
        <v>1036</v>
      </c>
      <c r="H129" t="s">
        <v>71</v>
      </c>
      <c r="I129" t="s">
        <v>56</v>
      </c>
      <c r="J129" t="s">
        <v>1306</v>
      </c>
      <c r="K129" t="s">
        <v>54</v>
      </c>
      <c r="L129" t="s">
        <v>1307</v>
      </c>
      <c r="M129" t="str">
        <f t="shared" si="1"/>
        <v>https://epvo.kz/#/verification_education_document?iin=040115650642&amp;diplomaSeries=BD&amp;diplomaNumber=00025642725</v>
      </c>
    </row>
    <row r="130" spans="1:13" x14ac:dyDescent="0.25">
      <c r="A130" t="s">
        <v>436</v>
      </c>
      <c r="B130" t="s">
        <v>1308</v>
      </c>
      <c r="C130" t="s">
        <v>53</v>
      </c>
      <c r="D130" t="s">
        <v>70</v>
      </c>
      <c r="E130" t="s">
        <v>55</v>
      </c>
      <c r="F130" t="s">
        <v>1035</v>
      </c>
      <c r="G130" t="s">
        <v>1036</v>
      </c>
      <c r="H130" t="s">
        <v>71</v>
      </c>
      <c r="I130" t="s">
        <v>56</v>
      </c>
      <c r="J130" t="s">
        <v>1309</v>
      </c>
      <c r="K130" t="s">
        <v>54</v>
      </c>
      <c r="L130" t="s">
        <v>1307</v>
      </c>
      <c r="M130" t="str">
        <f t="shared" si="1"/>
        <v>https://epvo.kz/#/verification_education_document?iin=040507602009&amp;diplomaSeries=BD&amp;diplomaNumber=00025642325</v>
      </c>
    </row>
    <row r="131" spans="1:13" x14ac:dyDescent="0.25">
      <c r="A131" t="s">
        <v>421</v>
      </c>
      <c r="B131" t="s">
        <v>1310</v>
      </c>
      <c r="C131" t="s">
        <v>53</v>
      </c>
      <c r="D131" t="s">
        <v>70</v>
      </c>
      <c r="E131" t="s">
        <v>55</v>
      </c>
      <c r="F131" t="s">
        <v>1035</v>
      </c>
      <c r="G131" t="s">
        <v>1036</v>
      </c>
      <c r="H131" t="s">
        <v>71</v>
      </c>
      <c r="I131" t="s">
        <v>56</v>
      </c>
      <c r="J131" t="s">
        <v>1311</v>
      </c>
      <c r="K131" t="s">
        <v>54</v>
      </c>
      <c r="L131" t="s">
        <v>1307</v>
      </c>
      <c r="M131" t="str">
        <f t="shared" ref="M131:M194" si="2">"https://epvo.kz/#/verification_education_document?iin="&amp;A131&amp;"&amp;diplomaSeries="&amp;I131&amp;"&amp;diplomaNumber="&amp;J131</f>
        <v>https://epvo.kz/#/verification_education_document?iin=031208601482&amp;diplomaSeries=BD&amp;diplomaNumber=00025642225</v>
      </c>
    </row>
    <row r="132" spans="1:13" x14ac:dyDescent="0.25">
      <c r="A132" t="s">
        <v>416</v>
      </c>
      <c r="B132" t="s">
        <v>1312</v>
      </c>
      <c r="C132" t="s">
        <v>53</v>
      </c>
      <c r="D132" t="s">
        <v>70</v>
      </c>
      <c r="E132" t="s">
        <v>55</v>
      </c>
      <c r="F132" t="s">
        <v>1035</v>
      </c>
      <c r="G132" t="s">
        <v>1036</v>
      </c>
      <c r="H132" t="s">
        <v>71</v>
      </c>
      <c r="I132" t="s">
        <v>56</v>
      </c>
      <c r="J132" t="s">
        <v>1313</v>
      </c>
      <c r="K132" t="s">
        <v>54</v>
      </c>
      <c r="L132" t="s">
        <v>1307</v>
      </c>
      <c r="M132" t="str">
        <f t="shared" si="2"/>
        <v>https://epvo.kz/#/verification_education_document?iin=031120600288&amp;diplomaSeries=BD&amp;diplomaNumber=00025642125</v>
      </c>
    </row>
    <row r="133" spans="1:13" x14ac:dyDescent="0.25">
      <c r="A133" t="s">
        <v>412</v>
      </c>
      <c r="B133" t="s">
        <v>1314</v>
      </c>
      <c r="C133" t="s">
        <v>53</v>
      </c>
      <c r="D133" t="s">
        <v>70</v>
      </c>
      <c r="E133" t="s">
        <v>55</v>
      </c>
      <c r="F133" t="s">
        <v>1035</v>
      </c>
      <c r="G133" t="s">
        <v>1036</v>
      </c>
      <c r="H133" t="s">
        <v>71</v>
      </c>
      <c r="I133" t="s">
        <v>56</v>
      </c>
      <c r="J133" t="s">
        <v>1315</v>
      </c>
      <c r="K133" t="s">
        <v>54</v>
      </c>
      <c r="L133" t="s">
        <v>1307</v>
      </c>
      <c r="M133" t="str">
        <f t="shared" si="2"/>
        <v>https://epvo.kz/#/verification_education_document?iin=030613600176&amp;diplomaSeries=BD&amp;diplomaNumber=00025642025</v>
      </c>
    </row>
    <row r="134" spans="1:13" x14ac:dyDescent="0.25">
      <c r="A134" t="s">
        <v>407</v>
      </c>
      <c r="B134" t="s">
        <v>1316</v>
      </c>
      <c r="C134" t="s">
        <v>53</v>
      </c>
      <c r="D134" t="s">
        <v>70</v>
      </c>
      <c r="E134" t="s">
        <v>55</v>
      </c>
      <c r="F134" t="s">
        <v>1035</v>
      </c>
      <c r="G134" t="s">
        <v>1036</v>
      </c>
      <c r="H134" t="s">
        <v>71</v>
      </c>
      <c r="I134" t="s">
        <v>56</v>
      </c>
      <c r="J134" t="s">
        <v>1317</v>
      </c>
      <c r="K134" t="s">
        <v>54</v>
      </c>
      <c r="L134" t="s">
        <v>1307</v>
      </c>
      <c r="M134" t="str">
        <f t="shared" si="2"/>
        <v>https://epvo.kz/#/verification_education_document?iin=040321600587&amp;diplomaSeries=BD&amp;diplomaNumber=00025641825</v>
      </c>
    </row>
    <row r="135" spans="1:13" x14ac:dyDescent="0.25">
      <c r="A135" t="s">
        <v>402</v>
      </c>
      <c r="B135" t="s">
        <v>1318</v>
      </c>
      <c r="C135" t="s">
        <v>53</v>
      </c>
      <c r="D135" t="s">
        <v>70</v>
      </c>
      <c r="E135" t="s">
        <v>55</v>
      </c>
      <c r="F135" t="s">
        <v>1035</v>
      </c>
      <c r="G135" t="s">
        <v>1036</v>
      </c>
      <c r="H135" t="s">
        <v>71</v>
      </c>
      <c r="I135" t="s">
        <v>56</v>
      </c>
      <c r="J135" t="s">
        <v>1319</v>
      </c>
      <c r="K135" t="s">
        <v>54</v>
      </c>
      <c r="L135" t="s">
        <v>1307</v>
      </c>
      <c r="M135" t="str">
        <f t="shared" si="2"/>
        <v>https://epvo.kz/#/verification_education_document?iin=040229600755&amp;diplomaSeries=BD&amp;diplomaNumber=00025641725</v>
      </c>
    </row>
    <row r="136" spans="1:13" x14ac:dyDescent="0.25">
      <c r="A136" t="s">
        <v>397</v>
      </c>
      <c r="B136" t="s">
        <v>1320</v>
      </c>
      <c r="C136" t="s">
        <v>53</v>
      </c>
      <c r="D136" t="s">
        <v>70</v>
      </c>
      <c r="E136" t="s">
        <v>55</v>
      </c>
      <c r="F136" t="s">
        <v>1035</v>
      </c>
      <c r="G136" t="s">
        <v>1036</v>
      </c>
      <c r="H136" t="s">
        <v>71</v>
      </c>
      <c r="I136" t="s">
        <v>56</v>
      </c>
      <c r="J136" t="s">
        <v>1321</v>
      </c>
      <c r="K136" t="s">
        <v>54</v>
      </c>
      <c r="L136" t="s">
        <v>1307</v>
      </c>
      <c r="M136" t="str">
        <f t="shared" si="2"/>
        <v>https://epvo.kz/#/verification_education_document?iin=041017600943&amp;diplomaSeries=BD&amp;diplomaNumber=00025641525</v>
      </c>
    </row>
    <row r="137" spans="1:13" x14ac:dyDescent="0.25">
      <c r="A137" t="s">
        <v>392</v>
      </c>
      <c r="B137" t="s">
        <v>1322</v>
      </c>
      <c r="C137" t="s">
        <v>53</v>
      </c>
      <c r="D137" t="s">
        <v>70</v>
      </c>
      <c r="E137" t="s">
        <v>55</v>
      </c>
      <c r="F137" t="s">
        <v>1035</v>
      </c>
      <c r="G137" t="s">
        <v>1036</v>
      </c>
      <c r="H137" t="s">
        <v>71</v>
      </c>
      <c r="I137" t="s">
        <v>56</v>
      </c>
      <c r="J137" t="s">
        <v>1323</v>
      </c>
      <c r="K137" t="s">
        <v>54</v>
      </c>
      <c r="L137" t="s">
        <v>1324</v>
      </c>
      <c r="M137" t="str">
        <f t="shared" si="2"/>
        <v>https://epvo.kz/#/verification_education_document?iin=030615651230&amp;diplomaSeries=BD&amp;diplomaNumber=00025641225</v>
      </c>
    </row>
    <row r="138" spans="1:13" x14ac:dyDescent="0.25">
      <c r="A138" t="s">
        <v>387</v>
      </c>
      <c r="B138" t="s">
        <v>1325</v>
      </c>
      <c r="C138" t="s">
        <v>53</v>
      </c>
      <c r="D138" t="s">
        <v>70</v>
      </c>
      <c r="E138" t="s">
        <v>55</v>
      </c>
      <c r="F138" t="s">
        <v>1035</v>
      </c>
      <c r="G138" t="s">
        <v>1036</v>
      </c>
      <c r="H138" t="s">
        <v>71</v>
      </c>
      <c r="I138" t="s">
        <v>56</v>
      </c>
      <c r="J138" t="s">
        <v>1326</v>
      </c>
      <c r="K138" t="s">
        <v>54</v>
      </c>
      <c r="L138" t="s">
        <v>1324</v>
      </c>
      <c r="M138" t="str">
        <f t="shared" si="2"/>
        <v>https://epvo.kz/#/verification_education_document?iin=040419651188&amp;diplomaSeries=BD&amp;diplomaNumber=00025641125</v>
      </c>
    </row>
    <row r="139" spans="1:13" x14ac:dyDescent="0.25">
      <c r="A139" t="s">
        <v>382</v>
      </c>
      <c r="B139" t="s">
        <v>1327</v>
      </c>
      <c r="C139" t="s">
        <v>53</v>
      </c>
      <c r="D139" t="s">
        <v>70</v>
      </c>
      <c r="E139" t="s">
        <v>55</v>
      </c>
      <c r="F139" t="s">
        <v>1035</v>
      </c>
      <c r="G139" t="s">
        <v>1036</v>
      </c>
      <c r="H139" t="s">
        <v>71</v>
      </c>
      <c r="I139" t="s">
        <v>56</v>
      </c>
      <c r="J139" t="s">
        <v>1328</v>
      </c>
      <c r="K139" t="s">
        <v>54</v>
      </c>
      <c r="L139" t="s">
        <v>1324</v>
      </c>
      <c r="M139" t="str">
        <f t="shared" si="2"/>
        <v>https://epvo.kz/#/verification_education_document?iin=040615600218&amp;diplomaSeries=BD&amp;diplomaNumber=00025641025</v>
      </c>
    </row>
    <row r="140" spans="1:13" x14ac:dyDescent="0.25">
      <c r="A140" t="s">
        <v>378</v>
      </c>
      <c r="B140" t="s">
        <v>1329</v>
      </c>
      <c r="C140" t="s">
        <v>53</v>
      </c>
      <c r="D140" t="s">
        <v>70</v>
      </c>
      <c r="E140" t="s">
        <v>55</v>
      </c>
      <c r="F140" t="s">
        <v>1035</v>
      </c>
      <c r="G140" t="s">
        <v>1036</v>
      </c>
      <c r="H140" t="s">
        <v>71</v>
      </c>
      <c r="I140" t="s">
        <v>56</v>
      </c>
      <c r="J140" t="s">
        <v>1330</v>
      </c>
      <c r="K140" t="s">
        <v>54</v>
      </c>
      <c r="L140" t="s">
        <v>1324</v>
      </c>
      <c r="M140" t="str">
        <f t="shared" si="2"/>
        <v>https://epvo.kz/#/verification_education_document?iin=040620600116&amp;diplomaSeries=BD&amp;diplomaNumber=00025638825</v>
      </c>
    </row>
    <row r="141" spans="1:13" x14ac:dyDescent="0.25">
      <c r="A141" t="s">
        <v>373</v>
      </c>
      <c r="B141" t="s">
        <v>1331</v>
      </c>
      <c r="C141" t="s">
        <v>53</v>
      </c>
      <c r="D141" t="s">
        <v>70</v>
      </c>
      <c r="E141" t="s">
        <v>55</v>
      </c>
      <c r="F141" t="s">
        <v>1035</v>
      </c>
      <c r="G141" t="s">
        <v>1036</v>
      </c>
      <c r="H141" t="s">
        <v>71</v>
      </c>
      <c r="I141" t="s">
        <v>56</v>
      </c>
      <c r="J141" t="s">
        <v>1332</v>
      </c>
      <c r="K141" t="s">
        <v>54</v>
      </c>
      <c r="L141" t="s">
        <v>1333</v>
      </c>
      <c r="M141" t="str">
        <f t="shared" si="2"/>
        <v>https://epvo.kz/#/verification_education_document?iin=040723600324&amp;diplomaSeries=BD&amp;diplomaNumber=00025638125</v>
      </c>
    </row>
    <row r="142" spans="1:13" x14ac:dyDescent="0.25">
      <c r="A142" t="s">
        <v>369</v>
      </c>
      <c r="B142" t="s">
        <v>1334</v>
      </c>
      <c r="C142" t="s">
        <v>53</v>
      </c>
      <c r="D142" t="s">
        <v>70</v>
      </c>
      <c r="E142" t="s">
        <v>55</v>
      </c>
      <c r="F142" t="s">
        <v>1035</v>
      </c>
      <c r="G142" t="s">
        <v>1036</v>
      </c>
      <c r="H142" t="s">
        <v>71</v>
      </c>
      <c r="I142" t="s">
        <v>56</v>
      </c>
      <c r="J142" t="s">
        <v>1335</v>
      </c>
      <c r="K142" t="s">
        <v>54</v>
      </c>
      <c r="L142" t="s">
        <v>1333</v>
      </c>
      <c r="M142" t="str">
        <f t="shared" si="2"/>
        <v>https://epvo.kz/#/verification_education_document?iin=041118651203&amp;diplomaSeries=BD&amp;diplomaNumber=00025637925</v>
      </c>
    </row>
    <row r="143" spans="1:13" x14ac:dyDescent="0.25">
      <c r="A143" t="s">
        <v>364</v>
      </c>
      <c r="B143" t="s">
        <v>1336</v>
      </c>
      <c r="C143" t="s">
        <v>53</v>
      </c>
      <c r="D143" t="s">
        <v>70</v>
      </c>
      <c r="E143" t="s">
        <v>55</v>
      </c>
      <c r="F143" t="s">
        <v>1035</v>
      </c>
      <c r="G143" t="s">
        <v>1036</v>
      </c>
      <c r="H143" t="s">
        <v>71</v>
      </c>
      <c r="I143" t="s">
        <v>56</v>
      </c>
      <c r="J143" t="s">
        <v>1337</v>
      </c>
      <c r="K143" t="s">
        <v>54</v>
      </c>
      <c r="L143" t="s">
        <v>1333</v>
      </c>
      <c r="M143" t="str">
        <f t="shared" si="2"/>
        <v>https://epvo.kz/#/verification_education_document?iin=040711600498&amp;diplomaSeries=BD&amp;diplomaNumber=00025637625</v>
      </c>
    </row>
    <row r="144" spans="1:13" x14ac:dyDescent="0.25">
      <c r="A144" t="s">
        <v>360</v>
      </c>
      <c r="B144" t="s">
        <v>1338</v>
      </c>
      <c r="C144" t="s">
        <v>53</v>
      </c>
      <c r="D144" t="s">
        <v>70</v>
      </c>
      <c r="E144" t="s">
        <v>55</v>
      </c>
      <c r="F144" t="s">
        <v>1035</v>
      </c>
      <c r="G144" t="s">
        <v>1036</v>
      </c>
      <c r="H144" t="s">
        <v>71</v>
      </c>
      <c r="I144" t="s">
        <v>56</v>
      </c>
      <c r="J144" t="s">
        <v>1339</v>
      </c>
      <c r="K144" t="s">
        <v>54</v>
      </c>
      <c r="L144" t="s">
        <v>1333</v>
      </c>
      <c r="M144" t="str">
        <f t="shared" si="2"/>
        <v>https://epvo.kz/#/verification_education_document?iin=040209600964&amp;diplomaSeries=BD&amp;diplomaNumber=00025637325</v>
      </c>
    </row>
    <row r="145" spans="1:13" x14ac:dyDescent="0.25">
      <c r="A145" t="s">
        <v>355</v>
      </c>
      <c r="B145" t="s">
        <v>1340</v>
      </c>
      <c r="C145" t="s">
        <v>53</v>
      </c>
      <c r="D145" t="s">
        <v>70</v>
      </c>
      <c r="E145" t="s">
        <v>55</v>
      </c>
      <c r="F145" t="s">
        <v>1035</v>
      </c>
      <c r="G145" t="s">
        <v>1036</v>
      </c>
      <c r="H145" t="s">
        <v>71</v>
      </c>
      <c r="I145" t="s">
        <v>56</v>
      </c>
      <c r="J145" t="s">
        <v>1341</v>
      </c>
      <c r="K145" t="s">
        <v>54</v>
      </c>
      <c r="L145" t="s">
        <v>1333</v>
      </c>
      <c r="M145" t="str">
        <f t="shared" si="2"/>
        <v>https://epvo.kz/#/verification_education_document?iin=040601650585&amp;diplomaSeries=BD&amp;diplomaNumber=00025637125</v>
      </c>
    </row>
    <row r="146" spans="1:13" x14ac:dyDescent="0.25">
      <c r="A146" t="s">
        <v>350</v>
      </c>
      <c r="B146" t="s">
        <v>1342</v>
      </c>
      <c r="C146" t="s">
        <v>53</v>
      </c>
      <c r="D146" t="s">
        <v>70</v>
      </c>
      <c r="E146" t="s">
        <v>55</v>
      </c>
      <c r="F146" t="s">
        <v>1035</v>
      </c>
      <c r="G146" t="s">
        <v>1036</v>
      </c>
      <c r="H146" t="s">
        <v>71</v>
      </c>
      <c r="I146" t="s">
        <v>56</v>
      </c>
      <c r="J146" t="s">
        <v>1343</v>
      </c>
      <c r="K146" t="s">
        <v>54</v>
      </c>
      <c r="L146" t="s">
        <v>1333</v>
      </c>
      <c r="M146" t="str">
        <f t="shared" si="2"/>
        <v>https://epvo.kz/#/verification_education_document?iin=031005650497&amp;diplomaSeries=BD&amp;diplomaNumber=00025637025</v>
      </c>
    </row>
    <row r="147" spans="1:13" x14ac:dyDescent="0.25">
      <c r="A147" t="s">
        <v>346</v>
      </c>
      <c r="B147" t="s">
        <v>1344</v>
      </c>
      <c r="C147" t="s">
        <v>53</v>
      </c>
      <c r="D147" t="s">
        <v>70</v>
      </c>
      <c r="E147" t="s">
        <v>55</v>
      </c>
      <c r="F147" t="s">
        <v>1035</v>
      </c>
      <c r="G147" t="s">
        <v>1036</v>
      </c>
      <c r="H147" t="s">
        <v>71</v>
      </c>
      <c r="I147" t="s">
        <v>56</v>
      </c>
      <c r="J147" t="s">
        <v>1345</v>
      </c>
      <c r="K147" t="s">
        <v>54</v>
      </c>
      <c r="L147" t="s">
        <v>1333</v>
      </c>
      <c r="M147" t="str">
        <f t="shared" si="2"/>
        <v>https://epvo.kz/#/verification_education_document?iin=040310600567&amp;diplomaSeries=BD&amp;diplomaNumber=00025636925</v>
      </c>
    </row>
    <row r="148" spans="1:13" x14ac:dyDescent="0.25">
      <c r="A148" t="s">
        <v>341</v>
      </c>
      <c r="B148" t="s">
        <v>1346</v>
      </c>
      <c r="C148" t="s">
        <v>53</v>
      </c>
      <c r="D148" t="s">
        <v>70</v>
      </c>
      <c r="E148" t="s">
        <v>55</v>
      </c>
      <c r="F148" t="s">
        <v>1035</v>
      </c>
      <c r="G148" t="s">
        <v>1036</v>
      </c>
      <c r="H148" t="s">
        <v>71</v>
      </c>
      <c r="I148" t="s">
        <v>56</v>
      </c>
      <c r="J148" t="s">
        <v>1347</v>
      </c>
      <c r="K148" t="s">
        <v>54</v>
      </c>
      <c r="L148" t="s">
        <v>1333</v>
      </c>
      <c r="M148" t="str">
        <f t="shared" si="2"/>
        <v>https://epvo.kz/#/verification_education_document?iin=040107651469&amp;diplomaSeries=BD&amp;diplomaNumber=00025636725</v>
      </c>
    </row>
    <row r="149" spans="1:13" x14ac:dyDescent="0.25">
      <c r="A149" t="s">
        <v>337</v>
      </c>
      <c r="B149" t="s">
        <v>1348</v>
      </c>
      <c r="C149" t="s">
        <v>53</v>
      </c>
      <c r="D149" t="s">
        <v>70</v>
      </c>
      <c r="E149" t="s">
        <v>55</v>
      </c>
      <c r="F149" t="s">
        <v>1035</v>
      </c>
      <c r="G149" t="s">
        <v>1036</v>
      </c>
      <c r="H149" t="s">
        <v>71</v>
      </c>
      <c r="I149" t="s">
        <v>56</v>
      </c>
      <c r="J149" t="s">
        <v>1349</v>
      </c>
      <c r="K149" t="s">
        <v>54</v>
      </c>
      <c r="L149" t="s">
        <v>1333</v>
      </c>
      <c r="M149" t="str">
        <f t="shared" si="2"/>
        <v>https://epvo.kz/#/verification_education_document?iin=040117600697&amp;diplomaSeries=BD&amp;diplomaNumber=00025636525</v>
      </c>
    </row>
    <row r="150" spans="1:13" x14ac:dyDescent="0.25">
      <c r="A150" t="s">
        <v>332</v>
      </c>
      <c r="B150" t="s">
        <v>1350</v>
      </c>
      <c r="C150" t="s">
        <v>53</v>
      </c>
      <c r="D150" t="s">
        <v>70</v>
      </c>
      <c r="E150" t="s">
        <v>55</v>
      </c>
      <c r="F150" t="s">
        <v>1035</v>
      </c>
      <c r="G150" t="s">
        <v>1036</v>
      </c>
      <c r="H150" t="s">
        <v>71</v>
      </c>
      <c r="I150" t="s">
        <v>56</v>
      </c>
      <c r="J150" t="s">
        <v>1351</v>
      </c>
      <c r="K150" t="s">
        <v>54</v>
      </c>
      <c r="L150" t="s">
        <v>1333</v>
      </c>
      <c r="M150" t="str">
        <f t="shared" si="2"/>
        <v>https://epvo.kz/#/verification_education_document?iin=040605601231&amp;diplomaSeries=BD&amp;diplomaNumber=00025636425</v>
      </c>
    </row>
    <row r="151" spans="1:13" x14ac:dyDescent="0.25">
      <c r="A151" t="s">
        <v>328</v>
      </c>
      <c r="B151" t="s">
        <v>1352</v>
      </c>
      <c r="C151" t="s">
        <v>53</v>
      </c>
      <c r="D151" t="s">
        <v>70</v>
      </c>
      <c r="E151" t="s">
        <v>55</v>
      </c>
      <c r="F151" t="s">
        <v>1035</v>
      </c>
      <c r="G151" t="s">
        <v>1036</v>
      </c>
      <c r="H151" t="s">
        <v>71</v>
      </c>
      <c r="I151" t="s">
        <v>56</v>
      </c>
      <c r="J151" t="s">
        <v>1353</v>
      </c>
      <c r="K151" t="s">
        <v>54</v>
      </c>
      <c r="L151" t="s">
        <v>1333</v>
      </c>
      <c r="M151" t="str">
        <f t="shared" si="2"/>
        <v>https://epvo.kz/#/verification_education_document?iin=031022601451&amp;diplomaSeries=BD&amp;diplomaNumber=00025636225</v>
      </c>
    </row>
    <row r="152" spans="1:13" x14ac:dyDescent="0.25">
      <c r="A152" t="s">
        <v>323</v>
      </c>
      <c r="B152" t="s">
        <v>1354</v>
      </c>
      <c r="C152" t="s">
        <v>53</v>
      </c>
      <c r="D152" t="s">
        <v>70</v>
      </c>
      <c r="E152" t="s">
        <v>55</v>
      </c>
      <c r="F152" t="s">
        <v>1035</v>
      </c>
      <c r="G152" t="s">
        <v>1036</v>
      </c>
      <c r="H152" t="s">
        <v>71</v>
      </c>
      <c r="I152" t="s">
        <v>56</v>
      </c>
      <c r="J152" t="s">
        <v>1355</v>
      </c>
      <c r="K152" t="s">
        <v>54</v>
      </c>
      <c r="L152" t="s">
        <v>1333</v>
      </c>
      <c r="M152" t="str">
        <f t="shared" si="2"/>
        <v>https://epvo.kz/#/verification_education_document?iin=030409601135&amp;diplomaSeries=BD&amp;diplomaNumber=00025636025</v>
      </c>
    </row>
    <row r="153" spans="1:13" x14ac:dyDescent="0.25">
      <c r="A153" t="s">
        <v>319</v>
      </c>
      <c r="B153" t="s">
        <v>1356</v>
      </c>
      <c r="C153" t="s">
        <v>53</v>
      </c>
      <c r="D153" t="s">
        <v>70</v>
      </c>
      <c r="E153" t="s">
        <v>55</v>
      </c>
      <c r="F153" t="s">
        <v>1035</v>
      </c>
      <c r="G153" t="s">
        <v>1036</v>
      </c>
      <c r="H153" t="s">
        <v>71</v>
      </c>
      <c r="I153" t="s">
        <v>56</v>
      </c>
      <c r="J153" t="s">
        <v>1357</v>
      </c>
      <c r="K153" t="s">
        <v>54</v>
      </c>
      <c r="L153" t="s">
        <v>1333</v>
      </c>
      <c r="M153" t="str">
        <f t="shared" si="2"/>
        <v>https://epvo.kz/#/verification_education_document?iin=040422650265&amp;diplomaSeries=BD&amp;diplomaNumber=00025635825</v>
      </c>
    </row>
    <row r="154" spans="1:13" x14ac:dyDescent="0.25">
      <c r="A154" t="s">
        <v>309</v>
      </c>
      <c r="B154" t="s">
        <v>1358</v>
      </c>
      <c r="C154" t="s">
        <v>53</v>
      </c>
      <c r="D154" t="s">
        <v>70</v>
      </c>
      <c r="E154" t="s">
        <v>55</v>
      </c>
      <c r="F154" t="s">
        <v>1035</v>
      </c>
      <c r="G154" t="s">
        <v>1036</v>
      </c>
      <c r="H154" t="s">
        <v>71</v>
      </c>
      <c r="I154" t="s">
        <v>56</v>
      </c>
      <c r="J154" t="s">
        <v>1359</v>
      </c>
      <c r="K154" t="s">
        <v>54</v>
      </c>
      <c r="L154" t="s">
        <v>1333</v>
      </c>
      <c r="M154" t="str">
        <f t="shared" si="2"/>
        <v>https://epvo.kz/#/verification_education_document?iin=030315050223&amp;diplomaSeries=BD&amp;diplomaNumber=00025635625</v>
      </c>
    </row>
    <row r="155" spans="1:13" x14ac:dyDescent="0.25">
      <c r="A155" t="s">
        <v>314</v>
      </c>
      <c r="B155" t="s">
        <v>1360</v>
      </c>
      <c r="C155" t="s">
        <v>53</v>
      </c>
      <c r="D155" t="s">
        <v>70</v>
      </c>
      <c r="E155" t="s">
        <v>55</v>
      </c>
      <c r="F155" t="s">
        <v>1035</v>
      </c>
      <c r="G155" t="s">
        <v>1036</v>
      </c>
      <c r="H155" t="s">
        <v>71</v>
      </c>
      <c r="I155" t="s">
        <v>56</v>
      </c>
      <c r="J155" t="s">
        <v>1361</v>
      </c>
      <c r="K155" t="s">
        <v>54</v>
      </c>
      <c r="L155" t="s">
        <v>1333</v>
      </c>
      <c r="M155" t="str">
        <f t="shared" si="2"/>
        <v>https://epvo.kz/#/verification_education_document?iin=030226050150&amp;diplomaSeries=BD&amp;diplomaNumber=00025635325</v>
      </c>
    </row>
    <row r="156" spans="1:13" x14ac:dyDescent="0.25">
      <c r="A156" t="s">
        <v>304</v>
      </c>
      <c r="B156" t="s">
        <v>1362</v>
      </c>
      <c r="C156" t="s">
        <v>53</v>
      </c>
      <c r="D156" t="s">
        <v>70</v>
      </c>
      <c r="E156" t="s">
        <v>55</v>
      </c>
      <c r="F156" t="s">
        <v>1035</v>
      </c>
      <c r="G156" t="s">
        <v>1036</v>
      </c>
      <c r="H156" t="s">
        <v>71</v>
      </c>
      <c r="I156" t="s">
        <v>56</v>
      </c>
      <c r="J156" t="s">
        <v>1363</v>
      </c>
      <c r="K156" t="s">
        <v>54</v>
      </c>
      <c r="L156" t="s">
        <v>1333</v>
      </c>
      <c r="M156" t="str">
        <f t="shared" si="2"/>
        <v>https://epvo.kz/#/verification_education_document?iin=040319600685&amp;diplomaSeries=BD&amp;diplomaNumber=00025635125</v>
      </c>
    </row>
    <row r="157" spans="1:13" x14ac:dyDescent="0.25">
      <c r="A157" t="s">
        <v>299</v>
      </c>
      <c r="B157" t="s">
        <v>1364</v>
      </c>
      <c r="C157" t="s">
        <v>53</v>
      </c>
      <c r="D157" t="s">
        <v>70</v>
      </c>
      <c r="E157" t="s">
        <v>55</v>
      </c>
      <c r="F157" t="s">
        <v>1035</v>
      </c>
      <c r="G157" t="s">
        <v>1036</v>
      </c>
      <c r="H157" t="s">
        <v>71</v>
      </c>
      <c r="I157" t="s">
        <v>56</v>
      </c>
      <c r="J157" t="s">
        <v>1365</v>
      </c>
      <c r="K157" t="s">
        <v>54</v>
      </c>
      <c r="L157" t="s">
        <v>1333</v>
      </c>
      <c r="M157" t="str">
        <f t="shared" si="2"/>
        <v>https://epvo.kz/#/verification_education_document?iin=040628600962&amp;diplomaSeries=BD&amp;diplomaNumber=00025635025</v>
      </c>
    </row>
    <row r="158" spans="1:13" x14ac:dyDescent="0.25">
      <c r="A158" t="s">
        <v>294</v>
      </c>
      <c r="B158" t="s">
        <v>1366</v>
      </c>
      <c r="C158" t="s">
        <v>53</v>
      </c>
      <c r="D158" t="s">
        <v>70</v>
      </c>
      <c r="E158" t="s">
        <v>55</v>
      </c>
      <c r="F158" t="s">
        <v>1035</v>
      </c>
      <c r="G158" t="s">
        <v>1036</v>
      </c>
      <c r="H158" t="s">
        <v>71</v>
      </c>
      <c r="I158" t="s">
        <v>56</v>
      </c>
      <c r="J158" t="s">
        <v>1367</v>
      </c>
      <c r="K158" t="s">
        <v>54</v>
      </c>
      <c r="L158" t="s">
        <v>1333</v>
      </c>
      <c r="M158" t="str">
        <f t="shared" si="2"/>
        <v>https://epvo.kz/#/verification_education_document?iin=031122601386&amp;diplomaSeries=BD&amp;diplomaNumber=00025634925</v>
      </c>
    </row>
    <row r="159" spans="1:13" x14ac:dyDescent="0.25">
      <c r="A159" t="s">
        <v>290</v>
      </c>
      <c r="B159" t="s">
        <v>1368</v>
      </c>
      <c r="C159" t="s">
        <v>53</v>
      </c>
      <c r="D159" t="s">
        <v>70</v>
      </c>
      <c r="E159" t="s">
        <v>55</v>
      </c>
      <c r="F159" t="s">
        <v>1035</v>
      </c>
      <c r="G159" t="s">
        <v>1036</v>
      </c>
      <c r="H159" t="s">
        <v>71</v>
      </c>
      <c r="I159" t="s">
        <v>56</v>
      </c>
      <c r="J159" t="s">
        <v>1369</v>
      </c>
      <c r="K159" t="s">
        <v>54</v>
      </c>
      <c r="L159" t="s">
        <v>1333</v>
      </c>
      <c r="M159" t="str">
        <f t="shared" si="2"/>
        <v>https://epvo.kz/#/verification_education_document?iin=040323600786&amp;diplomaSeries=BD&amp;diplomaNumber=00025634825</v>
      </c>
    </row>
    <row r="160" spans="1:13" x14ac:dyDescent="0.25">
      <c r="A160" t="s">
        <v>277</v>
      </c>
      <c r="B160" t="s">
        <v>1370</v>
      </c>
      <c r="C160" t="s">
        <v>53</v>
      </c>
      <c r="D160" t="s">
        <v>70</v>
      </c>
      <c r="E160" t="s">
        <v>55</v>
      </c>
      <c r="F160" t="s">
        <v>1035</v>
      </c>
      <c r="G160" t="s">
        <v>1036</v>
      </c>
      <c r="H160" t="s">
        <v>71</v>
      </c>
      <c r="I160" t="s">
        <v>56</v>
      </c>
      <c r="J160" t="s">
        <v>1371</v>
      </c>
      <c r="K160" t="s">
        <v>54</v>
      </c>
      <c r="L160" t="s">
        <v>1372</v>
      </c>
      <c r="M160" t="str">
        <f t="shared" si="2"/>
        <v>https://epvo.kz/#/verification_education_document?iin=040808501744&amp;diplomaSeries=BD&amp;diplomaNumber=00025633025</v>
      </c>
    </row>
    <row r="161" spans="1:13" x14ac:dyDescent="0.25">
      <c r="A161" t="s">
        <v>273</v>
      </c>
      <c r="B161" t="s">
        <v>1373</v>
      </c>
      <c r="C161" t="s">
        <v>53</v>
      </c>
      <c r="D161" t="s">
        <v>70</v>
      </c>
      <c r="E161" t="s">
        <v>55</v>
      </c>
      <c r="F161" t="s">
        <v>1035</v>
      </c>
      <c r="G161" t="s">
        <v>1036</v>
      </c>
      <c r="H161" t="s">
        <v>71</v>
      </c>
      <c r="I161" t="s">
        <v>56</v>
      </c>
      <c r="J161" t="s">
        <v>1374</v>
      </c>
      <c r="K161" t="s">
        <v>54</v>
      </c>
      <c r="L161" t="s">
        <v>1372</v>
      </c>
      <c r="M161" t="str">
        <f t="shared" si="2"/>
        <v>https://epvo.kz/#/verification_education_document?iin=040105600473&amp;diplomaSeries=BD&amp;diplomaNumber=00025632925</v>
      </c>
    </row>
    <row r="162" spans="1:13" x14ac:dyDescent="0.25">
      <c r="A162" t="s">
        <v>268</v>
      </c>
      <c r="B162" t="s">
        <v>1375</v>
      </c>
      <c r="C162" t="s">
        <v>53</v>
      </c>
      <c r="D162" t="s">
        <v>70</v>
      </c>
      <c r="E162" t="s">
        <v>55</v>
      </c>
      <c r="F162" t="s">
        <v>1035</v>
      </c>
      <c r="G162" t="s">
        <v>1036</v>
      </c>
      <c r="H162" t="s">
        <v>71</v>
      </c>
      <c r="I162" t="s">
        <v>56</v>
      </c>
      <c r="J162" t="s">
        <v>1376</v>
      </c>
      <c r="K162" t="s">
        <v>54</v>
      </c>
      <c r="L162" t="s">
        <v>1372</v>
      </c>
      <c r="M162" t="str">
        <f t="shared" si="2"/>
        <v>https://epvo.kz/#/verification_education_document?iin=010406651419&amp;diplomaSeries=BD&amp;diplomaNumber=00025632825</v>
      </c>
    </row>
    <row r="163" spans="1:13" x14ac:dyDescent="0.25">
      <c r="A163" t="s">
        <v>263</v>
      </c>
      <c r="B163" t="s">
        <v>1377</v>
      </c>
      <c r="C163" t="s">
        <v>53</v>
      </c>
      <c r="D163" t="s">
        <v>70</v>
      </c>
      <c r="E163" t="s">
        <v>55</v>
      </c>
      <c r="F163" t="s">
        <v>1035</v>
      </c>
      <c r="G163" t="s">
        <v>1036</v>
      </c>
      <c r="H163" t="s">
        <v>71</v>
      </c>
      <c r="I163" t="s">
        <v>56</v>
      </c>
      <c r="J163" t="s">
        <v>1378</v>
      </c>
      <c r="K163" t="s">
        <v>54</v>
      </c>
      <c r="L163" t="s">
        <v>1372</v>
      </c>
      <c r="M163" t="str">
        <f t="shared" si="2"/>
        <v>https://epvo.kz/#/verification_education_document?iin=040416651558&amp;diplomaSeries=BD&amp;diplomaNumber=00025631625</v>
      </c>
    </row>
    <row r="164" spans="1:13" x14ac:dyDescent="0.25">
      <c r="A164" t="s">
        <v>258</v>
      </c>
      <c r="B164" t="s">
        <v>1379</v>
      </c>
      <c r="C164" t="s">
        <v>53</v>
      </c>
      <c r="D164" t="s">
        <v>70</v>
      </c>
      <c r="E164" t="s">
        <v>55</v>
      </c>
      <c r="F164" t="s">
        <v>1035</v>
      </c>
      <c r="G164" t="s">
        <v>1036</v>
      </c>
      <c r="H164" t="s">
        <v>71</v>
      </c>
      <c r="I164" t="s">
        <v>56</v>
      </c>
      <c r="J164" t="s">
        <v>1380</v>
      </c>
      <c r="K164" t="s">
        <v>54</v>
      </c>
      <c r="L164" t="s">
        <v>1372</v>
      </c>
      <c r="M164" t="str">
        <f t="shared" si="2"/>
        <v>https://epvo.kz/#/verification_education_document?iin=040416651568&amp;diplomaSeries=BD&amp;diplomaNumber=00025631325</v>
      </c>
    </row>
    <row r="165" spans="1:13" x14ac:dyDescent="0.25">
      <c r="A165" t="s">
        <v>254</v>
      </c>
      <c r="B165" t="s">
        <v>1381</v>
      </c>
      <c r="C165" t="s">
        <v>53</v>
      </c>
      <c r="D165" t="s">
        <v>70</v>
      </c>
      <c r="E165" t="s">
        <v>55</v>
      </c>
      <c r="F165" t="s">
        <v>1035</v>
      </c>
      <c r="G165" t="s">
        <v>1036</v>
      </c>
      <c r="H165" t="s">
        <v>71</v>
      </c>
      <c r="I165" t="s">
        <v>56</v>
      </c>
      <c r="J165" t="s">
        <v>1382</v>
      </c>
      <c r="K165" t="s">
        <v>54</v>
      </c>
      <c r="L165" t="s">
        <v>1372</v>
      </c>
      <c r="M165" t="str">
        <f t="shared" si="2"/>
        <v>https://epvo.kz/#/verification_education_document?iin=040524600838&amp;diplomaSeries=BD&amp;diplomaNumber=00025631225</v>
      </c>
    </row>
    <row r="166" spans="1:13" x14ac:dyDescent="0.25">
      <c r="A166" t="s">
        <v>249</v>
      </c>
      <c r="B166" t="s">
        <v>1383</v>
      </c>
      <c r="C166" t="s">
        <v>53</v>
      </c>
      <c r="D166" t="s">
        <v>70</v>
      </c>
      <c r="E166" t="s">
        <v>55</v>
      </c>
      <c r="F166" t="s">
        <v>1035</v>
      </c>
      <c r="G166" t="s">
        <v>1036</v>
      </c>
      <c r="H166" t="s">
        <v>71</v>
      </c>
      <c r="I166" t="s">
        <v>56</v>
      </c>
      <c r="J166" t="s">
        <v>1384</v>
      </c>
      <c r="K166" t="s">
        <v>54</v>
      </c>
      <c r="L166" t="s">
        <v>1385</v>
      </c>
      <c r="M166" t="str">
        <f t="shared" si="2"/>
        <v>https://epvo.kz/#/verification_education_document?iin=030824600887&amp;diplomaSeries=BD&amp;diplomaNumber=00025628425</v>
      </c>
    </row>
    <row r="167" spans="1:13" x14ac:dyDescent="0.25">
      <c r="A167" t="s">
        <v>245</v>
      </c>
      <c r="B167" t="s">
        <v>1386</v>
      </c>
      <c r="C167" t="s">
        <v>53</v>
      </c>
      <c r="D167" t="s">
        <v>70</v>
      </c>
      <c r="E167" t="s">
        <v>55</v>
      </c>
      <c r="F167" t="s">
        <v>1035</v>
      </c>
      <c r="G167" t="s">
        <v>1036</v>
      </c>
      <c r="H167" t="s">
        <v>71</v>
      </c>
      <c r="I167" t="s">
        <v>56</v>
      </c>
      <c r="J167" t="s">
        <v>1387</v>
      </c>
      <c r="K167" t="s">
        <v>54</v>
      </c>
      <c r="L167" t="s">
        <v>1385</v>
      </c>
      <c r="M167" t="str">
        <f t="shared" si="2"/>
        <v>https://epvo.kz/#/verification_education_document?iin=041122550151&amp;diplomaSeries=BD&amp;diplomaNumber=00025628325</v>
      </c>
    </row>
    <row r="168" spans="1:13" x14ac:dyDescent="0.25">
      <c r="A168" t="s">
        <v>240</v>
      </c>
      <c r="B168" t="s">
        <v>1388</v>
      </c>
      <c r="C168" t="s">
        <v>53</v>
      </c>
      <c r="D168" t="s">
        <v>70</v>
      </c>
      <c r="E168" t="s">
        <v>55</v>
      </c>
      <c r="F168" t="s">
        <v>1035</v>
      </c>
      <c r="G168" t="s">
        <v>1036</v>
      </c>
      <c r="H168" t="s">
        <v>71</v>
      </c>
      <c r="I168" t="s">
        <v>56</v>
      </c>
      <c r="J168" t="s">
        <v>1389</v>
      </c>
      <c r="K168" t="s">
        <v>54</v>
      </c>
      <c r="L168" t="s">
        <v>1385</v>
      </c>
      <c r="M168" t="str">
        <f t="shared" si="2"/>
        <v>https://epvo.kz/#/verification_education_document?iin=040127600949&amp;diplomaSeries=BD&amp;diplomaNumber=00025628225</v>
      </c>
    </row>
    <row r="169" spans="1:13" x14ac:dyDescent="0.25">
      <c r="A169" t="s">
        <v>235</v>
      </c>
      <c r="B169" t="s">
        <v>1390</v>
      </c>
      <c r="C169" t="s">
        <v>53</v>
      </c>
      <c r="D169" t="s">
        <v>70</v>
      </c>
      <c r="E169" t="s">
        <v>55</v>
      </c>
      <c r="F169" t="s">
        <v>1035</v>
      </c>
      <c r="G169" t="s">
        <v>1036</v>
      </c>
      <c r="H169" t="s">
        <v>71</v>
      </c>
      <c r="I169" t="s">
        <v>56</v>
      </c>
      <c r="J169" t="s">
        <v>1391</v>
      </c>
      <c r="K169" t="s">
        <v>54</v>
      </c>
      <c r="L169" t="s">
        <v>1385</v>
      </c>
      <c r="M169" t="str">
        <f t="shared" si="2"/>
        <v>https://epvo.kz/#/verification_education_document?iin=041207601904&amp;diplomaSeries=BD&amp;diplomaNumber=00025628125</v>
      </c>
    </row>
    <row r="170" spans="1:13" x14ac:dyDescent="0.25">
      <c r="A170" t="s">
        <v>225</v>
      </c>
      <c r="B170" t="s">
        <v>1392</v>
      </c>
      <c r="C170" t="s">
        <v>53</v>
      </c>
      <c r="D170" t="s">
        <v>70</v>
      </c>
      <c r="E170" t="s">
        <v>55</v>
      </c>
      <c r="F170" t="s">
        <v>1035</v>
      </c>
      <c r="G170" t="s">
        <v>1036</v>
      </c>
      <c r="H170" t="s">
        <v>71</v>
      </c>
      <c r="I170" t="s">
        <v>56</v>
      </c>
      <c r="J170" t="s">
        <v>1393</v>
      </c>
      <c r="K170" t="s">
        <v>54</v>
      </c>
      <c r="L170" t="s">
        <v>1385</v>
      </c>
      <c r="M170" t="str">
        <f t="shared" si="2"/>
        <v>https://epvo.kz/#/verification_education_document?iin=040905600135&amp;diplomaSeries=BD&amp;diplomaNumber=00025628025</v>
      </c>
    </row>
    <row r="171" spans="1:13" x14ac:dyDescent="0.25">
      <c r="A171" t="s">
        <v>220</v>
      </c>
      <c r="B171" t="s">
        <v>1394</v>
      </c>
      <c r="C171" t="s">
        <v>53</v>
      </c>
      <c r="D171" t="s">
        <v>70</v>
      </c>
      <c r="E171" t="s">
        <v>55</v>
      </c>
      <c r="F171" t="s">
        <v>1035</v>
      </c>
      <c r="G171" t="s">
        <v>1036</v>
      </c>
      <c r="H171" t="s">
        <v>71</v>
      </c>
      <c r="I171" t="s">
        <v>56</v>
      </c>
      <c r="J171" t="s">
        <v>1395</v>
      </c>
      <c r="K171" t="s">
        <v>54</v>
      </c>
      <c r="L171" t="s">
        <v>1385</v>
      </c>
      <c r="M171" t="str">
        <f t="shared" si="2"/>
        <v>https://epvo.kz/#/verification_education_document?iin=030916551607&amp;diplomaSeries=BD&amp;diplomaNumber=00025627925</v>
      </c>
    </row>
    <row r="172" spans="1:13" x14ac:dyDescent="0.25">
      <c r="A172" t="s">
        <v>215</v>
      </c>
      <c r="B172" t="s">
        <v>1396</v>
      </c>
      <c r="C172" t="s">
        <v>53</v>
      </c>
      <c r="D172" t="s">
        <v>70</v>
      </c>
      <c r="E172" t="s">
        <v>55</v>
      </c>
      <c r="F172" t="s">
        <v>1035</v>
      </c>
      <c r="G172" t="s">
        <v>1036</v>
      </c>
      <c r="H172" t="s">
        <v>71</v>
      </c>
      <c r="I172" t="s">
        <v>56</v>
      </c>
      <c r="J172" t="s">
        <v>1397</v>
      </c>
      <c r="K172" t="s">
        <v>54</v>
      </c>
      <c r="L172" t="s">
        <v>1385</v>
      </c>
      <c r="M172" t="str">
        <f t="shared" si="2"/>
        <v>https://epvo.kz/#/verification_education_document?iin=040209600518&amp;diplomaSeries=BD&amp;diplomaNumber=00025627825</v>
      </c>
    </row>
    <row r="173" spans="1:13" x14ac:dyDescent="0.25">
      <c r="A173" t="s">
        <v>210</v>
      </c>
      <c r="B173" t="s">
        <v>1398</v>
      </c>
      <c r="C173" t="s">
        <v>53</v>
      </c>
      <c r="D173" t="s">
        <v>70</v>
      </c>
      <c r="E173" t="s">
        <v>55</v>
      </c>
      <c r="F173" t="s">
        <v>1035</v>
      </c>
      <c r="G173" t="s">
        <v>1036</v>
      </c>
      <c r="H173" t="s">
        <v>71</v>
      </c>
      <c r="I173" t="s">
        <v>56</v>
      </c>
      <c r="J173" t="s">
        <v>1399</v>
      </c>
      <c r="K173" t="s">
        <v>54</v>
      </c>
      <c r="L173" t="s">
        <v>1385</v>
      </c>
      <c r="M173" t="str">
        <f t="shared" si="2"/>
        <v>https://epvo.kz/#/verification_education_document?iin=040302651240&amp;diplomaSeries=BD&amp;diplomaNumber=00025627725</v>
      </c>
    </row>
    <row r="174" spans="1:13" x14ac:dyDescent="0.25">
      <c r="A174" t="s">
        <v>205</v>
      </c>
      <c r="B174" t="s">
        <v>1400</v>
      </c>
      <c r="C174" t="s">
        <v>53</v>
      </c>
      <c r="D174" t="s">
        <v>70</v>
      </c>
      <c r="E174" t="s">
        <v>55</v>
      </c>
      <c r="F174" t="s">
        <v>1035</v>
      </c>
      <c r="G174" t="s">
        <v>1036</v>
      </c>
      <c r="H174" t="s">
        <v>71</v>
      </c>
      <c r="I174" t="s">
        <v>56</v>
      </c>
      <c r="J174" t="s">
        <v>1401</v>
      </c>
      <c r="K174" t="s">
        <v>54</v>
      </c>
      <c r="L174" t="s">
        <v>1385</v>
      </c>
      <c r="M174" t="str">
        <f t="shared" si="2"/>
        <v>https://epvo.kz/#/verification_education_document?iin=030619601266&amp;diplomaSeries=BD&amp;diplomaNumber=00025627525</v>
      </c>
    </row>
    <row r="175" spans="1:13" x14ac:dyDescent="0.25">
      <c r="A175" t="s">
        <v>200</v>
      </c>
      <c r="B175" t="s">
        <v>1402</v>
      </c>
      <c r="C175" t="s">
        <v>53</v>
      </c>
      <c r="D175" t="s">
        <v>70</v>
      </c>
      <c r="E175" t="s">
        <v>55</v>
      </c>
      <c r="F175" t="s">
        <v>1035</v>
      </c>
      <c r="G175" t="s">
        <v>1036</v>
      </c>
      <c r="H175" t="s">
        <v>71</v>
      </c>
      <c r="I175" t="s">
        <v>56</v>
      </c>
      <c r="J175" t="s">
        <v>1403</v>
      </c>
      <c r="K175" t="s">
        <v>54</v>
      </c>
      <c r="L175" t="s">
        <v>1385</v>
      </c>
      <c r="M175" t="str">
        <f t="shared" si="2"/>
        <v>https://epvo.kz/#/verification_education_document?iin=040129601660&amp;diplomaSeries=BD&amp;diplomaNumber=00025627325</v>
      </c>
    </row>
    <row r="176" spans="1:13" x14ac:dyDescent="0.25">
      <c r="A176" t="s">
        <v>195</v>
      </c>
      <c r="B176" t="s">
        <v>1404</v>
      </c>
      <c r="C176" t="s">
        <v>53</v>
      </c>
      <c r="D176" t="s">
        <v>70</v>
      </c>
      <c r="E176" t="s">
        <v>55</v>
      </c>
      <c r="F176" t="s">
        <v>1035</v>
      </c>
      <c r="G176" t="s">
        <v>1036</v>
      </c>
      <c r="H176" t="s">
        <v>71</v>
      </c>
      <c r="I176" t="s">
        <v>56</v>
      </c>
      <c r="J176" t="s">
        <v>1405</v>
      </c>
      <c r="K176" t="s">
        <v>54</v>
      </c>
      <c r="L176" t="s">
        <v>1385</v>
      </c>
      <c r="M176" t="str">
        <f t="shared" si="2"/>
        <v>https://epvo.kz/#/verification_education_document?iin=040506600493&amp;diplomaSeries=BD&amp;diplomaNumber=00025627125</v>
      </c>
    </row>
    <row r="177" spans="1:13" x14ac:dyDescent="0.25">
      <c r="A177" t="s">
        <v>191</v>
      </c>
      <c r="B177" t="s">
        <v>1406</v>
      </c>
      <c r="C177" t="s">
        <v>53</v>
      </c>
      <c r="D177" t="s">
        <v>70</v>
      </c>
      <c r="E177" t="s">
        <v>55</v>
      </c>
      <c r="F177" t="s">
        <v>1035</v>
      </c>
      <c r="G177" t="s">
        <v>1036</v>
      </c>
      <c r="H177" t="s">
        <v>71</v>
      </c>
      <c r="I177" t="s">
        <v>56</v>
      </c>
      <c r="J177" t="s">
        <v>1407</v>
      </c>
      <c r="K177" t="s">
        <v>54</v>
      </c>
      <c r="L177" t="s">
        <v>1385</v>
      </c>
      <c r="M177" t="str">
        <f t="shared" si="2"/>
        <v>https://epvo.kz/#/verification_education_document?iin=040114600713&amp;diplomaSeries=BD&amp;diplomaNumber=00025627025</v>
      </c>
    </row>
    <row r="178" spans="1:13" x14ac:dyDescent="0.25">
      <c r="A178" t="s">
        <v>186</v>
      </c>
      <c r="B178" t="s">
        <v>1408</v>
      </c>
      <c r="C178" t="s">
        <v>53</v>
      </c>
      <c r="D178" t="s">
        <v>70</v>
      </c>
      <c r="E178" t="s">
        <v>55</v>
      </c>
      <c r="F178" t="s">
        <v>1035</v>
      </c>
      <c r="G178" t="s">
        <v>1036</v>
      </c>
      <c r="H178" t="s">
        <v>71</v>
      </c>
      <c r="I178" t="s">
        <v>56</v>
      </c>
      <c r="J178" t="s">
        <v>1409</v>
      </c>
      <c r="K178" t="s">
        <v>54</v>
      </c>
      <c r="L178" t="s">
        <v>1385</v>
      </c>
      <c r="M178" t="str">
        <f t="shared" si="2"/>
        <v>https://epvo.kz/#/verification_education_document?iin=030712501364&amp;diplomaSeries=BD&amp;diplomaNumber=00025626925</v>
      </c>
    </row>
    <row r="179" spans="1:13" x14ac:dyDescent="0.25">
      <c r="A179" t="s">
        <v>181</v>
      </c>
      <c r="B179" t="s">
        <v>1410</v>
      </c>
      <c r="C179" t="s">
        <v>53</v>
      </c>
      <c r="D179" t="s">
        <v>70</v>
      </c>
      <c r="E179" t="s">
        <v>55</v>
      </c>
      <c r="F179" t="s">
        <v>1035</v>
      </c>
      <c r="G179" t="s">
        <v>1036</v>
      </c>
      <c r="H179" t="s">
        <v>71</v>
      </c>
      <c r="I179" t="s">
        <v>56</v>
      </c>
      <c r="J179" t="s">
        <v>1411</v>
      </c>
      <c r="K179" t="s">
        <v>54</v>
      </c>
      <c r="L179" t="s">
        <v>1385</v>
      </c>
      <c r="M179" t="str">
        <f t="shared" si="2"/>
        <v>https://epvo.kz/#/verification_education_document?iin=030916600590&amp;diplomaSeries=BD&amp;diplomaNumber=00025626525</v>
      </c>
    </row>
    <row r="180" spans="1:13" x14ac:dyDescent="0.25">
      <c r="A180" t="s">
        <v>176</v>
      </c>
      <c r="B180" t="s">
        <v>1412</v>
      </c>
      <c r="C180" t="s">
        <v>53</v>
      </c>
      <c r="D180" t="s">
        <v>70</v>
      </c>
      <c r="E180" t="s">
        <v>55</v>
      </c>
      <c r="F180" t="s">
        <v>1035</v>
      </c>
      <c r="G180" t="s">
        <v>1036</v>
      </c>
      <c r="H180" t="s">
        <v>71</v>
      </c>
      <c r="I180" t="s">
        <v>56</v>
      </c>
      <c r="J180" t="s">
        <v>1413</v>
      </c>
      <c r="K180" t="s">
        <v>54</v>
      </c>
      <c r="L180" t="s">
        <v>1414</v>
      </c>
      <c r="M180" t="str">
        <f t="shared" si="2"/>
        <v>https://epvo.kz/#/verification_education_document?iin=040208601590&amp;diplomaSeries=BD&amp;diplomaNumber=00025624125</v>
      </c>
    </row>
    <row r="181" spans="1:13" x14ac:dyDescent="0.25">
      <c r="A181" t="s">
        <v>171</v>
      </c>
      <c r="B181" t="s">
        <v>1415</v>
      </c>
      <c r="C181" t="s">
        <v>53</v>
      </c>
      <c r="D181" t="s">
        <v>70</v>
      </c>
      <c r="E181" t="s">
        <v>55</v>
      </c>
      <c r="F181" t="s">
        <v>1035</v>
      </c>
      <c r="G181" t="s">
        <v>1036</v>
      </c>
      <c r="H181" t="s">
        <v>71</v>
      </c>
      <c r="I181" t="s">
        <v>56</v>
      </c>
      <c r="J181" t="s">
        <v>1416</v>
      </c>
      <c r="K181" t="s">
        <v>54</v>
      </c>
      <c r="L181" t="s">
        <v>1414</v>
      </c>
      <c r="M181" t="str">
        <f t="shared" si="2"/>
        <v>https://epvo.kz/#/verification_education_document?iin=040627600679&amp;diplomaSeries=BD&amp;diplomaNumber=00025623825</v>
      </c>
    </row>
    <row r="182" spans="1:13" x14ac:dyDescent="0.25">
      <c r="A182" t="s">
        <v>166</v>
      </c>
      <c r="B182" t="s">
        <v>1417</v>
      </c>
      <c r="C182" t="s">
        <v>53</v>
      </c>
      <c r="D182" t="s">
        <v>70</v>
      </c>
      <c r="E182" t="s">
        <v>55</v>
      </c>
      <c r="F182" t="s">
        <v>1035</v>
      </c>
      <c r="G182" t="s">
        <v>1036</v>
      </c>
      <c r="H182" t="s">
        <v>71</v>
      </c>
      <c r="I182" t="s">
        <v>56</v>
      </c>
      <c r="J182" t="s">
        <v>1418</v>
      </c>
      <c r="K182" t="s">
        <v>54</v>
      </c>
      <c r="L182" t="s">
        <v>1414</v>
      </c>
      <c r="M182" t="str">
        <f t="shared" si="2"/>
        <v>https://epvo.kz/#/verification_education_document?iin=040429600801&amp;diplomaSeries=BD&amp;diplomaNumber=00025623425</v>
      </c>
    </row>
    <row r="183" spans="1:13" x14ac:dyDescent="0.25">
      <c r="A183" t="s">
        <v>161</v>
      </c>
      <c r="B183" t="s">
        <v>1419</v>
      </c>
      <c r="C183" t="s">
        <v>53</v>
      </c>
      <c r="D183" t="s">
        <v>70</v>
      </c>
      <c r="E183" t="s">
        <v>55</v>
      </c>
      <c r="F183" t="s">
        <v>1035</v>
      </c>
      <c r="G183" t="s">
        <v>1036</v>
      </c>
      <c r="H183" t="s">
        <v>71</v>
      </c>
      <c r="I183" t="s">
        <v>56</v>
      </c>
      <c r="J183" t="s">
        <v>1420</v>
      </c>
      <c r="K183" t="s">
        <v>54</v>
      </c>
      <c r="L183" t="s">
        <v>1414</v>
      </c>
      <c r="M183" t="str">
        <f t="shared" si="2"/>
        <v>https://epvo.kz/#/verification_education_document?iin=031211601726&amp;diplomaSeries=BD&amp;diplomaNumber=00025623225</v>
      </c>
    </row>
    <row r="184" spans="1:13" x14ac:dyDescent="0.25">
      <c r="A184" t="s">
        <v>156</v>
      </c>
      <c r="B184" t="s">
        <v>1421</v>
      </c>
      <c r="C184" t="s">
        <v>53</v>
      </c>
      <c r="D184" t="s">
        <v>70</v>
      </c>
      <c r="E184" t="s">
        <v>55</v>
      </c>
      <c r="F184" t="s">
        <v>1035</v>
      </c>
      <c r="G184" t="s">
        <v>1036</v>
      </c>
      <c r="H184" t="s">
        <v>71</v>
      </c>
      <c r="I184" t="s">
        <v>56</v>
      </c>
      <c r="J184" t="s">
        <v>1422</v>
      </c>
      <c r="K184" t="s">
        <v>54</v>
      </c>
      <c r="L184" t="s">
        <v>1414</v>
      </c>
      <c r="M184" t="str">
        <f t="shared" si="2"/>
        <v>https://epvo.kz/#/verification_education_document?iin=040403601263&amp;diplomaSeries=BD&amp;diplomaNumber=00025623125</v>
      </c>
    </row>
    <row r="185" spans="1:13" x14ac:dyDescent="0.25">
      <c r="A185" t="s">
        <v>151</v>
      </c>
      <c r="B185" t="s">
        <v>1423</v>
      </c>
      <c r="C185" t="s">
        <v>53</v>
      </c>
      <c r="D185" t="s">
        <v>70</v>
      </c>
      <c r="E185" t="s">
        <v>55</v>
      </c>
      <c r="F185" t="s">
        <v>1035</v>
      </c>
      <c r="G185" t="s">
        <v>1036</v>
      </c>
      <c r="H185" t="s">
        <v>71</v>
      </c>
      <c r="I185" t="s">
        <v>56</v>
      </c>
      <c r="J185" t="s">
        <v>1424</v>
      </c>
      <c r="K185" t="s">
        <v>54</v>
      </c>
      <c r="L185" t="s">
        <v>1414</v>
      </c>
      <c r="M185" t="str">
        <f t="shared" si="2"/>
        <v>https://epvo.kz/#/verification_education_document?iin=030529601297&amp;diplomaSeries=BD&amp;diplomaNumber=00025622725</v>
      </c>
    </row>
    <row r="186" spans="1:13" x14ac:dyDescent="0.25">
      <c r="A186" t="s">
        <v>146</v>
      </c>
      <c r="B186" t="s">
        <v>1425</v>
      </c>
      <c r="C186" t="s">
        <v>53</v>
      </c>
      <c r="D186" t="s">
        <v>70</v>
      </c>
      <c r="E186" t="s">
        <v>55</v>
      </c>
      <c r="F186" t="s">
        <v>1035</v>
      </c>
      <c r="G186" t="s">
        <v>1036</v>
      </c>
      <c r="H186" t="s">
        <v>71</v>
      </c>
      <c r="I186" t="s">
        <v>56</v>
      </c>
      <c r="J186" t="s">
        <v>1426</v>
      </c>
      <c r="K186" t="s">
        <v>54</v>
      </c>
      <c r="L186" t="s">
        <v>1414</v>
      </c>
      <c r="M186" t="str">
        <f t="shared" si="2"/>
        <v>https://epvo.kz/#/verification_education_document?iin=040204500930&amp;diplomaSeries=BD&amp;diplomaNumber=00025622625</v>
      </c>
    </row>
    <row r="187" spans="1:13" x14ac:dyDescent="0.25">
      <c r="A187" t="s">
        <v>141</v>
      </c>
      <c r="B187" t="s">
        <v>1427</v>
      </c>
      <c r="C187" t="s">
        <v>53</v>
      </c>
      <c r="D187" t="s">
        <v>70</v>
      </c>
      <c r="E187" t="s">
        <v>55</v>
      </c>
      <c r="F187" t="s">
        <v>1035</v>
      </c>
      <c r="G187" t="s">
        <v>1036</v>
      </c>
      <c r="H187" t="s">
        <v>71</v>
      </c>
      <c r="I187" t="s">
        <v>56</v>
      </c>
      <c r="J187" t="s">
        <v>1428</v>
      </c>
      <c r="K187" t="s">
        <v>54</v>
      </c>
      <c r="L187" t="s">
        <v>1414</v>
      </c>
      <c r="M187" t="str">
        <f t="shared" si="2"/>
        <v>https://epvo.kz/#/verification_education_document?iin=040508650252&amp;diplomaSeries=BD&amp;diplomaNumber=00025622425</v>
      </c>
    </row>
    <row r="188" spans="1:13" x14ac:dyDescent="0.25">
      <c r="A188" t="s">
        <v>136</v>
      </c>
      <c r="B188" t="s">
        <v>1429</v>
      </c>
      <c r="C188" t="s">
        <v>53</v>
      </c>
      <c r="D188" t="s">
        <v>70</v>
      </c>
      <c r="E188" t="s">
        <v>55</v>
      </c>
      <c r="F188" t="s">
        <v>1035</v>
      </c>
      <c r="G188" t="s">
        <v>1036</v>
      </c>
      <c r="H188" t="s">
        <v>71</v>
      </c>
      <c r="I188" t="s">
        <v>56</v>
      </c>
      <c r="J188" t="s">
        <v>1430</v>
      </c>
      <c r="K188" t="s">
        <v>54</v>
      </c>
      <c r="L188" t="s">
        <v>1414</v>
      </c>
      <c r="M188" t="str">
        <f t="shared" si="2"/>
        <v>https://epvo.kz/#/verification_education_document?iin=040320651497&amp;diplomaSeries=BD&amp;diplomaNumber=00025622325</v>
      </c>
    </row>
    <row r="189" spans="1:13" x14ac:dyDescent="0.25">
      <c r="A189" t="s">
        <v>131</v>
      </c>
      <c r="B189" t="s">
        <v>1431</v>
      </c>
      <c r="C189" t="s">
        <v>53</v>
      </c>
      <c r="D189" t="s">
        <v>70</v>
      </c>
      <c r="E189" t="s">
        <v>55</v>
      </c>
      <c r="F189" t="s">
        <v>1035</v>
      </c>
      <c r="G189" t="s">
        <v>1036</v>
      </c>
      <c r="H189" t="s">
        <v>71</v>
      </c>
      <c r="I189" t="s">
        <v>56</v>
      </c>
      <c r="J189" t="s">
        <v>1432</v>
      </c>
      <c r="K189" t="s">
        <v>54</v>
      </c>
      <c r="L189" t="s">
        <v>1414</v>
      </c>
      <c r="M189" t="str">
        <f t="shared" si="2"/>
        <v>https://epvo.kz/#/verification_education_document?iin=040129601006&amp;diplomaSeries=BD&amp;diplomaNumber=00025622225</v>
      </c>
    </row>
    <row r="190" spans="1:13" x14ac:dyDescent="0.25">
      <c r="A190" t="s">
        <v>126</v>
      </c>
      <c r="B190" t="s">
        <v>1433</v>
      </c>
      <c r="C190" t="s">
        <v>53</v>
      </c>
      <c r="D190" t="s">
        <v>70</v>
      </c>
      <c r="E190" t="s">
        <v>55</v>
      </c>
      <c r="F190" t="s">
        <v>1035</v>
      </c>
      <c r="G190" t="s">
        <v>1036</v>
      </c>
      <c r="H190" t="s">
        <v>71</v>
      </c>
      <c r="I190" t="s">
        <v>56</v>
      </c>
      <c r="J190" t="s">
        <v>1434</v>
      </c>
      <c r="K190" t="s">
        <v>54</v>
      </c>
      <c r="L190" t="s">
        <v>1414</v>
      </c>
      <c r="M190" t="str">
        <f t="shared" si="2"/>
        <v>https://epvo.kz/#/verification_education_document?iin=040611651322&amp;diplomaSeries=BD&amp;diplomaNumber=00025622125</v>
      </c>
    </row>
    <row r="191" spans="1:13" x14ac:dyDescent="0.25">
      <c r="A191" t="s">
        <v>123</v>
      </c>
      <c r="B191" t="s">
        <v>1435</v>
      </c>
      <c r="C191" t="s">
        <v>53</v>
      </c>
      <c r="D191" t="s">
        <v>70</v>
      </c>
      <c r="E191" t="s">
        <v>55</v>
      </c>
      <c r="F191" t="s">
        <v>1035</v>
      </c>
      <c r="G191" t="s">
        <v>1036</v>
      </c>
      <c r="H191" t="s">
        <v>71</v>
      </c>
      <c r="I191" t="s">
        <v>56</v>
      </c>
      <c r="J191" t="s">
        <v>1436</v>
      </c>
      <c r="K191" t="s">
        <v>54</v>
      </c>
      <c r="L191" t="s">
        <v>1414</v>
      </c>
      <c r="M191" t="str">
        <f t="shared" si="2"/>
        <v>https://epvo.kz/#/verification_education_document?iin=040701651190&amp;diplomaSeries=BD&amp;diplomaNumber=00025622025</v>
      </c>
    </row>
    <row r="192" spans="1:13" x14ac:dyDescent="0.25">
      <c r="A192" t="s">
        <v>118</v>
      </c>
      <c r="B192" t="s">
        <v>1437</v>
      </c>
      <c r="C192" t="s">
        <v>53</v>
      </c>
      <c r="D192" t="s">
        <v>70</v>
      </c>
      <c r="E192" t="s">
        <v>55</v>
      </c>
      <c r="F192" t="s">
        <v>1035</v>
      </c>
      <c r="G192" t="s">
        <v>1036</v>
      </c>
      <c r="H192" t="s">
        <v>71</v>
      </c>
      <c r="I192" t="s">
        <v>56</v>
      </c>
      <c r="J192" t="s">
        <v>1438</v>
      </c>
      <c r="K192" t="s">
        <v>54</v>
      </c>
      <c r="L192" t="s">
        <v>1414</v>
      </c>
      <c r="M192" t="str">
        <f t="shared" si="2"/>
        <v>https://epvo.kz/#/verification_education_document?iin=030624601818&amp;diplomaSeries=BD&amp;diplomaNumber=00025621925</v>
      </c>
    </row>
    <row r="193" spans="1:13" x14ac:dyDescent="0.25">
      <c r="A193" t="s">
        <v>113</v>
      </c>
      <c r="B193" t="s">
        <v>1439</v>
      </c>
      <c r="C193" t="s">
        <v>53</v>
      </c>
      <c r="D193" t="s">
        <v>70</v>
      </c>
      <c r="E193" t="s">
        <v>55</v>
      </c>
      <c r="F193" t="s">
        <v>1035</v>
      </c>
      <c r="G193" t="s">
        <v>1036</v>
      </c>
      <c r="H193" t="s">
        <v>71</v>
      </c>
      <c r="I193" t="s">
        <v>56</v>
      </c>
      <c r="J193" t="s">
        <v>1440</v>
      </c>
      <c r="K193" t="s">
        <v>54</v>
      </c>
      <c r="L193" t="s">
        <v>1414</v>
      </c>
      <c r="M193" t="str">
        <f t="shared" si="2"/>
        <v>https://epvo.kz/#/verification_education_document?iin=040409600981&amp;diplomaSeries=BD&amp;diplomaNumber=00025621825</v>
      </c>
    </row>
    <row r="194" spans="1:13" x14ac:dyDescent="0.25">
      <c r="A194" t="s">
        <v>108</v>
      </c>
      <c r="B194" t="s">
        <v>1441</v>
      </c>
      <c r="C194" t="s">
        <v>53</v>
      </c>
      <c r="D194" t="s">
        <v>70</v>
      </c>
      <c r="E194" t="s">
        <v>55</v>
      </c>
      <c r="F194" t="s">
        <v>1035</v>
      </c>
      <c r="G194" t="s">
        <v>1036</v>
      </c>
      <c r="H194" t="s">
        <v>71</v>
      </c>
      <c r="I194" t="s">
        <v>56</v>
      </c>
      <c r="J194" t="s">
        <v>1442</v>
      </c>
      <c r="K194" t="s">
        <v>54</v>
      </c>
      <c r="L194" t="s">
        <v>1414</v>
      </c>
      <c r="M194" t="str">
        <f t="shared" si="2"/>
        <v>https://epvo.kz/#/verification_education_document?iin=040925600937&amp;diplomaSeries=BD&amp;diplomaNumber=00025621725</v>
      </c>
    </row>
    <row r="195" spans="1:13" x14ac:dyDescent="0.25">
      <c r="A195" t="s">
        <v>103</v>
      </c>
      <c r="B195" t="s">
        <v>1443</v>
      </c>
      <c r="C195" t="s">
        <v>53</v>
      </c>
      <c r="D195" t="s">
        <v>70</v>
      </c>
      <c r="E195" t="s">
        <v>55</v>
      </c>
      <c r="F195" t="s">
        <v>1035</v>
      </c>
      <c r="G195" t="s">
        <v>1036</v>
      </c>
      <c r="H195" t="s">
        <v>71</v>
      </c>
      <c r="I195" t="s">
        <v>56</v>
      </c>
      <c r="J195" t="s">
        <v>1444</v>
      </c>
      <c r="K195" t="s">
        <v>54</v>
      </c>
      <c r="L195" t="s">
        <v>1414</v>
      </c>
      <c r="M195" t="str">
        <f t="shared" ref="M195:M199" si="3">"https://epvo.kz/#/verification_education_document?iin="&amp;A195&amp;"&amp;diplomaSeries="&amp;I195&amp;"&amp;diplomaNumber="&amp;J195</f>
        <v>https://epvo.kz/#/verification_education_document?iin=030927600143&amp;diplomaSeries=BD&amp;diplomaNumber=00025621625</v>
      </c>
    </row>
    <row r="196" spans="1:13" x14ac:dyDescent="0.25">
      <c r="A196" t="s">
        <v>98</v>
      </c>
      <c r="B196" t="s">
        <v>1445</v>
      </c>
      <c r="C196" t="s">
        <v>53</v>
      </c>
      <c r="D196" t="s">
        <v>70</v>
      </c>
      <c r="E196" t="s">
        <v>55</v>
      </c>
      <c r="F196" t="s">
        <v>1035</v>
      </c>
      <c r="G196" t="s">
        <v>1036</v>
      </c>
      <c r="H196" t="s">
        <v>71</v>
      </c>
      <c r="I196" t="s">
        <v>56</v>
      </c>
      <c r="J196" t="s">
        <v>1446</v>
      </c>
      <c r="K196" t="s">
        <v>54</v>
      </c>
      <c r="L196" t="s">
        <v>1414</v>
      </c>
      <c r="M196" t="str">
        <f t="shared" si="3"/>
        <v>https://epvo.kz/#/verification_education_document?iin=040730502005&amp;diplomaSeries=BD&amp;diplomaNumber=00025621525</v>
      </c>
    </row>
    <row r="197" spans="1:13" x14ac:dyDescent="0.25">
      <c r="A197" t="s">
        <v>93</v>
      </c>
      <c r="B197" t="s">
        <v>1447</v>
      </c>
      <c r="C197" t="s">
        <v>53</v>
      </c>
      <c r="D197" t="s">
        <v>70</v>
      </c>
      <c r="E197" t="s">
        <v>55</v>
      </c>
      <c r="F197" t="s">
        <v>1035</v>
      </c>
      <c r="G197" t="s">
        <v>1036</v>
      </c>
      <c r="H197" t="s">
        <v>71</v>
      </c>
      <c r="I197" t="s">
        <v>56</v>
      </c>
      <c r="J197" t="s">
        <v>1448</v>
      </c>
      <c r="K197" t="s">
        <v>54</v>
      </c>
      <c r="L197" t="s">
        <v>1414</v>
      </c>
      <c r="M197" t="str">
        <f t="shared" si="3"/>
        <v>https://epvo.kz/#/verification_education_document?iin=040401602290&amp;diplomaSeries=BD&amp;diplomaNumber=00025621425</v>
      </c>
    </row>
    <row r="198" spans="1:13" x14ac:dyDescent="0.25">
      <c r="A198" t="s">
        <v>88</v>
      </c>
      <c r="B198" t="s">
        <v>1449</v>
      </c>
      <c r="C198" t="s">
        <v>53</v>
      </c>
      <c r="D198" t="s">
        <v>70</v>
      </c>
      <c r="E198" t="s">
        <v>55</v>
      </c>
      <c r="F198" t="s">
        <v>1035</v>
      </c>
      <c r="G198" t="s">
        <v>1036</v>
      </c>
      <c r="H198" t="s">
        <v>71</v>
      </c>
      <c r="I198" t="s">
        <v>56</v>
      </c>
      <c r="J198" t="s">
        <v>1450</v>
      </c>
      <c r="K198" t="s">
        <v>54</v>
      </c>
      <c r="L198" t="s">
        <v>1451</v>
      </c>
      <c r="M198" t="str">
        <f t="shared" si="3"/>
        <v>https://epvo.kz/#/verification_education_document?iin=040105601263&amp;diplomaSeries=BD&amp;diplomaNumber=00025621325</v>
      </c>
    </row>
    <row r="199" spans="1:13" x14ac:dyDescent="0.25">
      <c r="A199" t="s">
        <v>84</v>
      </c>
      <c r="B199" t="s">
        <v>1452</v>
      </c>
      <c r="C199" t="s">
        <v>53</v>
      </c>
      <c r="D199" t="s">
        <v>70</v>
      </c>
      <c r="E199" t="s">
        <v>55</v>
      </c>
      <c r="F199" t="s">
        <v>1035</v>
      </c>
      <c r="G199" t="s">
        <v>1036</v>
      </c>
      <c r="H199" t="s">
        <v>71</v>
      </c>
      <c r="I199" t="s">
        <v>56</v>
      </c>
      <c r="J199" t="s">
        <v>1453</v>
      </c>
      <c r="K199" t="s">
        <v>54</v>
      </c>
      <c r="L199" t="s">
        <v>1451</v>
      </c>
      <c r="M199" t="str">
        <f t="shared" si="3"/>
        <v>https://epvo.kz/#/verification_education_document?iin=041027600630&amp;diplomaSeries=BD&amp;diplomaNumber=00025621225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0"/>
  <sheetViews>
    <sheetView tabSelected="1" topLeftCell="P1" workbookViewId="0">
      <selection activeCell="Z40" sqref="Z40:AB200"/>
    </sheetView>
  </sheetViews>
  <sheetFormatPr defaultRowHeight="15" x14ac:dyDescent="0.25"/>
  <cols>
    <col min="24" max="24" width="14.7109375" customWidth="1"/>
    <col min="25" max="25" width="22" customWidth="1"/>
    <col min="27" max="27" width="15.85546875" bestFit="1" customWidth="1"/>
    <col min="28" max="28" width="113.42578125" bestFit="1" customWidth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/>
      <c r="Y1" s="5" t="s">
        <v>47</v>
      </c>
      <c r="Z1" s="5" t="s">
        <v>50</v>
      </c>
      <c r="AA1" s="5" t="s">
        <v>51</v>
      </c>
      <c r="AB1" s="5" t="s">
        <v>52</v>
      </c>
    </row>
    <row r="2" spans="1:28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6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6" t="s">
        <v>46</v>
      </c>
      <c r="Y2" s="6" t="s">
        <v>46</v>
      </c>
      <c r="Z2" s="5" t="s">
        <v>50</v>
      </c>
      <c r="AA2" s="5" t="s">
        <v>51</v>
      </c>
      <c r="AB2" s="5"/>
    </row>
    <row r="3" spans="1:28" x14ac:dyDescent="0.25">
      <c r="A3" s="5" t="str">
        <f>IF(ISBLANK(Лист1!A3),"",Лист1!A3)</f>
        <v>21</v>
      </c>
      <c r="B3" s="5" t="str">
        <f>IF(ISBLANK(Лист1!B3),"",Лист1!B3)</f>
        <v>маусымдағы</v>
      </c>
      <c r="C3" s="5" t="str">
        <f>IF(ISBLANK(Лист1!C3),"",Лист1!C3)</f>
        <v>94</v>
      </c>
      <c r="D3" s="5" t="str">
        <f>IF(ISBLANK(Лист1!D3),"",Лист1!D3)</f>
        <v>Абайқызы  Мейірімге</v>
      </c>
      <c r="E3" s="5" t="str">
        <f>IF(ISBLANK(Лист1!E3),"",Лист1!E3)</f>
        <v>"6В01705 - Шетел тілі: екі шетел тілі (ағылшын)", В018-Шет тілі мұғалімдерін даярлау</v>
      </c>
      <c r="F3" s="5" t="str">
        <f>IF(ISBLANK(Лист1!F3),"",Лист1!F3)</f>
        <v>білім</v>
      </c>
      <c r="G3" s="5" t="str">
        <f>IF(ISBLANK(Лист1!G3),"",Лист1!G3)</f>
        <v>күндізгі</v>
      </c>
      <c r="H3" s="5" t="str">
        <f>IF(ISBLANK(Лист1!H3),"",Лист1!H3)</f>
        <v>Abaikyzy  Meiirim</v>
      </c>
      <c r="I3" s="5" t="str">
        <f>IF(ISBLANK(Лист1!I3),"",Лист1!I3)</f>
        <v>Education</v>
      </c>
      <c r="J3" s="5" t="str">
        <f>IF(ISBLANK(Лист1!J3),"",Лист1!J3)</f>
        <v>"6B01705 - Foreign language: two foreign languages (English)", B018-Training of foreign language teachers</v>
      </c>
      <c r="K3" s="5" t="str">
        <f>IF(ISBLANK(Лист1!K3),"",Лист1!K3)</f>
        <v>full-time</v>
      </c>
      <c r="L3" s="5" t="str">
        <f>IF(ISBLANK(Лист1!L3),"",Лист1!L3)</f>
        <v>21</v>
      </c>
      <c r="M3" s="5" t="str">
        <f>IF(ISBLANK(Лист1!M3),"",Лист1!M3)</f>
        <v>June</v>
      </c>
      <c r="N3" s="5" t="str">
        <f>IF(ISBLANK(Лист1!N3),"",Лист1!N3)</f>
        <v>21</v>
      </c>
      <c r="O3" s="5" t="str">
        <f>IF(ISBLANK(Лист1!O3),"",Лист1!O3)</f>
        <v>июня</v>
      </c>
      <c r="P3" s="5" t="str">
        <f>IF(ISBLANK(Лист1!P3),"",Лист1!P3)</f>
        <v>94</v>
      </c>
      <c r="Q3" s="5" t="str">
        <f>IF(ISBLANK(Лист1!Q3),"",Лист1!Q3)</f>
        <v xml:space="preserve">Абайқызы  Мейірім  </v>
      </c>
      <c r="R3" s="5" t="str">
        <f>IF(ISBLANK(Лист1!R3),"",Лист1!R3)</f>
        <v>образования</v>
      </c>
      <c r="S3" s="5" t="str">
        <f>IF(ISBLANK(Лист1!S3),"",Лист1!S3)</f>
        <v>"6B01705 - Иностранный язык: два иностранных языка (английский)", В018-Подготовка учителей иностранного языка</v>
      </c>
      <c r="T3" s="5" t="str">
        <f>IF(ISBLANK(Лист1!T3),"",Лист1!T3)</f>
        <v>очное</v>
      </c>
      <c r="U3" s="5" t="str">
        <f>IF(ISBLANK(Лист1!U3),"",Лист1!U3)</f>
        <v/>
      </c>
      <c r="V3" s="5" t="str">
        <f>IF(ISBLANK(Лист1!V3),"",Лист1!V3)</f>
        <v>28</v>
      </c>
      <c r="W3" s="5" t="str">
        <f>IF(ISBLANK(Лист1!W3),"",Лист1!W3)</f>
        <v>маусым</v>
      </c>
      <c r="X3" s="5" t="str">
        <f>IF(ISBLANK(Лист1!X3),"",Лист1!X3)</f>
        <v>041027600630</v>
      </c>
      <c r="Y3" s="5" t="str">
        <f>IF(ISERROR(VLOOKUP(X3,Лист2!$A$2:$G$498,1,FALSE)),"",VLOOKUP($X3,Лист2!$A$2:$G$498,1,FALSE))</f>
        <v>041027600630</v>
      </c>
      <c r="Z3" s="5" t="str">
        <f>IF(ISERROR(VLOOKUP($X3,Лист2!$A$2:$L$498,9,FALSE)),"",VLOOKUP($X3,Лист2!$A$2:$L$498,9,FALSE))</f>
        <v>BD</v>
      </c>
      <c r="AA3" s="5" t="str">
        <f>IF(ISERROR(VLOOKUP($X3,Лист2!$A$2:$L$498,10,FALSE)),"",VLOOKUP($X3,Лист2!$A$2:$L$498,10,FALSE))</f>
        <v>00025621225</v>
      </c>
      <c r="AB3" s="5" t="str">
        <f>IF(ISERROR(VLOOKUP($X3,Лист2!$A$2:$M$498,13,FALSE)),"",VLOOKUP($X3,Лист2!$A$2:$M$498,13,FALSE))</f>
        <v>https://epvo.kz/#/verification_education_document?iin=041027600630&amp;diplomaSeries=BD&amp;diplomaNumber=00025621225</v>
      </c>
    </row>
    <row r="4" spans="1:28" x14ac:dyDescent="0.25">
      <c r="A4" s="5" t="str">
        <f>IF(ISBLANK(Лист1!A4),"",Лист1!A4)</f>
        <v>21</v>
      </c>
      <c r="B4" s="5" t="str">
        <f>IF(ISBLANK(Лист1!B4),"",Лист1!B4)</f>
        <v>маусымдағы</v>
      </c>
      <c r="C4" s="5" t="str">
        <f>IF(ISBLANK(Лист1!C4),"",Лист1!C4)</f>
        <v>11</v>
      </c>
      <c r="D4" s="5" t="str">
        <f>IF(ISBLANK(Лист1!D4),"",Лист1!D4)</f>
        <v>Абатбекова  Фарангиз  Атабековнаға</v>
      </c>
      <c r="E4" s="5" t="str">
        <f>IF(ISBLANK(Лист1!E4),"",Лист1!E4)</f>
        <v>"6В01705 - Шетел тілі: екі шетел тілі (ағылшын)", В018-Шет тілі мұғалімдерін даярлау</v>
      </c>
      <c r="F4" s="5" t="str">
        <f>IF(ISBLANK(Лист1!F4),"",Лист1!F4)</f>
        <v>білім</v>
      </c>
      <c r="G4" s="5" t="str">
        <f>IF(ISBLANK(Лист1!G4),"",Лист1!G4)</f>
        <v>күндізгі</v>
      </c>
      <c r="H4" s="5" t="str">
        <f>IF(ISBLANK(Лист1!H4),"",Лист1!H4)</f>
        <v>Abatbekova  Farangiz</v>
      </c>
      <c r="I4" s="5" t="str">
        <f>IF(ISBLANK(Лист1!I4),"",Лист1!I4)</f>
        <v>Education</v>
      </c>
      <c r="J4" s="5" t="str">
        <f>IF(ISBLANK(Лист1!J4),"",Лист1!J4)</f>
        <v>"6B01705 - Foreign language: two foreign languages (English)", B018-Training of foreign language teachers</v>
      </c>
      <c r="K4" s="5" t="str">
        <f>IF(ISBLANK(Лист1!K4),"",Лист1!K4)</f>
        <v>full-time</v>
      </c>
      <c r="L4" s="5" t="str">
        <f>IF(ISBLANK(Лист1!L4),"",Лист1!L4)</f>
        <v>21</v>
      </c>
      <c r="M4" s="5" t="str">
        <f>IF(ISBLANK(Лист1!M4),"",Лист1!M4)</f>
        <v>June</v>
      </c>
      <c r="N4" s="5" t="str">
        <f>IF(ISBLANK(Лист1!N4),"",Лист1!N4)</f>
        <v>21</v>
      </c>
      <c r="O4" s="5" t="str">
        <f>IF(ISBLANK(Лист1!O4),"",Лист1!O4)</f>
        <v>июня</v>
      </c>
      <c r="P4" s="5" t="str">
        <f>IF(ISBLANK(Лист1!P4),"",Лист1!P4)</f>
        <v>11</v>
      </c>
      <c r="Q4" s="5" t="str">
        <f>IF(ISBLANK(Лист1!Q4),"",Лист1!Q4)</f>
        <v>Абатбековой  Фарангиз  Атабековне</v>
      </c>
      <c r="R4" s="5" t="str">
        <f>IF(ISBLANK(Лист1!R4),"",Лист1!R4)</f>
        <v>образования</v>
      </c>
      <c r="S4" s="5" t="str">
        <f>IF(ISBLANK(Лист1!S4),"",Лист1!S4)</f>
        <v>"6B01705 - Иностранный язык: два иностранных языка (английский)", В018-Подготовка учителей иностранного языка</v>
      </c>
      <c r="T4" s="5" t="str">
        <f>IF(ISBLANK(Лист1!T4),"",Лист1!T4)</f>
        <v>очное</v>
      </c>
      <c r="U4" s="5" t="str">
        <f>IF(ISBLANK(Лист1!U4),"",Лист1!U4)</f>
        <v/>
      </c>
      <c r="V4" s="5" t="str">
        <f>IF(ISBLANK(Лист1!V4),"",Лист1!V4)</f>
        <v>28</v>
      </c>
      <c r="W4" s="5" t="str">
        <f>IF(ISBLANK(Лист1!W4),"",Лист1!W4)</f>
        <v>маусым</v>
      </c>
      <c r="X4" s="5" t="str">
        <f>IF(ISBLANK(Лист1!X4),"",Лист1!X4)</f>
        <v>040105601263</v>
      </c>
      <c r="Y4" s="5" t="str">
        <f>IF(ISERROR(VLOOKUP($X4,Лист2!$A$2:$G$498,1,FALSE)),"",VLOOKUP($X4,Лист2!$A$2:$G$498,1,FALSE))</f>
        <v>040105601263</v>
      </c>
      <c r="Z4" s="5" t="str">
        <f>IF(ISERROR(VLOOKUP($X4,Лист2!$A$2:$L$498,9,FALSE)),"",VLOOKUP($X4,Лист2!$A$2:$L$498,9,FALSE))</f>
        <v>BD</v>
      </c>
      <c r="AA4" s="5" t="str">
        <f>IF(ISERROR(VLOOKUP($X4,Лист2!$A$2:$L$498,10,FALSE)),"",VLOOKUP($X4,Лист2!$A$2:$L$498,10,FALSE))</f>
        <v>00025621325</v>
      </c>
      <c r="AB4" s="5" t="str">
        <f>IF(ISERROR(VLOOKUP($X4,Лист2!$A$2:$M$498,13,FALSE)),"",VLOOKUP($X4,Лист2!$A$2:$M$498,13,FALSE))</f>
        <v>https://epvo.kz/#/verification_education_document?iin=040105601263&amp;diplomaSeries=BD&amp;diplomaNumber=00025621325</v>
      </c>
    </row>
    <row r="5" spans="1:28" x14ac:dyDescent="0.25">
      <c r="A5" s="5" t="str">
        <f>IF(ISBLANK(Лист1!A5),"",Лист1!A5)</f>
        <v>21</v>
      </c>
      <c r="B5" s="5" t="str">
        <f>IF(ISBLANK(Лист1!B5),"",Лист1!B5)</f>
        <v>маусымдағы</v>
      </c>
      <c r="C5" s="5" t="str">
        <f>IF(ISBLANK(Лист1!C5),"",Лист1!C5)</f>
        <v>01</v>
      </c>
      <c r="D5" s="5" t="str">
        <f>IF(ISBLANK(Лист1!D5),"",Лист1!D5)</f>
        <v>Абдиганиева  Диёра  Илхамжановнаға</v>
      </c>
      <c r="E5" s="5" t="str">
        <f>IF(ISBLANK(Лист1!E5),"",Лист1!E5)</f>
        <v>"6В01705 - Шетел тілі: екі шетел тілі (ағылшын)", В018-Шет тілі мұғалімдерін даярлау</v>
      </c>
      <c r="F5" s="5" t="str">
        <f>IF(ISBLANK(Лист1!F5),"",Лист1!F5)</f>
        <v>білім</v>
      </c>
      <c r="G5" s="5" t="str">
        <f>IF(ISBLANK(Лист1!G5),"",Лист1!G5)</f>
        <v>күндізгі</v>
      </c>
      <c r="H5" s="5" t="str">
        <f>IF(ISBLANK(Лист1!H5),"",Лист1!H5)</f>
        <v>Abdiganiyeva  Diyora</v>
      </c>
      <c r="I5" s="5" t="str">
        <f>IF(ISBLANK(Лист1!I5),"",Лист1!I5)</f>
        <v>Education</v>
      </c>
      <c r="J5" s="5" t="str">
        <f>IF(ISBLANK(Лист1!J5),"",Лист1!J5)</f>
        <v>"6B01705 - Foreign language: two foreign languages (English)", B018-Training of foreign language teachers</v>
      </c>
      <c r="K5" s="5" t="str">
        <f>IF(ISBLANK(Лист1!K5),"",Лист1!K5)</f>
        <v>full-time</v>
      </c>
      <c r="L5" s="5" t="str">
        <f>IF(ISBLANK(Лист1!L5),"",Лист1!L5)</f>
        <v>21</v>
      </c>
      <c r="M5" s="5" t="str">
        <f>IF(ISBLANK(Лист1!M5),"",Лист1!M5)</f>
        <v>June</v>
      </c>
      <c r="N5" s="5" t="str">
        <f>IF(ISBLANK(Лист1!N5),"",Лист1!N5)</f>
        <v>21</v>
      </c>
      <c r="O5" s="5" t="str">
        <f>IF(ISBLANK(Лист1!O5),"",Лист1!O5)</f>
        <v>июня</v>
      </c>
      <c r="P5" s="5" t="str">
        <f>IF(ISBLANK(Лист1!P5),"",Лист1!P5)</f>
        <v>01</v>
      </c>
      <c r="Q5" s="5" t="str">
        <f>IF(ISBLANK(Лист1!Q5),"",Лист1!Q5)</f>
        <v>Абдиганиевой  Диёре  Илхамжановне</v>
      </c>
      <c r="R5" s="5" t="str">
        <f>IF(ISBLANK(Лист1!R5),"",Лист1!R5)</f>
        <v>образования</v>
      </c>
      <c r="S5" s="5" t="str">
        <f>IF(ISBLANK(Лист1!S5),"",Лист1!S5)</f>
        <v>"6B01705 - Иностранный язык: два иностранных языка (английский)", В018-Подготовка учителей иностранного языка</v>
      </c>
      <c r="T5" s="5" t="str">
        <f>IF(ISBLANK(Лист1!T5),"",Лист1!T5)</f>
        <v>очное</v>
      </c>
      <c r="U5" s="5" t="str">
        <f>IF(ISBLANK(Лист1!U5),"",Лист1!U5)</f>
        <v/>
      </c>
      <c r="V5" s="5" t="str">
        <f>IF(ISBLANK(Лист1!V5),"",Лист1!V5)</f>
        <v>28</v>
      </c>
      <c r="W5" s="5" t="str">
        <f>IF(ISBLANK(Лист1!W5),"",Лист1!W5)</f>
        <v>маусым</v>
      </c>
      <c r="X5" s="5" t="str">
        <f>IF(ISBLANK(Лист1!X5),"",Лист1!X5)</f>
        <v>040401602290</v>
      </c>
      <c r="Y5" s="5" t="str">
        <f>IF(ISERROR(VLOOKUP($X5,Лист2!$A$2:$G$498,1,FALSE)),"",VLOOKUP($X5,Лист2!$A$2:$G$498,1,FALSE))</f>
        <v>040401602290</v>
      </c>
      <c r="Z5" s="5" t="str">
        <f>IF(ISERROR(VLOOKUP($X5,Лист2!$A$2:$L$498,9,FALSE)),"",VLOOKUP($X5,Лист2!$A$2:$L$498,9,FALSE))</f>
        <v>BD</v>
      </c>
      <c r="AA5" s="5" t="str">
        <f>IF(ISERROR(VLOOKUP($X5,Лист2!$A$2:$L$498,10,FALSE)),"",VLOOKUP($X5,Лист2!$A$2:$L$498,10,FALSE))</f>
        <v>00025621425</v>
      </c>
      <c r="AB5" s="5" t="str">
        <f>IF(ISERROR(VLOOKUP($X5,Лист2!$A$2:$M$498,13,FALSE)),"",VLOOKUP($X5,Лист2!$A$2:$M$498,13,FALSE))</f>
        <v>https://epvo.kz/#/verification_education_document?iin=040401602290&amp;diplomaSeries=BD&amp;diplomaNumber=00025621425</v>
      </c>
    </row>
    <row r="6" spans="1:28" x14ac:dyDescent="0.25">
      <c r="A6" s="5" t="str">
        <f>IF(ISBLANK(Лист1!A6),"",Лист1!A6)</f>
        <v>21</v>
      </c>
      <c r="B6" s="5" t="str">
        <f>IF(ISBLANK(Лист1!B6),"",Лист1!B6)</f>
        <v>маусымдағы</v>
      </c>
      <c r="C6" s="5" t="str">
        <f>IF(ISBLANK(Лист1!C6),"",Лист1!C6)</f>
        <v>85</v>
      </c>
      <c r="D6" s="5" t="str">
        <f>IF(ISBLANK(Лист1!D6),"",Лист1!D6)</f>
        <v>Абдигаппаров  Хаёт  Сайдимамутовичке</v>
      </c>
      <c r="E6" s="5" t="str">
        <f>IF(ISBLANK(Лист1!E6),"",Лист1!E6)</f>
        <v>"6В01705 - Шетел тілі: екі шетел тілі (ағылшын)", В018-Шет тілі мұғалімдерін даярлау</v>
      </c>
      <c r="F6" s="5" t="str">
        <f>IF(ISBLANK(Лист1!F6),"",Лист1!F6)</f>
        <v>білім</v>
      </c>
      <c r="G6" s="5" t="str">
        <f>IF(ISBLANK(Лист1!G6),"",Лист1!G6)</f>
        <v>күндізгі</v>
      </c>
      <c r="H6" s="5" t="str">
        <f>IF(ISBLANK(Лист1!H6),"",Лист1!H6)</f>
        <v>Abdigapparov  Khayot</v>
      </c>
      <c r="I6" s="5" t="str">
        <f>IF(ISBLANK(Лист1!I6),"",Лист1!I6)</f>
        <v>Education</v>
      </c>
      <c r="J6" s="5" t="str">
        <f>IF(ISBLANK(Лист1!J6),"",Лист1!J6)</f>
        <v>"6B01705 - Foreign language: two foreign languages (English)", B018-Training of foreign language teachers</v>
      </c>
      <c r="K6" s="5" t="str">
        <f>IF(ISBLANK(Лист1!K6),"",Лист1!K6)</f>
        <v>full-time</v>
      </c>
      <c r="L6" s="5" t="str">
        <f>IF(ISBLANK(Лист1!L6),"",Лист1!L6)</f>
        <v>21</v>
      </c>
      <c r="M6" s="5" t="str">
        <f>IF(ISBLANK(Лист1!M6),"",Лист1!M6)</f>
        <v>June</v>
      </c>
      <c r="N6" s="5" t="str">
        <f>IF(ISBLANK(Лист1!N6),"",Лист1!N6)</f>
        <v>21</v>
      </c>
      <c r="O6" s="5" t="str">
        <f>IF(ISBLANK(Лист1!O6),"",Лист1!O6)</f>
        <v>июня</v>
      </c>
      <c r="P6" s="5" t="str">
        <f>IF(ISBLANK(Лист1!P6),"",Лист1!P6)</f>
        <v>85</v>
      </c>
      <c r="Q6" s="5" t="str">
        <f>IF(ISBLANK(Лист1!Q6),"",Лист1!Q6)</f>
        <v>Абдигаппарову  Хаёту  Сайдимамутовичу</v>
      </c>
      <c r="R6" s="5" t="str">
        <f>IF(ISBLANK(Лист1!R6),"",Лист1!R6)</f>
        <v>образования</v>
      </c>
      <c r="S6" s="5" t="str">
        <f>IF(ISBLANK(Лист1!S6),"",Лист1!S6)</f>
        <v>"6B01705 - Иностранный язык: два иностранных языка (английский)", В018-Подготовка учителей иностранного языка</v>
      </c>
      <c r="T6" s="5" t="str">
        <f>IF(ISBLANK(Лист1!T6),"",Лист1!T6)</f>
        <v>очное</v>
      </c>
      <c r="U6" s="5" t="str">
        <f>IF(ISBLANK(Лист1!U6),"",Лист1!U6)</f>
        <v/>
      </c>
      <c r="V6" s="5" t="str">
        <f>IF(ISBLANK(Лист1!V6),"",Лист1!V6)</f>
        <v>28</v>
      </c>
      <c r="W6" s="5" t="str">
        <f>IF(ISBLANK(Лист1!W6),"",Лист1!W6)</f>
        <v>маусым</v>
      </c>
      <c r="X6" s="5" t="str">
        <f>IF(ISBLANK(Лист1!X6),"",Лист1!X6)</f>
        <v>040730502005</v>
      </c>
      <c r="Y6" s="5" t="str">
        <f>IF(ISERROR(VLOOKUP($X6,Лист2!$A$2:$G$498,1,FALSE)),"",VLOOKUP($X6,Лист2!$A$2:$G$498,1,FALSE))</f>
        <v>040730502005</v>
      </c>
      <c r="Z6" s="5" t="str">
        <f>IF(ISERROR(VLOOKUP($X6,Лист2!$A$2:$L$498,9,FALSE)),"",VLOOKUP($X6,Лист2!$A$2:$L$498,9,FALSE))</f>
        <v>BD</v>
      </c>
      <c r="AA6" s="5" t="str">
        <f>IF(ISERROR(VLOOKUP($X6,Лист2!$A$2:$L$498,10,FALSE)),"",VLOOKUP($X6,Лист2!$A$2:$L$498,10,FALSE))</f>
        <v>00025621525</v>
      </c>
      <c r="AB6" s="5" t="str">
        <f>IF(ISERROR(VLOOKUP($X6,Лист2!$A$2:$M$498,13,FALSE)),"",VLOOKUP($X6,Лист2!$A$2:$M$498,13,FALSE))</f>
        <v>https://epvo.kz/#/verification_education_document?iin=040730502005&amp;diplomaSeries=BD&amp;diplomaNumber=00025621525</v>
      </c>
    </row>
    <row r="7" spans="1:28" x14ac:dyDescent="0.25">
      <c r="A7" s="5" t="str">
        <f>IF(ISBLANK(Лист1!A7),"",Лист1!A7)</f>
        <v>21</v>
      </c>
      <c r="B7" s="5" t="str">
        <f>IF(ISBLANK(Лист1!B7),"",Лист1!B7)</f>
        <v>маусымдағы</v>
      </c>
      <c r="C7" s="5" t="str">
        <f>IF(ISBLANK(Лист1!C7),"",Лист1!C7)</f>
        <v>209</v>
      </c>
      <c r="D7" s="5" t="str">
        <f>IF(ISBLANK(Лист1!D7),"",Лист1!D7)</f>
        <v>Абдуллади  Арайлым  Анасқызына</v>
      </c>
      <c r="E7" s="5" t="str">
        <f>IF(ISBLANK(Лист1!E7),"",Лист1!E7)</f>
        <v>"6В01705 - Шетел тілі: екі шетел тілі (ағылшын)", В018-Шет тілі мұғалімдерін даярлау</v>
      </c>
      <c r="F7" s="5" t="str">
        <f>IF(ISBLANK(Лист1!F7),"",Лист1!F7)</f>
        <v>білім</v>
      </c>
      <c r="G7" s="5" t="str">
        <f>IF(ISBLANK(Лист1!G7),"",Лист1!G7)</f>
        <v>күндізгі</v>
      </c>
      <c r="H7" s="5" t="str">
        <f>IF(ISBLANK(Лист1!H7),"",Лист1!H7)</f>
        <v>Abdulladi  Arailym</v>
      </c>
      <c r="I7" s="5" t="str">
        <f>IF(ISBLANK(Лист1!I7),"",Лист1!I7)</f>
        <v>Education</v>
      </c>
      <c r="J7" s="5" t="str">
        <f>IF(ISBLANK(Лист1!J7),"",Лист1!J7)</f>
        <v>"6B01705 - Foreign language: two foreign languages (English)", B018-Training of foreign language teachers</v>
      </c>
      <c r="K7" s="5" t="str">
        <f>IF(ISBLANK(Лист1!K7),"",Лист1!K7)</f>
        <v>full-time</v>
      </c>
      <c r="L7" s="5" t="str">
        <f>IF(ISBLANK(Лист1!L7),"",Лист1!L7)</f>
        <v>21</v>
      </c>
      <c r="M7" s="5" t="str">
        <f>IF(ISBLANK(Лист1!M7),"",Лист1!M7)</f>
        <v>June</v>
      </c>
      <c r="N7" s="5" t="str">
        <f>IF(ISBLANK(Лист1!N7),"",Лист1!N7)</f>
        <v>21</v>
      </c>
      <c r="O7" s="5" t="str">
        <f>IF(ISBLANK(Лист1!O7),"",Лист1!O7)</f>
        <v>июня</v>
      </c>
      <c r="P7" s="5" t="str">
        <f>IF(ISBLANK(Лист1!P7),"",Лист1!P7)</f>
        <v>209</v>
      </c>
      <c r="Q7" s="5" t="str">
        <f>IF(ISBLANK(Лист1!Q7),"",Лист1!Q7)</f>
        <v>Абдуллади  Арайлым  Анасқызы</v>
      </c>
      <c r="R7" s="5" t="str">
        <f>IF(ISBLANK(Лист1!R7),"",Лист1!R7)</f>
        <v>образования</v>
      </c>
      <c r="S7" s="5" t="str">
        <f>IF(ISBLANK(Лист1!S7),"",Лист1!S7)</f>
        <v>"6B01705 - Иностранный язык: два иностранных языка (английский)", В018-Подготовка учителей иностранного языка</v>
      </c>
      <c r="T7" s="5" t="str">
        <f>IF(ISBLANK(Лист1!T7),"",Лист1!T7)</f>
        <v>очное</v>
      </c>
      <c r="U7" s="5" t="str">
        <f>IF(ISBLANK(Лист1!U7),"",Лист1!U7)</f>
        <v/>
      </c>
      <c r="V7" s="5" t="str">
        <f>IF(ISBLANK(Лист1!V7),"",Лист1!V7)</f>
        <v>28</v>
      </c>
      <c r="W7" s="5" t="str">
        <f>IF(ISBLANK(Лист1!W7),"",Лист1!W7)</f>
        <v>маусым</v>
      </c>
      <c r="X7" s="5" t="str">
        <f>IF(ISBLANK(Лист1!X7),"",Лист1!X7)</f>
        <v>030927600143</v>
      </c>
      <c r="Y7" s="5" t="str">
        <f>IF(ISERROR(VLOOKUP($X7,Лист2!$A$2:$G$498,1,FALSE)),"",VLOOKUP($X7,Лист2!$A$2:$G$498,1,FALSE))</f>
        <v>030927600143</v>
      </c>
      <c r="Z7" s="5" t="str">
        <f>IF(ISERROR(VLOOKUP($X7,Лист2!$A$2:$L$498,9,FALSE)),"",VLOOKUP($X7,Лист2!$A$2:$L$498,9,FALSE))</f>
        <v>BD</v>
      </c>
      <c r="AA7" s="5" t="str">
        <f>IF(ISERROR(VLOOKUP($X7,Лист2!$A$2:$L$498,10,FALSE)),"",VLOOKUP($X7,Лист2!$A$2:$L$498,10,FALSE))</f>
        <v>00025621625</v>
      </c>
      <c r="AB7" s="5" t="str">
        <f>IF(ISERROR(VLOOKUP($X7,Лист2!$A$2:$M$498,13,FALSE)),"",VLOOKUP($X7,Лист2!$A$2:$M$498,13,FALSE))</f>
        <v>https://epvo.kz/#/verification_education_document?iin=030927600143&amp;diplomaSeries=BD&amp;diplomaNumber=00025621625</v>
      </c>
    </row>
    <row r="8" spans="1:28" x14ac:dyDescent="0.25">
      <c r="A8" s="5" t="str">
        <f>IF(ISBLANK(Лист1!A8),"",Лист1!A8)</f>
        <v>21</v>
      </c>
      <c r="B8" s="5" t="str">
        <f>IF(ISBLANK(Лист1!B8),"",Лист1!B8)</f>
        <v>маусымдағы</v>
      </c>
      <c r="C8" s="5" t="str">
        <f>IF(ISBLANK(Лист1!C8),"",Лист1!C8)</f>
        <v>210</v>
      </c>
      <c r="D8" s="5" t="str">
        <f>IF(ISBLANK(Лист1!D8),"",Лист1!D8)</f>
        <v>Абдурахманова  Эъзоза  Хасанқызына</v>
      </c>
      <c r="E8" s="5" t="str">
        <f>IF(ISBLANK(Лист1!E8),"",Лист1!E8)</f>
        <v>"6В01705 - Шетел тілі: екі шетел тілі (ағылшын)", В018-Шет тілі мұғалімдерін даярлау</v>
      </c>
      <c r="F8" s="5" t="str">
        <f>IF(ISBLANK(Лист1!F8),"",Лист1!F8)</f>
        <v>білім</v>
      </c>
      <c r="G8" s="5" t="str">
        <f>IF(ISBLANK(Лист1!G8),"",Лист1!G8)</f>
        <v>күндізгі</v>
      </c>
      <c r="H8" s="5" t="str">
        <f>IF(ISBLANK(Лист1!H8),"",Лист1!H8)</f>
        <v>Abdurakhmanova  Ezoza</v>
      </c>
      <c r="I8" s="5" t="str">
        <f>IF(ISBLANK(Лист1!I8),"",Лист1!I8)</f>
        <v>Education</v>
      </c>
      <c r="J8" s="5" t="str">
        <f>IF(ISBLANK(Лист1!J8),"",Лист1!J8)</f>
        <v>"6B01705 - Foreign language: two foreign languages (English)", B018-Training of foreign language teachers</v>
      </c>
      <c r="K8" s="5" t="str">
        <f>IF(ISBLANK(Лист1!K8),"",Лист1!K8)</f>
        <v>full-time</v>
      </c>
      <c r="L8" s="5" t="str">
        <f>IF(ISBLANK(Лист1!L8),"",Лист1!L8)</f>
        <v>21</v>
      </c>
      <c r="M8" s="5" t="str">
        <f>IF(ISBLANK(Лист1!M8),"",Лист1!M8)</f>
        <v>June</v>
      </c>
      <c r="N8" s="5" t="str">
        <f>IF(ISBLANK(Лист1!N8),"",Лист1!N8)</f>
        <v>21</v>
      </c>
      <c r="O8" s="5" t="str">
        <f>IF(ISBLANK(Лист1!O8),"",Лист1!O8)</f>
        <v>июня</v>
      </c>
      <c r="P8" s="5" t="str">
        <f>IF(ISBLANK(Лист1!P8),"",Лист1!P8)</f>
        <v>210</v>
      </c>
      <c r="Q8" s="5" t="str">
        <f>IF(ISBLANK(Лист1!Q8),"",Лист1!Q8)</f>
        <v>Абдурахманова  Эъзоза  Хасанқызы</v>
      </c>
      <c r="R8" s="5" t="str">
        <f>IF(ISBLANK(Лист1!R8),"",Лист1!R8)</f>
        <v>образования</v>
      </c>
      <c r="S8" s="5" t="str">
        <f>IF(ISBLANK(Лист1!S8),"",Лист1!S8)</f>
        <v>"6B01705 - Иностранный язык: два иностранных языка (английский)", В018-Подготовка учителей иностранного языка</v>
      </c>
      <c r="T8" s="5" t="str">
        <f>IF(ISBLANK(Лист1!T8),"",Лист1!T8)</f>
        <v>очное</v>
      </c>
      <c r="U8" s="5" t="str">
        <f>IF(ISBLANK(Лист1!U8),"",Лист1!U8)</f>
        <v/>
      </c>
      <c r="V8" s="5" t="str">
        <f>IF(ISBLANK(Лист1!V8),"",Лист1!V8)</f>
        <v>28</v>
      </c>
      <c r="W8" s="5" t="str">
        <f>IF(ISBLANK(Лист1!W8),"",Лист1!W8)</f>
        <v>маусым</v>
      </c>
      <c r="X8" s="5" t="str">
        <f>IF(ISBLANK(Лист1!X8),"",Лист1!X8)</f>
        <v>040925600937</v>
      </c>
      <c r="Y8" s="5" t="str">
        <f>IF(ISERROR(VLOOKUP($X8,Лист2!$A$2:$G$498,1,FALSE)),"",VLOOKUP($X8,Лист2!$A$2:$G$498,1,FALSE))</f>
        <v>040925600937</v>
      </c>
      <c r="Z8" s="5" t="str">
        <f>IF(ISERROR(VLOOKUP($X8,Лист2!$A$2:$L$498,9,FALSE)),"",VLOOKUP($X8,Лист2!$A$2:$L$498,9,FALSE))</f>
        <v>BD</v>
      </c>
      <c r="AA8" s="5" t="str">
        <f>IF(ISERROR(VLOOKUP($X8,Лист2!$A$2:$L$498,10,FALSE)),"",VLOOKUP($X8,Лист2!$A$2:$L$498,10,FALSE))</f>
        <v>00025621725</v>
      </c>
      <c r="AB8" s="5" t="str">
        <f>IF(ISERROR(VLOOKUP($X8,Лист2!$A$2:$M$498,13,FALSE)),"",VLOOKUP($X8,Лист2!$A$2:$M$498,13,FALSE))</f>
        <v>https://epvo.kz/#/verification_education_document?iin=040925600937&amp;diplomaSeries=BD&amp;diplomaNumber=00025621725</v>
      </c>
    </row>
    <row r="9" spans="1:28" x14ac:dyDescent="0.25">
      <c r="A9" s="5" t="str">
        <f>IF(ISBLANK(Лист1!A9),"",Лист1!A9)</f>
        <v>21</v>
      </c>
      <c r="B9" s="5" t="str">
        <f>IF(ISBLANK(Лист1!B9),"",Лист1!B9)</f>
        <v>маусымдағы</v>
      </c>
      <c r="C9" s="5" t="str">
        <f>IF(ISBLANK(Лист1!C9),"",Лист1!C9)</f>
        <v>211</v>
      </c>
      <c r="D9" s="5" t="str">
        <f>IF(ISBLANK(Лист1!D9),"",Лист1!D9)</f>
        <v>Абдыхай  Сандуғаш  Талғатқызына</v>
      </c>
      <c r="E9" s="5" t="str">
        <f>IF(ISBLANK(Лист1!E9),"",Лист1!E9)</f>
        <v>"6В01705 - Шетел тілі: екі шетел тілі (ағылшын)", В018-Шет тілі мұғалімдерін даярлау</v>
      </c>
      <c r="F9" s="5" t="str">
        <f>IF(ISBLANK(Лист1!F9),"",Лист1!F9)</f>
        <v>білім</v>
      </c>
      <c r="G9" s="5" t="str">
        <f>IF(ISBLANK(Лист1!G9),"",Лист1!G9)</f>
        <v>күндізгі</v>
      </c>
      <c r="H9" s="5" t="str">
        <f>IF(ISBLANK(Лист1!H9),"",Лист1!H9)</f>
        <v>Abdykhay  Sandugash</v>
      </c>
      <c r="I9" s="5" t="str">
        <f>IF(ISBLANK(Лист1!I9),"",Лист1!I9)</f>
        <v>Education</v>
      </c>
      <c r="J9" s="5" t="str">
        <f>IF(ISBLANK(Лист1!J9),"",Лист1!J9)</f>
        <v>"6B01705 - Foreign language: two foreign languages (English)", B018-Training of foreign language teachers</v>
      </c>
      <c r="K9" s="5" t="str">
        <f>IF(ISBLANK(Лист1!K9),"",Лист1!K9)</f>
        <v>full-time</v>
      </c>
      <c r="L9" s="5" t="str">
        <f>IF(ISBLANK(Лист1!L9),"",Лист1!L9)</f>
        <v>21</v>
      </c>
      <c r="M9" s="5" t="str">
        <f>IF(ISBLANK(Лист1!M9),"",Лист1!M9)</f>
        <v>June</v>
      </c>
      <c r="N9" s="5" t="str">
        <f>IF(ISBLANK(Лист1!N9),"",Лист1!N9)</f>
        <v>21</v>
      </c>
      <c r="O9" s="5" t="str">
        <f>IF(ISBLANK(Лист1!O9),"",Лист1!O9)</f>
        <v>июня</v>
      </c>
      <c r="P9" s="5" t="str">
        <f>IF(ISBLANK(Лист1!P9),"",Лист1!P9)</f>
        <v>211</v>
      </c>
      <c r="Q9" s="5" t="str">
        <f>IF(ISBLANK(Лист1!Q9),"",Лист1!Q9)</f>
        <v>Абдыхай  Сандуғаш  Талғатқызы</v>
      </c>
      <c r="R9" s="5" t="str">
        <f>IF(ISBLANK(Лист1!R9),"",Лист1!R9)</f>
        <v>образования</v>
      </c>
      <c r="S9" s="5" t="str">
        <f>IF(ISBLANK(Лист1!S9),"",Лист1!S9)</f>
        <v>"6B01705 - Иностранный язык: два иностранных языка (английский)", В018-Подготовка учителей иностранного языка</v>
      </c>
      <c r="T9" s="5" t="str">
        <f>IF(ISBLANK(Лист1!T9),"",Лист1!T9)</f>
        <v>очное</v>
      </c>
      <c r="U9" s="5" t="str">
        <f>IF(ISBLANK(Лист1!U9),"",Лист1!U9)</f>
        <v/>
      </c>
      <c r="V9" s="5" t="str">
        <f>IF(ISBLANK(Лист1!V9),"",Лист1!V9)</f>
        <v>28</v>
      </c>
      <c r="W9" s="5" t="str">
        <f>IF(ISBLANK(Лист1!W9),"",Лист1!W9)</f>
        <v>маусым</v>
      </c>
      <c r="X9" s="5" t="str">
        <f>IF(ISBLANK(Лист1!X9),"",Лист1!X9)</f>
        <v>040409600981</v>
      </c>
      <c r="Y9" s="5" t="str">
        <f>IF(ISERROR(VLOOKUP($X9,Лист2!$A$2:$G$498,1,FALSE)),"",VLOOKUP($X9,Лист2!$A$2:$G$498,1,FALSE))</f>
        <v>040409600981</v>
      </c>
      <c r="Z9" s="5" t="str">
        <f>IF(ISERROR(VLOOKUP($X9,Лист2!$A$2:$L$498,9,FALSE)),"",VLOOKUP($X9,Лист2!$A$2:$L$498,9,FALSE))</f>
        <v>BD</v>
      </c>
      <c r="AA9" s="5" t="str">
        <f>IF(ISERROR(VLOOKUP($X9,Лист2!$A$2:$L$498,10,FALSE)),"",VLOOKUP($X9,Лист2!$A$2:$L$498,10,FALSE))</f>
        <v>00025621825</v>
      </c>
      <c r="AB9" s="5" t="str">
        <f>IF(ISERROR(VLOOKUP($X9,Лист2!$A$2:$M$498,13,FALSE)),"",VLOOKUP($X9,Лист2!$A$2:$M$498,13,FALSE))</f>
        <v>https://epvo.kz/#/verification_education_document?iin=040409600981&amp;diplomaSeries=BD&amp;diplomaNumber=00025621825</v>
      </c>
    </row>
    <row r="10" spans="1:28" x14ac:dyDescent="0.25">
      <c r="A10" s="5" t="str">
        <f>IF(ISBLANK(Лист1!A10),"",Лист1!A10)</f>
        <v>21</v>
      </c>
      <c r="B10" s="5" t="str">
        <f>IF(ISBLANK(Лист1!B10),"",Лист1!B10)</f>
        <v>маусымдағы</v>
      </c>
      <c r="C10" s="5" t="str">
        <f>IF(ISBLANK(Лист1!C10),"",Лист1!C10)</f>
        <v>212</v>
      </c>
      <c r="D10" s="5" t="str">
        <f>IF(ISBLANK(Лист1!D10),"",Лист1!D10)</f>
        <v>Абдыхахарова  Аяжан  Асхатқызына</v>
      </c>
      <c r="E10" s="5" t="str">
        <f>IF(ISBLANK(Лист1!E10),"",Лист1!E10)</f>
        <v>"6В01705 - Шетел тілі: екі шетел тілі (ағылшын)", В018-Шет тілі мұғалімдерін даярлау</v>
      </c>
      <c r="F10" s="5" t="str">
        <f>IF(ISBLANK(Лист1!F10),"",Лист1!F10)</f>
        <v>білім</v>
      </c>
      <c r="G10" s="5" t="str">
        <f>IF(ISBLANK(Лист1!G10),"",Лист1!G10)</f>
        <v>күндізгі</v>
      </c>
      <c r="H10" s="5" t="str">
        <f>IF(ISBLANK(Лист1!H10),"",Лист1!H10)</f>
        <v>Abdykhakharova  Ayazhan</v>
      </c>
      <c r="I10" s="5" t="str">
        <f>IF(ISBLANK(Лист1!I10),"",Лист1!I10)</f>
        <v>Education</v>
      </c>
      <c r="J10" s="5" t="str">
        <f>IF(ISBLANK(Лист1!J10),"",Лист1!J10)</f>
        <v>"6B01705 - Foreign language: two foreign languages (English)", B018-Training of foreign language teachers</v>
      </c>
      <c r="K10" s="5" t="str">
        <f>IF(ISBLANK(Лист1!K10),"",Лист1!K10)</f>
        <v>full-time</v>
      </c>
      <c r="L10" s="5" t="str">
        <f>IF(ISBLANK(Лист1!L10),"",Лист1!L10)</f>
        <v>21</v>
      </c>
      <c r="M10" s="5" t="str">
        <f>IF(ISBLANK(Лист1!M10),"",Лист1!M10)</f>
        <v>June</v>
      </c>
      <c r="N10" s="5" t="str">
        <f>IF(ISBLANK(Лист1!N10),"",Лист1!N10)</f>
        <v>21</v>
      </c>
      <c r="O10" s="5" t="str">
        <f>IF(ISBLANK(Лист1!O10),"",Лист1!O10)</f>
        <v>июня</v>
      </c>
      <c r="P10" s="5" t="str">
        <f>IF(ISBLANK(Лист1!P10),"",Лист1!P10)</f>
        <v>212</v>
      </c>
      <c r="Q10" s="5" t="str">
        <f>IF(ISBLANK(Лист1!Q10),"",Лист1!Q10)</f>
        <v>Абдыхахарова  Аяжан  Асхатқызы</v>
      </c>
      <c r="R10" s="5" t="str">
        <f>IF(ISBLANK(Лист1!R10),"",Лист1!R10)</f>
        <v>образования</v>
      </c>
      <c r="S10" s="5" t="str">
        <f>IF(ISBLANK(Лист1!S10),"",Лист1!S10)</f>
        <v>"6B01705 - Иностранный язык: два иностранных языка (английский)", В018-Подготовка учителей иностранного языка</v>
      </c>
      <c r="T10" s="5" t="str">
        <f>IF(ISBLANK(Лист1!T10),"",Лист1!T10)</f>
        <v>очное</v>
      </c>
      <c r="U10" s="5" t="str">
        <f>IF(ISBLANK(Лист1!U10),"",Лист1!U10)</f>
        <v/>
      </c>
      <c r="V10" s="5" t="str">
        <f>IF(ISBLANK(Лист1!V10),"",Лист1!V10)</f>
        <v>28</v>
      </c>
      <c r="W10" s="5" t="str">
        <f>IF(ISBLANK(Лист1!W10),"",Лист1!W10)</f>
        <v>маусым</v>
      </c>
      <c r="X10" s="5" t="str">
        <f>IF(ISBLANK(Лист1!X10),"",Лист1!X10)</f>
        <v>030624601818</v>
      </c>
      <c r="Y10" s="5" t="str">
        <f>IF(ISERROR(VLOOKUP($X10,Лист2!$A$2:$G$498,1,FALSE)),"",VLOOKUP($X10,Лист2!$A$2:$G$498,1,FALSE))</f>
        <v>030624601818</v>
      </c>
      <c r="Z10" s="5" t="str">
        <f>IF(ISERROR(VLOOKUP($X10,Лист2!$A$2:$L$498,9,FALSE)),"",VLOOKUP($X10,Лист2!$A$2:$L$498,9,FALSE))</f>
        <v>BD</v>
      </c>
      <c r="AA10" s="5" t="str">
        <f>IF(ISERROR(VLOOKUP($X10,Лист2!$A$2:$L$498,10,FALSE)),"",VLOOKUP($X10,Лист2!$A$2:$L$498,10,FALSE))</f>
        <v>00025621925</v>
      </c>
      <c r="AB10" s="5" t="str">
        <f>IF(ISERROR(VLOOKUP($X10,Лист2!$A$2:$M$498,13,FALSE)),"",VLOOKUP($X10,Лист2!$A$2:$M$498,13,FALSE))</f>
        <v>https://epvo.kz/#/verification_education_document?iin=030624601818&amp;diplomaSeries=BD&amp;diplomaNumber=00025621925</v>
      </c>
    </row>
    <row r="11" spans="1:28" x14ac:dyDescent="0.25">
      <c r="A11" s="5" t="str">
        <f>IF(ISBLANK(Лист1!A11),"",Лист1!A11)</f>
        <v>21</v>
      </c>
      <c r="B11" s="5" t="str">
        <f>IF(ISBLANK(Лист1!B11),"",Лист1!B11)</f>
        <v>маусымдағы</v>
      </c>
      <c r="C11" s="5" t="str">
        <f>IF(ISBLANK(Лист1!C11),"",Лист1!C11)</f>
        <v>16</v>
      </c>
      <c r="D11" s="5" t="str">
        <f>IF(ISBLANK(Лист1!D11),"",Лист1!D11)</f>
        <v>Агибаева  Мадина  Амантаевнаға</v>
      </c>
      <c r="E11" s="5" t="str">
        <f>IF(ISBLANK(Лист1!E11),"",Лист1!E11)</f>
        <v>"6В01705 - Шетел тілі: екі шетел тілі (ағылшын)", В018-Шет тілі мұғалімдерін даярлау</v>
      </c>
      <c r="F11" s="5" t="str">
        <f>IF(ISBLANK(Лист1!F11),"",Лист1!F11)</f>
        <v>білім</v>
      </c>
      <c r="G11" s="5" t="str">
        <f>IF(ISBLANK(Лист1!G11),"",Лист1!G11)</f>
        <v>күндізгі</v>
      </c>
      <c r="H11" s="5" t="str">
        <f>IF(ISBLANK(Лист1!H11),"",Лист1!H11)</f>
        <v>Agibayeva  Madina</v>
      </c>
      <c r="I11" s="5" t="str">
        <f>IF(ISBLANK(Лист1!I11),"",Лист1!I11)</f>
        <v>Education</v>
      </c>
      <c r="J11" s="5" t="str">
        <f>IF(ISBLANK(Лист1!J11),"",Лист1!J11)</f>
        <v>"6B01705 - Foreign language: two foreign languages (English)", B018-Training of foreign language teachers</v>
      </c>
      <c r="K11" s="5" t="str">
        <f>IF(ISBLANK(Лист1!K11),"",Лист1!K11)</f>
        <v>full-time</v>
      </c>
      <c r="L11" s="5" t="str">
        <f>IF(ISBLANK(Лист1!L11),"",Лист1!L11)</f>
        <v>21</v>
      </c>
      <c r="M11" s="5" t="str">
        <f>IF(ISBLANK(Лист1!M11),"",Лист1!M11)</f>
        <v>June</v>
      </c>
      <c r="N11" s="5" t="str">
        <f>IF(ISBLANK(Лист1!N11),"",Лист1!N11)</f>
        <v>21</v>
      </c>
      <c r="O11" s="5" t="str">
        <f>IF(ISBLANK(Лист1!O11),"",Лист1!O11)</f>
        <v>июня</v>
      </c>
      <c r="P11" s="5" t="str">
        <f>IF(ISBLANK(Лист1!P11),"",Лист1!P11)</f>
        <v>16</v>
      </c>
      <c r="Q11" s="5" t="str">
        <f>IF(ISBLANK(Лист1!Q11),"",Лист1!Q11)</f>
        <v>Агибаевой  Мадине  Амантаевне</v>
      </c>
      <c r="R11" s="5" t="str">
        <f>IF(ISBLANK(Лист1!R11),"",Лист1!R11)</f>
        <v>образования</v>
      </c>
      <c r="S11" s="5" t="str">
        <f>IF(ISBLANK(Лист1!S11),"",Лист1!S11)</f>
        <v>"6B01705 - Иностранный язык: два иностранных языка (английский)", В018-Подготовка учителей иностранного языка</v>
      </c>
      <c r="T11" s="5" t="str">
        <f>IF(ISBLANK(Лист1!T11),"",Лист1!T11)</f>
        <v>очное</v>
      </c>
      <c r="U11" s="5" t="str">
        <f>IF(ISBLANK(Лист1!U11),"",Лист1!U11)</f>
        <v/>
      </c>
      <c r="V11" s="5" t="str">
        <f>IF(ISBLANK(Лист1!V11),"",Лист1!V11)</f>
        <v>28</v>
      </c>
      <c r="W11" s="5" t="str">
        <f>IF(ISBLANK(Лист1!W11),"",Лист1!W11)</f>
        <v>маусым</v>
      </c>
      <c r="X11" s="5" t="str">
        <f>IF(ISBLANK(Лист1!X11),"",Лист1!X11)</f>
        <v>040701651190</v>
      </c>
      <c r="Y11" s="5" t="str">
        <f>IF(ISERROR(VLOOKUP($X11,Лист2!$A$2:$G$498,1,FALSE)),"",VLOOKUP($X11,Лист2!$A$2:$G$498,1,FALSE))</f>
        <v>040701651190</v>
      </c>
      <c r="Z11" s="5" t="str">
        <f>IF(ISERROR(VLOOKUP($X11,Лист2!$A$2:$L$498,9,FALSE)),"",VLOOKUP($X11,Лист2!$A$2:$L$498,9,FALSE))</f>
        <v>BD</v>
      </c>
      <c r="AA11" s="5" t="str">
        <f>IF(ISERROR(VLOOKUP($X11,Лист2!$A$2:$L$498,10,FALSE)),"",VLOOKUP($X11,Лист2!$A$2:$L$498,10,FALSE))</f>
        <v>00025622025</v>
      </c>
      <c r="AB11" s="5" t="str">
        <f>IF(ISERROR(VLOOKUP($X11,Лист2!$A$2:$M$498,13,FALSE)),"",VLOOKUP($X11,Лист2!$A$2:$M$498,13,FALSE))</f>
        <v>https://epvo.kz/#/verification_education_document?iin=040701651190&amp;diplomaSeries=BD&amp;diplomaNumber=00025622025</v>
      </c>
    </row>
    <row r="12" spans="1:28" x14ac:dyDescent="0.25">
      <c r="A12" s="5" t="str">
        <f>IF(ISBLANK(Лист1!A12),"",Лист1!A12)</f>
        <v>21</v>
      </c>
      <c r="B12" s="5" t="str">
        <f>IF(ISBLANK(Лист1!B12),"",Лист1!B12)</f>
        <v>маусымдағы</v>
      </c>
      <c r="C12" s="5" t="str">
        <f>IF(ISBLANK(Лист1!C12),"",Лист1!C12)</f>
        <v>10</v>
      </c>
      <c r="D12" s="5" t="str">
        <f>IF(ISBLANK(Лист1!D12),"",Лист1!D12)</f>
        <v>Адилбекова  Сабина  Нуркеновнаға</v>
      </c>
      <c r="E12" s="5" t="str">
        <f>IF(ISBLANK(Лист1!E12),"",Лист1!E12)</f>
        <v>"6В01705 - Шетел тілі: екі шетел тілі (ағылшын)", В018-Шет тілі мұғалімдерін даярлау</v>
      </c>
      <c r="F12" s="5" t="str">
        <f>IF(ISBLANK(Лист1!F12),"",Лист1!F12)</f>
        <v>білім</v>
      </c>
      <c r="G12" s="5" t="str">
        <f>IF(ISBLANK(Лист1!G12),"",Лист1!G12)</f>
        <v>күндізгі</v>
      </c>
      <c r="H12" s="5" t="str">
        <f>IF(ISBLANK(Лист1!H12),"",Лист1!H12)</f>
        <v xml:space="preserve"> Adilbekova  Sabina</v>
      </c>
      <c r="I12" s="5" t="str">
        <f>IF(ISBLANK(Лист1!I12),"",Лист1!I12)</f>
        <v>Education</v>
      </c>
      <c r="J12" s="5" t="str">
        <f>IF(ISBLANK(Лист1!J12),"",Лист1!J12)</f>
        <v>"6B01705 - Foreign language: two foreign languages (English)", B018-Training of foreign language teachers</v>
      </c>
      <c r="K12" s="5" t="str">
        <f>IF(ISBLANK(Лист1!K12),"",Лист1!K12)</f>
        <v>full-time</v>
      </c>
      <c r="L12" s="5" t="str">
        <f>IF(ISBLANK(Лист1!L12),"",Лист1!L12)</f>
        <v>21</v>
      </c>
      <c r="M12" s="5" t="str">
        <f>IF(ISBLANK(Лист1!M12),"",Лист1!M12)</f>
        <v>June</v>
      </c>
      <c r="N12" s="5" t="str">
        <f>IF(ISBLANK(Лист1!N12),"",Лист1!N12)</f>
        <v>21</v>
      </c>
      <c r="O12" s="5" t="str">
        <f>IF(ISBLANK(Лист1!O12),"",Лист1!O12)</f>
        <v>июня</v>
      </c>
      <c r="P12" s="5" t="str">
        <f>IF(ISBLANK(Лист1!P12),"",Лист1!P12)</f>
        <v>10</v>
      </c>
      <c r="Q12" s="5" t="str">
        <f>IF(ISBLANK(Лист1!Q12),"",Лист1!Q12)</f>
        <v>Адилбековой  Сабине  Нуркеновне</v>
      </c>
      <c r="R12" s="5" t="str">
        <f>IF(ISBLANK(Лист1!R12),"",Лист1!R12)</f>
        <v>образования</v>
      </c>
      <c r="S12" s="5" t="str">
        <f>IF(ISBLANK(Лист1!S12),"",Лист1!S12)</f>
        <v>"6B01705 - Иностранный язык: два иностранных языка (английский)", В018-Подготовка учителей иностранного языка</v>
      </c>
      <c r="T12" s="5" t="str">
        <f>IF(ISBLANK(Лист1!T12),"",Лист1!T12)</f>
        <v>очное</v>
      </c>
      <c r="U12" s="5" t="str">
        <f>IF(ISBLANK(Лист1!U12),"",Лист1!U12)</f>
        <v/>
      </c>
      <c r="V12" s="5" t="str">
        <f>IF(ISBLANK(Лист1!V12),"",Лист1!V12)</f>
        <v>28</v>
      </c>
      <c r="W12" s="5" t="str">
        <f>IF(ISBLANK(Лист1!W12),"",Лист1!W12)</f>
        <v>маусым</v>
      </c>
      <c r="X12" s="5" t="str">
        <f>IF(ISBLANK(Лист1!X12),"",Лист1!X12)</f>
        <v>040611651322</v>
      </c>
      <c r="Y12" s="5" t="str">
        <f>IF(ISERROR(VLOOKUP($X12,Лист2!$A$2:$G$498,1,FALSE)),"",VLOOKUP($X12,Лист2!$A$2:$G$498,1,FALSE))</f>
        <v>040611651322</v>
      </c>
      <c r="Z12" s="5" t="str">
        <f>IF(ISERROR(VLOOKUP($X12,Лист2!$A$2:$L$498,9,FALSE)),"",VLOOKUP($X12,Лист2!$A$2:$L$498,9,FALSE))</f>
        <v>BD</v>
      </c>
      <c r="AA12" s="5" t="str">
        <f>IF(ISERROR(VLOOKUP($X12,Лист2!$A$2:$L$498,10,FALSE)),"",VLOOKUP($X12,Лист2!$A$2:$L$498,10,FALSE))</f>
        <v>00025622125</v>
      </c>
      <c r="AB12" s="5" t="str">
        <f>IF(ISERROR(VLOOKUP($X12,Лист2!$A$2:$M$498,13,FALSE)),"",VLOOKUP($X12,Лист2!$A$2:$M$498,13,FALSE))</f>
        <v>https://epvo.kz/#/verification_education_document?iin=040611651322&amp;diplomaSeries=BD&amp;diplomaNumber=00025622125</v>
      </c>
    </row>
    <row r="13" spans="1:28" x14ac:dyDescent="0.25">
      <c r="A13" s="5" t="str">
        <f>IF(ISBLANK(Лист1!A13),"",Лист1!A13)</f>
        <v>21</v>
      </c>
      <c r="B13" s="5" t="str">
        <f>IF(ISBLANK(Лист1!B13),"",Лист1!B13)</f>
        <v>маусымдағы</v>
      </c>
      <c r="C13" s="5" t="str">
        <f>IF(ISBLANK(Лист1!C13),"",Лист1!C13)</f>
        <v>215</v>
      </c>
      <c r="D13" s="5" t="str">
        <f>IF(ISBLANK(Лист1!D13),"",Лист1!D13)</f>
        <v>Айдаралиева  Зарина  Маханбетқызына</v>
      </c>
      <c r="E13" s="5" t="str">
        <f>IF(ISBLANK(Лист1!E13),"",Лист1!E13)</f>
        <v>"6В01705 - Шетел тілі: екі шетел тілі (ағылшын)", В018-Шет тілі мұғалімдерін даярлау</v>
      </c>
      <c r="F13" s="5" t="str">
        <f>IF(ISBLANK(Лист1!F13),"",Лист1!F13)</f>
        <v>білім</v>
      </c>
      <c r="G13" s="5" t="str">
        <f>IF(ISBLANK(Лист1!G13),"",Лист1!G13)</f>
        <v>күндізгі</v>
      </c>
      <c r="H13" s="5" t="str">
        <f>IF(ISBLANK(Лист1!H13),"",Лист1!H13)</f>
        <v>Aidaraliyeva Zarina</v>
      </c>
      <c r="I13" s="5" t="str">
        <f>IF(ISBLANK(Лист1!I13),"",Лист1!I13)</f>
        <v>Education</v>
      </c>
      <c r="J13" s="5" t="str">
        <f>IF(ISBLANK(Лист1!J13),"",Лист1!J13)</f>
        <v>"6B01705 - Foreign language: two foreign languages (English)", B018-Training of foreign language teachers</v>
      </c>
      <c r="K13" s="5" t="str">
        <f>IF(ISBLANK(Лист1!K13),"",Лист1!K13)</f>
        <v>full-time</v>
      </c>
      <c r="L13" s="5" t="str">
        <f>IF(ISBLANK(Лист1!L13),"",Лист1!L13)</f>
        <v>21</v>
      </c>
      <c r="M13" s="5" t="str">
        <f>IF(ISBLANK(Лист1!M13),"",Лист1!M13)</f>
        <v>June</v>
      </c>
      <c r="N13" s="5" t="str">
        <f>IF(ISBLANK(Лист1!N13),"",Лист1!N13)</f>
        <v>21</v>
      </c>
      <c r="O13" s="5" t="str">
        <f>IF(ISBLANK(Лист1!O13),"",Лист1!O13)</f>
        <v>июня</v>
      </c>
      <c r="P13" s="5" t="str">
        <f>IF(ISBLANK(Лист1!P13),"",Лист1!P13)</f>
        <v>215</v>
      </c>
      <c r="Q13" s="5" t="str">
        <f>IF(ISBLANK(Лист1!Q13),"",Лист1!Q13)</f>
        <v>Айдаралиева  Зарина  Маханбетқызы</v>
      </c>
      <c r="R13" s="5" t="str">
        <f>IF(ISBLANK(Лист1!R13),"",Лист1!R13)</f>
        <v>образования</v>
      </c>
      <c r="S13" s="5" t="str">
        <f>IF(ISBLANK(Лист1!S13),"",Лист1!S13)</f>
        <v>"6B01705 - Иностранный язык: два иностранных языка (английский)", В018-Подготовка учителей иностранного языка</v>
      </c>
      <c r="T13" s="5" t="str">
        <f>IF(ISBLANK(Лист1!T13),"",Лист1!T13)</f>
        <v>очное</v>
      </c>
      <c r="U13" s="5" t="str">
        <f>IF(ISBLANK(Лист1!U13),"",Лист1!U13)</f>
        <v/>
      </c>
      <c r="V13" s="5" t="str">
        <f>IF(ISBLANK(Лист1!V13),"",Лист1!V13)</f>
        <v>28</v>
      </c>
      <c r="W13" s="5" t="str">
        <f>IF(ISBLANK(Лист1!W13),"",Лист1!W13)</f>
        <v>маусым</v>
      </c>
      <c r="X13" s="5" t="str">
        <f>IF(ISBLANK(Лист1!X13),"",Лист1!X13)</f>
        <v>040129601006</v>
      </c>
      <c r="Y13" s="5" t="str">
        <f>IF(ISERROR(VLOOKUP($X13,Лист2!$A$2:$G$498,1,FALSE)),"",VLOOKUP($X13,Лист2!$A$2:$G$498,1,FALSE))</f>
        <v>040129601006</v>
      </c>
      <c r="Z13" s="5" t="str">
        <f>IF(ISERROR(VLOOKUP($X13,Лист2!$A$2:$L$498,9,FALSE)),"",VLOOKUP($X13,Лист2!$A$2:$L$498,9,FALSE))</f>
        <v>BD</v>
      </c>
      <c r="AA13" s="5" t="str">
        <f>IF(ISERROR(VLOOKUP($X13,Лист2!$A$2:$L$498,10,FALSE)),"",VLOOKUP($X13,Лист2!$A$2:$L$498,10,FALSE))</f>
        <v>00025622225</v>
      </c>
      <c r="AB13" s="5" t="str">
        <f>IF(ISERROR(VLOOKUP($X13,Лист2!$A$2:$M$498,13,FALSE)),"",VLOOKUP($X13,Лист2!$A$2:$M$498,13,FALSE))</f>
        <v>https://epvo.kz/#/verification_education_document?iin=040129601006&amp;diplomaSeries=BD&amp;diplomaNumber=00025622225</v>
      </c>
    </row>
    <row r="14" spans="1:28" x14ac:dyDescent="0.25">
      <c r="A14" s="5" t="str">
        <f>IF(ISBLANK(Лист1!A14),"",Лист1!A14)</f>
        <v>21</v>
      </c>
      <c r="B14" s="5" t="str">
        <f>IF(ISBLANK(Лист1!B14),"",Лист1!B14)</f>
        <v>маусымдағы</v>
      </c>
      <c r="C14" s="5" t="str">
        <f>IF(ISBLANK(Лист1!C14),"",Лист1!C14)</f>
        <v>60</v>
      </c>
      <c r="D14" s="5" t="str">
        <f>IF(ISBLANK(Лист1!D14),"",Лист1!D14)</f>
        <v>Айдарова  Данагуль  Айдаровнаға</v>
      </c>
      <c r="E14" s="5" t="str">
        <f>IF(ISBLANK(Лист1!E14),"",Лист1!E14)</f>
        <v>"6В01705 - Шетел тілі: екі шетел тілі (ағылшын)", В018-Шет тілі мұғалімдерін даярлау</v>
      </c>
      <c r="F14" s="5" t="str">
        <f>IF(ISBLANK(Лист1!F14),"",Лист1!F14)</f>
        <v>білім</v>
      </c>
      <c r="G14" s="5" t="str">
        <f>IF(ISBLANK(Лист1!G14),"",Лист1!G14)</f>
        <v>күндізгі</v>
      </c>
      <c r="H14" s="5" t="str">
        <f>IF(ISBLANK(Лист1!H14),"",Лист1!H14)</f>
        <v>Aidarova  Danagul</v>
      </c>
      <c r="I14" s="5" t="str">
        <f>IF(ISBLANK(Лист1!I14),"",Лист1!I14)</f>
        <v>Education</v>
      </c>
      <c r="J14" s="5" t="str">
        <f>IF(ISBLANK(Лист1!J14),"",Лист1!J14)</f>
        <v>"6B01705 - Foreign language: two foreign languages (English)", B018-Training of foreign language teachers</v>
      </c>
      <c r="K14" s="5" t="str">
        <f>IF(ISBLANK(Лист1!K14),"",Лист1!K14)</f>
        <v>full-time</v>
      </c>
      <c r="L14" s="5" t="str">
        <f>IF(ISBLANK(Лист1!L14),"",Лист1!L14)</f>
        <v>21</v>
      </c>
      <c r="M14" s="5" t="str">
        <f>IF(ISBLANK(Лист1!M14),"",Лист1!M14)</f>
        <v>June</v>
      </c>
      <c r="N14" s="5" t="str">
        <f>IF(ISBLANK(Лист1!N14),"",Лист1!N14)</f>
        <v>21</v>
      </c>
      <c r="O14" s="5" t="str">
        <f>IF(ISBLANK(Лист1!O14),"",Лист1!O14)</f>
        <v>июня</v>
      </c>
      <c r="P14" s="5" t="str">
        <f>IF(ISBLANK(Лист1!P14),"",Лист1!P14)</f>
        <v>60</v>
      </c>
      <c r="Q14" s="5" t="str">
        <f>IF(ISBLANK(Лист1!Q14),"",Лист1!Q14)</f>
        <v>Айдаровой  Данагуль  Айдаровне</v>
      </c>
      <c r="R14" s="5" t="str">
        <f>IF(ISBLANK(Лист1!R14),"",Лист1!R14)</f>
        <v>образования</v>
      </c>
      <c r="S14" s="5" t="str">
        <f>IF(ISBLANK(Лист1!S14),"",Лист1!S14)</f>
        <v>"6B01705 - Иностранный язык: два иностранных языка (английский)", В018-Подготовка учителей иностранного языка</v>
      </c>
      <c r="T14" s="5" t="str">
        <f>IF(ISBLANK(Лист1!T14),"",Лист1!T14)</f>
        <v>очное</v>
      </c>
      <c r="U14" s="5" t="str">
        <f>IF(ISBLANK(Лист1!U14),"",Лист1!U14)</f>
        <v/>
      </c>
      <c r="V14" s="5" t="str">
        <f>IF(ISBLANK(Лист1!V14),"",Лист1!V14)</f>
        <v>28</v>
      </c>
      <c r="W14" s="5" t="str">
        <f>IF(ISBLANK(Лист1!W14),"",Лист1!W14)</f>
        <v>маусым</v>
      </c>
      <c r="X14" s="5" t="str">
        <f>IF(ISBLANK(Лист1!X14),"",Лист1!X14)</f>
        <v>040320651497</v>
      </c>
      <c r="Y14" s="5" t="str">
        <f>IF(ISERROR(VLOOKUP($X14,Лист2!$A$2:$G$498,1,FALSE)),"",VLOOKUP($X14,Лист2!$A$2:$G$498,1,FALSE))</f>
        <v>040320651497</v>
      </c>
      <c r="Z14" s="5" t="str">
        <f>IF(ISERROR(VLOOKUP($X14,Лист2!$A$2:$L$498,9,FALSE)),"",VLOOKUP($X14,Лист2!$A$2:$L$498,9,FALSE))</f>
        <v>BD</v>
      </c>
      <c r="AA14" s="5" t="str">
        <f>IF(ISERROR(VLOOKUP($X14,Лист2!$A$2:$L$498,10,FALSE)),"",VLOOKUP($X14,Лист2!$A$2:$L$498,10,FALSE))</f>
        <v>00025622325</v>
      </c>
      <c r="AB14" s="5" t="str">
        <f>IF(ISERROR(VLOOKUP($X14,Лист2!$A$2:$M$498,13,FALSE)),"",VLOOKUP($X14,Лист2!$A$2:$M$498,13,FALSE))</f>
        <v>https://epvo.kz/#/verification_education_document?iin=040320651497&amp;diplomaSeries=BD&amp;diplomaNumber=00025622325</v>
      </c>
    </row>
    <row r="15" spans="1:28" x14ac:dyDescent="0.25">
      <c r="A15" s="5" t="str">
        <f>IF(ISBLANK(Лист1!A15),"",Лист1!A15)</f>
        <v>21</v>
      </c>
      <c r="B15" s="5" t="str">
        <f>IF(ISBLANK(Лист1!B15),"",Лист1!B15)</f>
        <v>маусымдағы</v>
      </c>
      <c r="C15" s="5" t="str">
        <f>IF(ISBLANK(Лист1!C15),"",Лист1!C15)</f>
        <v>216</v>
      </c>
      <c r="D15" s="5" t="str">
        <f>IF(ISBLANK(Лист1!D15),"",Лист1!D15)</f>
        <v>Айтбаева  Балнур  Қайратқызына</v>
      </c>
      <c r="E15" s="5" t="str">
        <f>IF(ISBLANK(Лист1!E15),"",Лист1!E15)</f>
        <v>"6В01705 - Шетел тілі: екі шетел тілі (ағылшын)", В018-Шет тілі мұғалімдерін даярлау</v>
      </c>
      <c r="F15" s="5" t="str">
        <f>IF(ISBLANK(Лист1!F15),"",Лист1!F15)</f>
        <v>білім</v>
      </c>
      <c r="G15" s="5" t="str">
        <f>IF(ISBLANK(Лист1!G15),"",Лист1!G15)</f>
        <v>күндізгі</v>
      </c>
      <c r="H15" s="5" t="str">
        <f>IF(ISBLANK(Лист1!H15),"",Лист1!H15)</f>
        <v>Aitbayeva  Balnur</v>
      </c>
      <c r="I15" s="5" t="str">
        <f>IF(ISBLANK(Лист1!I15),"",Лист1!I15)</f>
        <v>Education</v>
      </c>
      <c r="J15" s="5" t="str">
        <f>IF(ISBLANK(Лист1!J15),"",Лист1!J15)</f>
        <v>"6B01705 - Foreign language: two foreign languages (English)", B018-Training of foreign language teachers</v>
      </c>
      <c r="K15" s="5" t="str">
        <f>IF(ISBLANK(Лист1!K15),"",Лист1!K15)</f>
        <v>full-time</v>
      </c>
      <c r="L15" s="5" t="str">
        <f>IF(ISBLANK(Лист1!L15),"",Лист1!L15)</f>
        <v>21</v>
      </c>
      <c r="M15" s="5" t="str">
        <f>IF(ISBLANK(Лист1!M15),"",Лист1!M15)</f>
        <v>June</v>
      </c>
      <c r="N15" s="5" t="str">
        <f>IF(ISBLANK(Лист1!N15),"",Лист1!N15)</f>
        <v>21</v>
      </c>
      <c r="O15" s="5" t="str">
        <f>IF(ISBLANK(Лист1!O15),"",Лист1!O15)</f>
        <v>июня</v>
      </c>
      <c r="P15" s="5" t="str">
        <f>IF(ISBLANK(Лист1!P15),"",Лист1!P15)</f>
        <v>216</v>
      </c>
      <c r="Q15" s="5" t="str">
        <f>IF(ISBLANK(Лист1!Q15),"",Лист1!Q15)</f>
        <v>Айтбаева  Балнур  Қайратқызы</v>
      </c>
      <c r="R15" s="5" t="str">
        <f>IF(ISBLANK(Лист1!R15),"",Лист1!R15)</f>
        <v>образования</v>
      </c>
      <c r="S15" s="5" t="str">
        <f>IF(ISBLANK(Лист1!S15),"",Лист1!S15)</f>
        <v>"6B01705 - Иностранный язык: два иностранных языка (английский)", В018-Подготовка учителей иностранного языка</v>
      </c>
      <c r="T15" s="5" t="str">
        <f>IF(ISBLANK(Лист1!T15),"",Лист1!T15)</f>
        <v>очное</v>
      </c>
      <c r="U15" s="5" t="str">
        <f>IF(ISBLANK(Лист1!U15),"",Лист1!U15)</f>
        <v/>
      </c>
      <c r="V15" s="5" t="str">
        <f>IF(ISBLANK(Лист1!V15),"",Лист1!V15)</f>
        <v>28</v>
      </c>
      <c r="W15" s="5" t="str">
        <f>IF(ISBLANK(Лист1!W15),"",Лист1!W15)</f>
        <v>маусым</v>
      </c>
      <c r="X15" s="5" t="str">
        <f>IF(ISBLANK(Лист1!X15),"",Лист1!X15)</f>
        <v>040508650252</v>
      </c>
      <c r="Y15" s="5" t="str">
        <f>IF(ISERROR(VLOOKUP($X15,Лист2!$A$2:$G$498,1,FALSE)),"",VLOOKUP($X15,Лист2!$A$2:$G$498,1,FALSE))</f>
        <v>040508650252</v>
      </c>
      <c r="Z15" s="5" t="str">
        <f>IF(ISERROR(VLOOKUP($X15,Лист2!$A$2:$L$498,9,FALSE)),"",VLOOKUP($X15,Лист2!$A$2:$L$498,9,FALSE))</f>
        <v>BD</v>
      </c>
      <c r="AA15" s="5" t="str">
        <f>IF(ISERROR(VLOOKUP($X15,Лист2!$A$2:$L$498,10,FALSE)),"",VLOOKUP($X15,Лист2!$A$2:$L$498,10,FALSE))</f>
        <v>00025622425</v>
      </c>
      <c r="AB15" s="5" t="str">
        <f>IF(ISERROR(VLOOKUP($X15,Лист2!$A$2:$M$498,13,FALSE)),"",VLOOKUP($X15,Лист2!$A$2:$M$498,13,FALSE))</f>
        <v>https://epvo.kz/#/verification_education_document?iin=040508650252&amp;diplomaSeries=BD&amp;diplomaNumber=00025622425</v>
      </c>
    </row>
    <row r="16" spans="1:28" x14ac:dyDescent="0.25">
      <c r="A16" s="5" t="str">
        <f>IF(ISBLANK(Лист1!A16),"",Лист1!A16)</f>
        <v>21</v>
      </c>
      <c r="B16" s="5" t="str">
        <f>IF(ISBLANK(Лист1!B16),"",Лист1!B16)</f>
        <v>маусымдағы</v>
      </c>
      <c r="C16" s="5" t="str">
        <f>IF(ISBLANK(Лист1!C16),"",Лист1!C16)</f>
        <v>02</v>
      </c>
      <c r="D16" s="5" t="str">
        <f>IF(ISBLANK(Лист1!D16),"",Лист1!D16)</f>
        <v>Айтбай  Нұрман  Базарбайұлына</v>
      </c>
      <c r="E16" s="5" t="str">
        <f>IF(ISBLANK(Лист1!E16),"",Лист1!E16)</f>
        <v>"6В01705 - Шетел тілі: екі шетел тілі (ағылшын)", В018-Шет тілі мұғалімдерін даярлау</v>
      </c>
      <c r="F16" s="5" t="str">
        <f>IF(ISBLANK(Лист1!F16),"",Лист1!F16)</f>
        <v>білім</v>
      </c>
      <c r="G16" s="5" t="str">
        <f>IF(ISBLANK(Лист1!G16),"",Лист1!G16)</f>
        <v>күндізгі</v>
      </c>
      <c r="H16" s="5" t="str">
        <f>IF(ISBLANK(Лист1!H16),"",Лист1!H16)</f>
        <v>Aitbay  Nurman</v>
      </c>
      <c r="I16" s="5" t="str">
        <f>IF(ISBLANK(Лист1!I16),"",Лист1!I16)</f>
        <v>Education</v>
      </c>
      <c r="J16" s="5" t="str">
        <f>IF(ISBLANK(Лист1!J16),"",Лист1!J16)</f>
        <v>"6B01705 - Foreign language: two foreign languages (English)", B018-Training of foreign language teachers</v>
      </c>
      <c r="K16" s="5" t="str">
        <f>IF(ISBLANK(Лист1!K16),"",Лист1!K16)</f>
        <v>full-time</v>
      </c>
      <c r="L16" s="5" t="str">
        <f>IF(ISBLANK(Лист1!L16),"",Лист1!L16)</f>
        <v>21</v>
      </c>
      <c r="M16" s="5" t="str">
        <f>IF(ISBLANK(Лист1!M16),"",Лист1!M16)</f>
        <v>June</v>
      </c>
      <c r="N16" s="5" t="str">
        <f>IF(ISBLANK(Лист1!N16),"",Лист1!N16)</f>
        <v>21</v>
      </c>
      <c r="O16" s="5" t="str">
        <f>IF(ISBLANK(Лист1!O16),"",Лист1!O16)</f>
        <v>июня</v>
      </c>
      <c r="P16" s="5" t="str">
        <f>IF(ISBLANK(Лист1!P16),"",Лист1!P16)</f>
        <v>02</v>
      </c>
      <c r="Q16" s="5" t="str">
        <f>IF(ISBLANK(Лист1!Q16),"",Лист1!Q16)</f>
        <v>Айтбай  Нұрман  Базарбайұлы</v>
      </c>
      <c r="R16" s="5" t="str">
        <f>IF(ISBLANK(Лист1!R16),"",Лист1!R16)</f>
        <v>образования</v>
      </c>
      <c r="S16" s="5" t="str">
        <f>IF(ISBLANK(Лист1!S16),"",Лист1!S16)</f>
        <v>"6B01705 - Иностранный язык: два иностранных языка (английский)", В018-Подготовка учителей иностранного языка</v>
      </c>
      <c r="T16" s="5" t="str">
        <f>IF(ISBLANK(Лист1!T16),"",Лист1!T16)</f>
        <v>очное</v>
      </c>
      <c r="U16" s="5" t="str">
        <f>IF(ISBLANK(Лист1!U16),"",Лист1!U16)</f>
        <v/>
      </c>
      <c r="V16" s="5" t="str">
        <f>IF(ISBLANK(Лист1!V16),"",Лист1!V16)</f>
        <v>28</v>
      </c>
      <c r="W16" s="5" t="str">
        <f>IF(ISBLANK(Лист1!W16),"",Лист1!W16)</f>
        <v>маусым</v>
      </c>
      <c r="X16" s="5" t="str">
        <f>IF(ISBLANK(Лист1!X16),"",Лист1!X16)</f>
        <v>040204500930</v>
      </c>
      <c r="Y16" s="5" t="str">
        <f>IF(ISERROR(VLOOKUP($X16,Лист2!$A$2:$G$498,1,FALSE)),"",VLOOKUP($X16,Лист2!$A$2:$G$498,1,FALSE))</f>
        <v>040204500930</v>
      </c>
      <c r="Z16" s="5" t="str">
        <f>IF(ISERROR(VLOOKUP($X16,Лист2!$A$2:$L$498,9,FALSE)),"",VLOOKUP($X16,Лист2!$A$2:$L$498,9,FALSE))</f>
        <v>BD</v>
      </c>
      <c r="AA16" s="5" t="str">
        <f>IF(ISERROR(VLOOKUP($X16,Лист2!$A$2:$L$498,10,FALSE)),"",VLOOKUP($X16,Лист2!$A$2:$L$498,10,FALSE))</f>
        <v>00025622625</v>
      </c>
      <c r="AB16" s="5" t="str">
        <f>IF(ISERROR(VLOOKUP($X16,Лист2!$A$2:$M$498,13,FALSE)),"",VLOOKUP($X16,Лист2!$A$2:$M$498,13,FALSE))</f>
        <v>https://epvo.kz/#/verification_education_document?iin=040204500930&amp;diplomaSeries=BD&amp;diplomaNumber=00025622625</v>
      </c>
    </row>
    <row r="17" spans="1:28" x14ac:dyDescent="0.25">
      <c r="A17" s="5" t="str">
        <f>IF(ISBLANK(Лист1!A17),"",Лист1!A17)</f>
        <v>21</v>
      </c>
      <c r="B17" s="5" t="str">
        <f>IF(ISBLANK(Лист1!B17),"",Лист1!B17)</f>
        <v>маусымдағы</v>
      </c>
      <c r="C17" s="5" t="str">
        <f>IF(ISBLANK(Лист1!C17),"",Лист1!C17)</f>
        <v>115</v>
      </c>
      <c r="D17" s="5" t="str">
        <f>IF(ISBLANK(Лист1!D17),"",Лист1!D17)</f>
        <v>Айтимбет  Ақбота  Берікқызына</v>
      </c>
      <c r="E17" s="5" t="str">
        <f>IF(ISBLANK(Лист1!E17),"",Лист1!E17)</f>
        <v>"6В01705 - Шетел тілі: екі шетел тілі (ағылшын)", В018-Шет тілі мұғалімдерін даярлау</v>
      </c>
      <c r="F17" s="5" t="str">
        <f>IF(ISBLANK(Лист1!F17),"",Лист1!F17)</f>
        <v>білім</v>
      </c>
      <c r="G17" s="5" t="str">
        <f>IF(ISBLANK(Лист1!G17),"",Лист1!G17)</f>
        <v>күндізгі</v>
      </c>
      <c r="H17" s="5" t="str">
        <f>IF(ISBLANK(Лист1!H17),"",Лист1!H17)</f>
        <v>Aitimbet  Akbota</v>
      </c>
      <c r="I17" s="5" t="str">
        <f>IF(ISBLANK(Лист1!I17),"",Лист1!I17)</f>
        <v>Education</v>
      </c>
      <c r="J17" s="5" t="str">
        <f>IF(ISBLANK(Лист1!J17),"",Лист1!J17)</f>
        <v>"6B01705 - Foreign language: two foreign languages (English)", B018-Training of foreign language teachers</v>
      </c>
      <c r="K17" s="5" t="str">
        <f>IF(ISBLANK(Лист1!K17),"",Лист1!K17)</f>
        <v>full-time</v>
      </c>
      <c r="L17" s="5" t="str">
        <f>IF(ISBLANK(Лист1!L17),"",Лист1!L17)</f>
        <v>21</v>
      </c>
      <c r="M17" s="5" t="str">
        <f>IF(ISBLANK(Лист1!M17),"",Лист1!M17)</f>
        <v>June</v>
      </c>
      <c r="N17" s="5" t="str">
        <f>IF(ISBLANK(Лист1!N17),"",Лист1!N17)</f>
        <v>21</v>
      </c>
      <c r="O17" s="5" t="str">
        <f>IF(ISBLANK(Лист1!O17),"",Лист1!O17)</f>
        <v>июня</v>
      </c>
      <c r="P17" s="5" t="str">
        <f>IF(ISBLANK(Лист1!P17),"",Лист1!P17)</f>
        <v>115</v>
      </c>
      <c r="Q17" s="5" t="str">
        <f>IF(ISBLANK(Лист1!Q17),"",Лист1!Q17)</f>
        <v>Айтимбет  Ақбота  Берікқызы</v>
      </c>
      <c r="R17" s="5" t="str">
        <f>IF(ISBLANK(Лист1!R17),"",Лист1!R17)</f>
        <v>образования</v>
      </c>
      <c r="S17" s="5" t="str">
        <f>IF(ISBLANK(Лист1!S17),"",Лист1!S17)</f>
        <v>"6B01705 - Иностранный язык: два иностранных языка (английский)", В018-Подготовка учителей иностранного языка</v>
      </c>
      <c r="T17" s="5" t="str">
        <f>IF(ISBLANK(Лист1!T17),"",Лист1!T17)</f>
        <v>очное</v>
      </c>
      <c r="U17" s="5" t="str">
        <f>IF(ISBLANK(Лист1!U17),"",Лист1!U17)</f>
        <v/>
      </c>
      <c r="V17" s="5" t="str">
        <f>IF(ISBLANK(Лист1!V17),"",Лист1!V17)</f>
        <v>28</v>
      </c>
      <c r="W17" s="5" t="str">
        <f>IF(ISBLANK(Лист1!W17),"",Лист1!W17)</f>
        <v>маусым</v>
      </c>
      <c r="X17" s="5" t="str">
        <f>IF(ISBLANK(Лист1!X17),"",Лист1!X17)</f>
        <v>030529601297</v>
      </c>
      <c r="Y17" s="5" t="str">
        <f>IF(ISERROR(VLOOKUP($X17,Лист2!$A$2:$G$498,1,FALSE)),"",VLOOKUP($X17,Лист2!$A$2:$G$498,1,FALSE))</f>
        <v>030529601297</v>
      </c>
      <c r="Z17" s="5" t="str">
        <f>IF(ISERROR(VLOOKUP($X17,Лист2!$A$2:$L$498,9,FALSE)),"",VLOOKUP($X17,Лист2!$A$2:$L$498,9,FALSE))</f>
        <v>BD</v>
      </c>
      <c r="AA17" s="5" t="str">
        <f>IF(ISERROR(VLOOKUP($X17,Лист2!$A$2:$L$498,10,FALSE)),"",VLOOKUP($X17,Лист2!$A$2:$L$498,10,FALSE))</f>
        <v>00025622725</v>
      </c>
      <c r="AB17" s="5" t="str">
        <f>IF(ISERROR(VLOOKUP($X17,Лист2!$A$2:$M$498,13,FALSE)),"",VLOOKUP($X17,Лист2!$A$2:$M$498,13,FALSE))</f>
        <v>https://epvo.kz/#/verification_education_document?iin=030529601297&amp;diplomaSeries=BD&amp;diplomaNumber=00025622725</v>
      </c>
    </row>
    <row r="18" spans="1:28" x14ac:dyDescent="0.25">
      <c r="A18" s="5" t="str">
        <f>IF(ISBLANK(Лист1!A18),"",Лист1!A18)</f>
        <v>21</v>
      </c>
      <c r="B18" s="5" t="str">
        <f>IF(ISBLANK(Лист1!B18),"",Лист1!B18)</f>
        <v>маусымдағы</v>
      </c>
      <c r="C18" s="5" t="str">
        <f>IF(ISBLANK(Лист1!C18),"",Лист1!C18)</f>
        <v>118</v>
      </c>
      <c r="D18" s="5" t="str">
        <f>IF(ISBLANK(Лист1!D18),"",Лист1!D18)</f>
        <v>Алғабас  Жанат  Бекмұханқызына</v>
      </c>
      <c r="E18" s="5" t="str">
        <f>IF(ISBLANK(Лист1!E18),"",Лист1!E18)</f>
        <v>"6В01705 - Шетел тілі: екі шетел тілі (ағылшын)", В018-Шет тілі мұғалімдерін даярлау</v>
      </c>
      <c r="F18" s="5" t="str">
        <f>IF(ISBLANK(Лист1!F18),"",Лист1!F18)</f>
        <v>білім</v>
      </c>
      <c r="G18" s="5" t="str">
        <f>IF(ISBLANK(Лист1!G18),"",Лист1!G18)</f>
        <v>күндізгі</v>
      </c>
      <c r="H18" s="5" t="str">
        <f>IF(ISBLANK(Лист1!H18),"",Лист1!H18)</f>
        <v>Algabas  Zhanat</v>
      </c>
      <c r="I18" s="5" t="str">
        <f>IF(ISBLANK(Лист1!I18),"",Лист1!I18)</f>
        <v>Education</v>
      </c>
      <c r="J18" s="5" t="str">
        <f>IF(ISBLANK(Лист1!J18),"",Лист1!J18)</f>
        <v>"6B01705 - Foreign language: two foreign languages (English)", B018-Training of foreign language teachers</v>
      </c>
      <c r="K18" s="5" t="str">
        <f>IF(ISBLANK(Лист1!K18),"",Лист1!K18)</f>
        <v>full-time</v>
      </c>
      <c r="L18" s="5" t="str">
        <f>IF(ISBLANK(Лист1!L18),"",Лист1!L18)</f>
        <v>21</v>
      </c>
      <c r="M18" s="5" t="str">
        <f>IF(ISBLANK(Лист1!M18),"",Лист1!M18)</f>
        <v>June</v>
      </c>
      <c r="N18" s="5" t="str">
        <f>IF(ISBLANK(Лист1!N18),"",Лист1!N18)</f>
        <v>21</v>
      </c>
      <c r="O18" s="5" t="str">
        <f>IF(ISBLANK(Лист1!O18),"",Лист1!O18)</f>
        <v>июня</v>
      </c>
      <c r="P18" s="5" t="str">
        <f>IF(ISBLANK(Лист1!P18),"",Лист1!P18)</f>
        <v>118</v>
      </c>
      <c r="Q18" s="5" t="str">
        <f>IF(ISBLANK(Лист1!Q18),"",Лист1!Q18)</f>
        <v>Алғабас  Жанат  Бекмұханқызы</v>
      </c>
      <c r="R18" s="5" t="str">
        <f>IF(ISBLANK(Лист1!R18),"",Лист1!R18)</f>
        <v>образования</v>
      </c>
      <c r="S18" s="5" t="str">
        <f>IF(ISBLANK(Лист1!S18),"",Лист1!S18)</f>
        <v>"6B01705 - Иностранный язык: два иностранных языка (английский)", В018-Подготовка учителей иностранного языка</v>
      </c>
      <c r="T18" s="5" t="str">
        <f>IF(ISBLANK(Лист1!T18),"",Лист1!T18)</f>
        <v>очное</v>
      </c>
      <c r="U18" s="5" t="str">
        <f>IF(ISBLANK(Лист1!U18),"",Лист1!U18)</f>
        <v/>
      </c>
      <c r="V18" s="5" t="str">
        <f>IF(ISBLANK(Лист1!V18),"",Лист1!V18)</f>
        <v>28</v>
      </c>
      <c r="W18" s="5" t="str">
        <f>IF(ISBLANK(Лист1!W18),"",Лист1!W18)</f>
        <v>маусым</v>
      </c>
      <c r="X18" s="5" t="str">
        <f>IF(ISBLANK(Лист1!X18),"",Лист1!X18)</f>
        <v>040403601263</v>
      </c>
      <c r="Y18" s="5" t="str">
        <f>IF(ISERROR(VLOOKUP($X18,Лист2!$A$2:$G$498,1,FALSE)),"",VLOOKUP($X18,Лист2!$A$2:$G$498,1,FALSE))</f>
        <v>040403601263</v>
      </c>
      <c r="Z18" s="5" t="str">
        <f>IF(ISERROR(VLOOKUP($X18,Лист2!$A$2:$L$498,9,FALSE)),"",VLOOKUP($X18,Лист2!$A$2:$L$498,9,FALSE))</f>
        <v>BD</v>
      </c>
      <c r="AA18" s="5" t="str">
        <f>IF(ISERROR(VLOOKUP($X18,Лист2!$A$2:$L$498,10,FALSE)),"",VLOOKUP($X18,Лист2!$A$2:$L$498,10,FALSE))</f>
        <v>00025623125</v>
      </c>
      <c r="AB18" s="5" t="str">
        <f>IF(ISERROR(VLOOKUP($X18,Лист2!$A$2:$M$498,13,FALSE)),"",VLOOKUP($X18,Лист2!$A$2:$M$498,13,FALSE))</f>
        <v>https://epvo.kz/#/verification_education_document?iin=040403601263&amp;diplomaSeries=BD&amp;diplomaNumber=00025623125</v>
      </c>
    </row>
    <row r="19" spans="1:28" x14ac:dyDescent="0.25">
      <c r="A19" s="5" t="str">
        <f>IF(ISBLANK(Лист1!A19),"",Лист1!A19)</f>
        <v>21</v>
      </c>
      <c r="B19" s="5" t="str">
        <f>IF(ISBLANK(Лист1!B19),"",Лист1!B19)</f>
        <v>маусымдағы</v>
      </c>
      <c r="C19" s="5" t="str">
        <f>IF(ISBLANK(Лист1!C19),"",Лист1!C19)</f>
        <v>119</v>
      </c>
      <c r="D19" s="5" t="str">
        <f>IF(ISBLANK(Лист1!D19),"",Лист1!D19)</f>
        <v>Аллаберган  Айгерім  Құралбекқызына</v>
      </c>
      <c r="E19" s="5" t="str">
        <f>IF(ISBLANK(Лист1!E19),"",Лист1!E19)</f>
        <v>"6В01705 - Шетел тілі: екі шетел тілі (ағылшын)", В018-Шет тілі мұғалімдерін даярлау</v>
      </c>
      <c r="F19" s="5" t="str">
        <f>IF(ISBLANK(Лист1!F19),"",Лист1!F19)</f>
        <v>білім</v>
      </c>
      <c r="G19" s="5" t="str">
        <f>IF(ISBLANK(Лист1!G19),"",Лист1!G19)</f>
        <v>күндізгі</v>
      </c>
      <c r="H19" s="5" t="str">
        <f>IF(ISBLANK(Лист1!H19),"",Лист1!H19)</f>
        <v>Allabergan  Aigerim</v>
      </c>
      <c r="I19" s="5" t="str">
        <f>IF(ISBLANK(Лист1!I19),"",Лист1!I19)</f>
        <v>Education</v>
      </c>
      <c r="J19" s="5" t="str">
        <f>IF(ISBLANK(Лист1!J19),"",Лист1!J19)</f>
        <v>"6B01705 - Foreign language: two foreign languages (English)", B018-Training of foreign language teachers</v>
      </c>
      <c r="K19" s="5" t="str">
        <f>IF(ISBLANK(Лист1!K19),"",Лист1!K19)</f>
        <v>full-time</v>
      </c>
      <c r="L19" s="5" t="str">
        <f>IF(ISBLANK(Лист1!L19),"",Лист1!L19)</f>
        <v>21</v>
      </c>
      <c r="M19" s="5" t="str">
        <f>IF(ISBLANK(Лист1!M19),"",Лист1!M19)</f>
        <v>June</v>
      </c>
      <c r="N19" s="5" t="str">
        <f>IF(ISBLANK(Лист1!N19),"",Лист1!N19)</f>
        <v>21</v>
      </c>
      <c r="O19" s="5" t="str">
        <f>IF(ISBLANK(Лист1!O19),"",Лист1!O19)</f>
        <v>июня</v>
      </c>
      <c r="P19" s="5" t="str">
        <f>IF(ISBLANK(Лист1!P19),"",Лист1!P19)</f>
        <v>119</v>
      </c>
      <c r="Q19" s="5" t="str">
        <f>IF(ISBLANK(Лист1!Q19),"",Лист1!Q19)</f>
        <v>Аллаберган  Айгерім  Құралбекқызы</v>
      </c>
      <c r="R19" s="5" t="str">
        <f>IF(ISBLANK(Лист1!R19),"",Лист1!R19)</f>
        <v>образования</v>
      </c>
      <c r="S19" s="5" t="str">
        <f>IF(ISBLANK(Лист1!S19),"",Лист1!S19)</f>
        <v>"6B01705 - Иностранный язык: два иностранных языка (английский)", В018-Подготовка учителей иностранного языка</v>
      </c>
      <c r="T19" s="5" t="str">
        <f>IF(ISBLANK(Лист1!T19),"",Лист1!T19)</f>
        <v>очное</v>
      </c>
      <c r="U19" s="5" t="str">
        <f>IF(ISBLANK(Лист1!U19),"",Лист1!U19)</f>
        <v/>
      </c>
      <c r="V19" s="5" t="str">
        <f>IF(ISBLANK(Лист1!V19),"",Лист1!V19)</f>
        <v>28</v>
      </c>
      <c r="W19" s="5" t="str">
        <f>IF(ISBLANK(Лист1!W19),"",Лист1!W19)</f>
        <v>маусым</v>
      </c>
      <c r="X19" s="5" t="str">
        <f>IF(ISBLANK(Лист1!X19),"",Лист1!X19)</f>
        <v>031211601726</v>
      </c>
      <c r="Y19" s="5" t="str">
        <f>IF(ISERROR(VLOOKUP($X19,Лист2!$A$2:$G$498,1,FALSE)),"",VLOOKUP($X19,Лист2!$A$2:$G$498,1,FALSE))</f>
        <v>031211601726</v>
      </c>
      <c r="Z19" s="5" t="str">
        <f>IF(ISERROR(VLOOKUP($X19,Лист2!$A$2:$L$498,9,FALSE)),"",VLOOKUP($X19,Лист2!$A$2:$L$498,9,FALSE))</f>
        <v>BD</v>
      </c>
      <c r="AA19" s="5" t="str">
        <f>IF(ISERROR(VLOOKUP($X19,Лист2!$A$2:$L$498,10,FALSE)),"",VLOOKUP($X19,Лист2!$A$2:$L$498,10,FALSE))</f>
        <v>00025623225</v>
      </c>
      <c r="AB19" s="5" t="str">
        <f>IF(ISERROR(VLOOKUP($X19,Лист2!$A$2:$M$498,13,FALSE)),"",VLOOKUP($X19,Лист2!$A$2:$M$498,13,FALSE))</f>
        <v>https://epvo.kz/#/verification_education_document?iin=031211601726&amp;diplomaSeries=BD&amp;diplomaNumber=00025623225</v>
      </c>
    </row>
    <row r="20" spans="1:28" x14ac:dyDescent="0.25">
      <c r="A20" s="5" t="str">
        <f>IF(ISBLANK(Лист1!A20),"",Лист1!A20)</f>
        <v>21</v>
      </c>
      <c r="B20" s="5" t="str">
        <f>IF(ISBLANK(Лист1!B20),"",Лист1!B20)</f>
        <v>маусымдағы</v>
      </c>
      <c r="C20" s="5" t="str">
        <f>IF(ISBLANK(Лист1!C20),"",Лист1!C20)</f>
        <v>120</v>
      </c>
      <c r="D20" s="5" t="str">
        <f>IF(ISBLANK(Лист1!D20),"",Лист1!D20)</f>
        <v>Алмабай  Айдана  Бекжанқызына</v>
      </c>
      <c r="E20" s="5" t="str">
        <f>IF(ISBLANK(Лист1!E20),"",Лист1!E20)</f>
        <v>"6В01705 - Шетел тілі: екі шетел тілі (ағылшын)", В018-Шет тілі мұғалімдерін даярлау</v>
      </c>
      <c r="F20" s="5" t="str">
        <f>IF(ISBLANK(Лист1!F20),"",Лист1!F20)</f>
        <v>білім</v>
      </c>
      <c r="G20" s="5" t="str">
        <f>IF(ISBLANK(Лист1!G20),"",Лист1!G20)</f>
        <v>күндізгі</v>
      </c>
      <c r="H20" s="5" t="str">
        <f>IF(ISBLANK(Лист1!H20),"",Лист1!H20)</f>
        <v>Almabay  Aidana</v>
      </c>
      <c r="I20" s="5" t="str">
        <f>IF(ISBLANK(Лист1!I20),"",Лист1!I20)</f>
        <v>Education</v>
      </c>
      <c r="J20" s="5" t="str">
        <f>IF(ISBLANK(Лист1!J20),"",Лист1!J20)</f>
        <v>"6B01705 - Foreign language: two foreign languages (English)", B018-Training of foreign language teachers</v>
      </c>
      <c r="K20" s="5" t="str">
        <f>IF(ISBLANK(Лист1!K20),"",Лист1!K20)</f>
        <v>full-time</v>
      </c>
      <c r="L20" s="5" t="str">
        <f>IF(ISBLANK(Лист1!L20),"",Лист1!L20)</f>
        <v>21</v>
      </c>
      <c r="M20" s="5" t="str">
        <f>IF(ISBLANK(Лист1!M20),"",Лист1!M20)</f>
        <v>June</v>
      </c>
      <c r="N20" s="5" t="str">
        <f>IF(ISBLANK(Лист1!N20),"",Лист1!N20)</f>
        <v>21</v>
      </c>
      <c r="O20" s="5" t="str">
        <f>IF(ISBLANK(Лист1!O20),"",Лист1!O20)</f>
        <v>июня</v>
      </c>
      <c r="P20" s="5" t="str">
        <f>IF(ISBLANK(Лист1!P20),"",Лист1!P20)</f>
        <v>120</v>
      </c>
      <c r="Q20" s="5" t="str">
        <f>IF(ISBLANK(Лист1!Q20),"",Лист1!Q20)</f>
        <v>Алмабай  Айдана  Бекжанқызы</v>
      </c>
      <c r="R20" s="5" t="str">
        <f>IF(ISBLANK(Лист1!R20),"",Лист1!R20)</f>
        <v>образования</v>
      </c>
      <c r="S20" s="5" t="str">
        <f>IF(ISBLANK(Лист1!S20),"",Лист1!S20)</f>
        <v>"6B01705 - Иностранный язык: два иностранных языка (английский)", В018-Подготовка учителей иностранного языка</v>
      </c>
      <c r="T20" s="5" t="str">
        <f>IF(ISBLANK(Лист1!T20),"",Лист1!T20)</f>
        <v>очное</v>
      </c>
      <c r="U20" s="5" t="str">
        <f>IF(ISBLANK(Лист1!U20),"",Лист1!U20)</f>
        <v/>
      </c>
      <c r="V20" s="5" t="str">
        <f>IF(ISBLANK(Лист1!V20),"",Лист1!V20)</f>
        <v>28</v>
      </c>
      <c r="W20" s="5" t="str">
        <f>IF(ISBLANK(Лист1!W20),"",Лист1!W20)</f>
        <v>маусым</v>
      </c>
      <c r="X20" s="5" t="str">
        <f>IF(ISBLANK(Лист1!X20),"",Лист1!X20)</f>
        <v>040429600801</v>
      </c>
      <c r="Y20" s="5" t="str">
        <f>IF(ISERROR(VLOOKUP($X20,Лист2!$A$2:$G$498,1,FALSE)),"",VLOOKUP($X20,Лист2!$A$2:$G$498,1,FALSE))</f>
        <v>040429600801</v>
      </c>
      <c r="Z20" s="5" t="str">
        <f>IF(ISERROR(VLOOKUP($X20,Лист2!$A$2:$L$498,9,FALSE)),"",VLOOKUP($X20,Лист2!$A$2:$L$498,9,FALSE))</f>
        <v>BD</v>
      </c>
      <c r="AA20" s="5" t="str">
        <f>IF(ISERROR(VLOOKUP($X20,Лист2!$A$2:$L$498,10,FALSE)),"",VLOOKUP($X20,Лист2!$A$2:$L$498,10,FALSE))</f>
        <v>00025623425</v>
      </c>
      <c r="AB20" s="5" t="str">
        <f>IF(ISERROR(VLOOKUP($X20,Лист2!$A$2:$M$498,13,FALSE)),"",VLOOKUP($X20,Лист2!$A$2:$M$498,13,FALSE))</f>
        <v>https://epvo.kz/#/verification_education_document?iin=040429600801&amp;diplomaSeries=BD&amp;diplomaNumber=00025623425</v>
      </c>
    </row>
    <row r="21" spans="1:28" x14ac:dyDescent="0.25">
      <c r="A21" s="5" t="str">
        <f>IF(ISBLANK(Лист1!A21),"",Лист1!A21)</f>
        <v>21</v>
      </c>
      <c r="B21" s="5" t="str">
        <f>IF(ISBLANK(Лист1!B21),"",Лист1!B21)</f>
        <v>маусымдағы</v>
      </c>
      <c r="C21" s="5" t="str">
        <f>IF(ISBLANK(Лист1!C21),"",Лист1!C21)</f>
        <v>121</v>
      </c>
      <c r="D21" s="5" t="str">
        <f>IF(ISBLANK(Лист1!D21),"",Лист1!D21)</f>
        <v>Алмабек  Нұрай  Ғалымжанқызына</v>
      </c>
      <c r="E21" s="5" t="str">
        <f>IF(ISBLANK(Лист1!E21),"",Лист1!E21)</f>
        <v>"6В01705 - Шетел тілі: екі шетел тілі (ағылшын)", В018-Шет тілі мұғалімдерін даярлау</v>
      </c>
      <c r="F21" s="5" t="str">
        <f>IF(ISBLANK(Лист1!F21),"",Лист1!F21)</f>
        <v>білім</v>
      </c>
      <c r="G21" s="5" t="str">
        <f>IF(ISBLANK(Лист1!G21),"",Лист1!G21)</f>
        <v>күндізгі</v>
      </c>
      <c r="H21" s="5" t="str">
        <f>IF(ISBLANK(Лист1!H21),"",Лист1!H21)</f>
        <v>Almabek  Nuray</v>
      </c>
      <c r="I21" s="5" t="str">
        <f>IF(ISBLANK(Лист1!I21),"",Лист1!I21)</f>
        <v>Education</v>
      </c>
      <c r="J21" s="5" t="str">
        <f>IF(ISBLANK(Лист1!J21),"",Лист1!J21)</f>
        <v>"6B01705 - Foreign language: two foreign languages (English)", B018-Training of foreign language teachers</v>
      </c>
      <c r="K21" s="5" t="str">
        <f>IF(ISBLANK(Лист1!K21),"",Лист1!K21)</f>
        <v>full-time</v>
      </c>
      <c r="L21" s="5" t="str">
        <f>IF(ISBLANK(Лист1!L21),"",Лист1!L21)</f>
        <v>21</v>
      </c>
      <c r="M21" s="5" t="str">
        <f>IF(ISBLANK(Лист1!M21),"",Лист1!M21)</f>
        <v>June</v>
      </c>
      <c r="N21" s="5" t="str">
        <f>IF(ISBLANK(Лист1!N21),"",Лист1!N21)</f>
        <v>21</v>
      </c>
      <c r="O21" s="5" t="str">
        <f>IF(ISBLANK(Лист1!O21),"",Лист1!O21)</f>
        <v>июня</v>
      </c>
      <c r="P21" s="5" t="str">
        <f>IF(ISBLANK(Лист1!P21),"",Лист1!P21)</f>
        <v>121</v>
      </c>
      <c r="Q21" s="5" t="str">
        <f>IF(ISBLANK(Лист1!Q21),"",Лист1!Q21)</f>
        <v>Алмабек  Нұрай  Ғалымжанқызы</v>
      </c>
      <c r="R21" s="5" t="str">
        <f>IF(ISBLANK(Лист1!R21),"",Лист1!R21)</f>
        <v>образования</v>
      </c>
      <c r="S21" s="5" t="str">
        <f>IF(ISBLANK(Лист1!S21),"",Лист1!S21)</f>
        <v>"6B01705 - Иностранный язык: два иностранных языка (английский)", В018-Подготовка учителей иностранного языка</v>
      </c>
      <c r="T21" s="5" t="str">
        <f>IF(ISBLANK(Лист1!T21),"",Лист1!T21)</f>
        <v>очное</v>
      </c>
      <c r="U21" s="5" t="str">
        <f>IF(ISBLANK(Лист1!U21),"",Лист1!U21)</f>
        <v/>
      </c>
      <c r="V21" s="5" t="str">
        <f>IF(ISBLANK(Лист1!V21),"",Лист1!V21)</f>
        <v>28</v>
      </c>
      <c r="W21" s="5" t="str">
        <f>IF(ISBLANK(Лист1!W21),"",Лист1!W21)</f>
        <v>маусым</v>
      </c>
      <c r="X21" s="5" t="str">
        <f>IF(ISBLANK(Лист1!X21),"",Лист1!X21)</f>
        <v>040627600679</v>
      </c>
      <c r="Y21" s="5" t="str">
        <f>IF(ISERROR(VLOOKUP($X21,Лист2!$A$2:$G$498,1,FALSE)),"",VLOOKUP($X21,Лист2!$A$2:$G$498,1,FALSE))</f>
        <v>040627600679</v>
      </c>
      <c r="Z21" s="5" t="str">
        <f>IF(ISERROR(VLOOKUP($X21,Лист2!$A$2:$L$498,9,FALSE)),"",VLOOKUP($X21,Лист2!$A$2:$L$498,9,FALSE))</f>
        <v>BD</v>
      </c>
      <c r="AA21" s="5" t="str">
        <f>IF(ISERROR(VLOOKUP($X21,Лист2!$A$2:$L$498,10,FALSE)),"",VLOOKUP($X21,Лист2!$A$2:$L$498,10,FALSE))</f>
        <v>00025623825</v>
      </c>
      <c r="AB21" s="5" t="str">
        <f>IF(ISERROR(VLOOKUP($X21,Лист2!$A$2:$M$498,13,FALSE)),"",VLOOKUP($X21,Лист2!$A$2:$M$498,13,FALSE))</f>
        <v>https://epvo.kz/#/verification_education_document?iin=040627600679&amp;diplomaSeries=BD&amp;diplomaNumber=00025623825</v>
      </c>
    </row>
    <row r="22" spans="1:28" x14ac:dyDescent="0.25">
      <c r="A22" s="5" t="str">
        <f>IF(ISBLANK(Лист1!A22),"",Лист1!A22)</f>
        <v>21</v>
      </c>
      <c r="B22" s="5" t="str">
        <f>IF(ISBLANK(Лист1!B22),"",Лист1!B22)</f>
        <v>маусымдағы</v>
      </c>
      <c r="C22" s="5" t="str">
        <f>IF(ISBLANK(Лист1!C22),"",Лист1!C22)</f>
        <v>122</v>
      </c>
      <c r="D22" s="5" t="str">
        <f>IF(ISBLANK(Лист1!D22),"",Лист1!D22)</f>
        <v>Алметова  Анель  Багланқызына</v>
      </c>
      <c r="E22" s="5" t="str">
        <f>IF(ISBLANK(Лист1!E22),"",Лист1!E22)</f>
        <v>"6В01705 - Шетел тілі: екі шетел тілі (ағылшын)", В018-Шет тілі мұғалімдерін даярлау</v>
      </c>
      <c r="F22" s="5" t="str">
        <f>IF(ISBLANK(Лист1!F22),"",Лист1!F22)</f>
        <v>білім</v>
      </c>
      <c r="G22" s="5" t="str">
        <f>IF(ISBLANK(Лист1!G22),"",Лист1!G22)</f>
        <v>күндізгі</v>
      </c>
      <c r="H22" s="5" t="str">
        <f>IF(ISBLANK(Лист1!H22),"",Лист1!H22)</f>
        <v>Almetova  Anel</v>
      </c>
      <c r="I22" s="5" t="str">
        <f>IF(ISBLANK(Лист1!I22),"",Лист1!I22)</f>
        <v>Education</v>
      </c>
      <c r="J22" s="5" t="str">
        <f>IF(ISBLANK(Лист1!J22),"",Лист1!J22)</f>
        <v>"6B01705 - Foreign language: two foreign languages (English)", B018-Training of foreign language teachers</v>
      </c>
      <c r="K22" s="5" t="str">
        <f>IF(ISBLANK(Лист1!K22),"",Лист1!K22)</f>
        <v>full-time</v>
      </c>
      <c r="L22" s="5" t="str">
        <f>IF(ISBLANK(Лист1!L22),"",Лист1!L22)</f>
        <v>21</v>
      </c>
      <c r="M22" s="5" t="str">
        <f>IF(ISBLANK(Лист1!M22),"",Лист1!M22)</f>
        <v>June</v>
      </c>
      <c r="N22" s="5" t="str">
        <f>IF(ISBLANK(Лист1!N22),"",Лист1!N22)</f>
        <v>21</v>
      </c>
      <c r="O22" s="5" t="str">
        <f>IF(ISBLANK(Лист1!O22),"",Лист1!O22)</f>
        <v>июня</v>
      </c>
      <c r="P22" s="5" t="str">
        <f>IF(ISBLANK(Лист1!P22),"",Лист1!P22)</f>
        <v>122</v>
      </c>
      <c r="Q22" s="5" t="str">
        <f>IF(ISBLANK(Лист1!Q22),"",Лист1!Q22)</f>
        <v>Алметова  Анель  Багланқызы</v>
      </c>
      <c r="R22" s="5" t="str">
        <f>IF(ISBLANK(Лист1!R22),"",Лист1!R22)</f>
        <v>образования</v>
      </c>
      <c r="S22" s="5" t="str">
        <f>IF(ISBLANK(Лист1!S22),"",Лист1!S22)</f>
        <v>"6B01705 - Иностранный язык: два иностранных языка (английский)", В018-Подготовка учителей иностранного языка</v>
      </c>
      <c r="T22" s="5" t="str">
        <f>IF(ISBLANK(Лист1!T22),"",Лист1!T22)</f>
        <v>очное</v>
      </c>
      <c r="U22" s="5" t="str">
        <f>IF(ISBLANK(Лист1!U22),"",Лист1!U22)</f>
        <v/>
      </c>
      <c r="V22" s="5" t="str">
        <f>IF(ISBLANK(Лист1!V22),"",Лист1!V22)</f>
        <v>28</v>
      </c>
      <c r="W22" s="5" t="str">
        <f>IF(ISBLANK(Лист1!W22),"",Лист1!W22)</f>
        <v>маусым</v>
      </c>
      <c r="X22" s="5" t="str">
        <f>IF(ISBLANK(Лист1!X22),"",Лист1!X22)</f>
        <v>040208601590</v>
      </c>
      <c r="Y22" s="5" t="str">
        <f>IF(ISERROR(VLOOKUP($X22,Лист2!$A$2:$G$498,1,FALSE)),"",VLOOKUP($X22,Лист2!$A$2:$G$498,1,FALSE))</f>
        <v>040208601590</v>
      </c>
      <c r="Z22" s="5" t="str">
        <f>IF(ISERROR(VLOOKUP($X22,Лист2!$A$2:$L$498,9,FALSE)),"",VLOOKUP($X22,Лист2!$A$2:$L$498,9,FALSE))</f>
        <v>BD</v>
      </c>
      <c r="AA22" s="5" t="str">
        <f>IF(ISERROR(VLOOKUP($X22,Лист2!$A$2:$L$498,10,FALSE)),"",VLOOKUP($X22,Лист2!$A$2:$L$498,10,FALSE))</f>
        <v>00025624125</v>
      </c>
      <c r="AB22" s="5" t="str">
        <f>IF(ISERROR(VLOOKUP($X22,Лист2!$A$2:$M$498,13,FALSE)),"",VLOOKUP($X22,Лист2!$A$2:$M$498,13,FALSE))</f>
        <v>https://epvo.kz/#/verification_education_document?iin=040208601590&amp;diplomaSeries=BD&amp;diplomaNumber=00025624125</v>
      </c>
    </row>
    <row r="23" spans="1:28" x14ac:dyDescent="0.25">
      <c r="A23" s="5" t="str">
        <f>IF(ISBLANK(Лист1!A23),"",Лист1!A23)</f>
        <v>21</v>
      </c>
      <c r="B23" s="5" t="str">
        <f>IF(ISBLANK(Лист1!B23),"",Лист1!B23)</f>
        <v>маусымдағы</v>
      </c>
      <c r="C23" s="5" t="str">
        <f>IF(ISBLANK(Лист1!C23),"",Лист1!C23)</f>
        <v>175</v>
      </c>
      <c r="D23" s="5" t="str">
        <f>IF(ISBLANK(Лист1!D23),"",Лист1!D23)</f>
        <v>Алтынбекқызы  Айжанға</v>
      </c>
      <c r="E23" s="5" t="str">
        <f>IF(ISBLANK(Лист1!E23),"",Лист1!E23)</f>
        <v>"6В01705 - Шетел тілі: екі шетел тілі (ағылшын)", В018-Шет тілі мұғалімдерін даярлау</v>
      </c>
      <c r="F23" s="5" t="str">
        <f>IF(ISBLANK(Лист1!F23),"",Лист1!F23)</f>
        <v>білім</v>
      </c>
      <c r="G23" s="5" t="str">
        <f>IF(ISBLANK(Лист1!G23),"",Лист1!G23)</f>
        <v>күндізгі</v>
      </c>
      <c r="H23" s="5" t="str">
        <f>IF(ISBLANK(Лист1!H23),"",Лист1!H23)</f>
        <v>Altynbekkyzy  Aizhan</v>
      </c>
      <c r="I23" s="5" t="str">
        <f>IF(ISBLANK(Лист1!I23),"",Лист1!I23)</f>
        <v>Education</v>
      </c>
      <c r="J23" s="5" t="str">
        <f>IF(ISBLANK(Лист1!J23),"",Лист1!J23)</f>
        <v>"6B01705 - Foreign language: two foreign languages (English)", B018-Training of foreign language teachers</v>
      </c>
      <c r="K23" s="5" t="str">
        <f>IF(ISBLANK(Лист1!K23),"",Лист1!K23)</f>
        <v>full-time</v>
      </c>
      <c r="L23" s="5" t="str">
        <f>IF(ISBLANK(Лист1!L23),"",Лист1!L23)</f>
        <v>21</v>
      </c>
      <c r="M23" s="5" t="str">
        <f>IF(ISBLANK(Лист1!M23),"",Лист1!M23)</f>
        <v>June</v>
      </c>
      <c r="N23" s="5" t="str">
        <f>IF(ISBLANK(Лист1!N23),"",Лист1!N23)</f>
        <v>21</v>
      </c>
      <c r="O23" s="5" t="str">
        <f>IF(ISBLANK(Лист1!O23),"",Лист1!O23)</f>
        <v>июня</v>
      </c>
      <c r="P23" s="5" t="str">
        <f>IF(ISBLANK(Лист1!P23),"",Лист1!P23)</f>
        <v>175</v>
      </c>
      <c r="Q23" s="5" t="str">
        <f>IF(ISBLANK(Лист1!Q23),"",Лист1!Q23)</f>
        <v xml:space="preserve">Алтынбекқызы  Айжан  </v>
      </c>
      <c r="R23" s="5" t="str">
        <f>IF(ISBLANK(Лист1!R23),"",Лист1!R23)</f>
        <v>образования</v>
      </c>
      <c r="S23" s="5" t="str">
        <f>IF(ISBLANK(Лист1!S23),"",Лист1!S23)</f>
        <v>"6B01705 - Иностранный язык: два иностранных языка (английский)", В018-Подготовка учителей иностранного языка</v>
      </c>
      <c r="T23" s="5" t="str">
        <f>IF(ISBLANK(Лист1!T23),"",Лист1!T23)</f>
        <v>очное</v>
      </c>
      <c r="U23" s="5" t="str">
        <f>IF(ISBLANK(Лист1!U23),"",Лист1!U23)</f>
        <v/>
      </c>
      <c r="V23" s="5" t="str">
        <f>IF(ISBLANK(Лист1!V23),"",Лист1!V23)</f>
        <v>28</v>
      </c>
      <c r="W23" s="5" t="str">
        <f>IF(ISBLANK(Лист1!W23),"",Лист1!W23)</f>
        <v>маусым</v>
      </c>
      <c r="X23" s="5" t="str">
        <f>IF(ISBLANK(Лист1!X23),"",Лист1!X23)</f>
        <v>030916600590</v>
      </c>
      <c r="Y23" s="5" t="str">
        <f>IF(ISERROR(VLOOKUP($X23,Лист2!$A$2:$G$498,1,FALSE)),"",VLOOKUP($X23,Лист2!$A$2:$G$498,1,FALSE))</f>
        <v>030916600590</v>
      </c>
      <c r="Z23" s="5" t="str">
        <f>IF(ISERROR(VLOOKUP($X23,Лист2!$A$2:$L$498,9,FALSE)),"",VLOOKUP($X23,Лист2!$A$2:$L$498,9,FALSE))</f>
        <v>BD</v>
      </c>
      <c r="AA23" s="5" t="str">
        <f>IF(ISERROR(VLOOKUP($X23,Лист2!$A$2:$L$498,10,FALSE)),"",VLOOKUP($X23,Лист2!$A$2:$L$498,10,FALSE))</f>
        <v>00025626525</v>
      </c>
      <c r="AB23" s="5" t="str">
        <f>IF(ISERROR(VLOOKUP($X23,Лист2!$A$2:$M$498,13,FALSE)),"",VLOOKUP($X23,Лист2!$A$2:$M$498,13,FALSE))</f>
        <v>https://epvo.kz/#/verification_education_document?iin=030916600590&amp;diplomaSeries=BD&amp;diplomaNumber=00025626525</v>
      </c>
    </row>
    <row r="24" spans="1:28" x14ac:dyDescent="0.25">
      <c r="A24" s="5" t="str">
        <f>IF(ISBLANK(Лист1!A24),"",Лист1!A24)</f>
        <v>21</v>
      </c>
      <c r="B24" s="5" t="str">
        <f>IF(ISBLANK(Лист1!B24),"",Лист1!B24)</f>
        <v>маусымдағы</v>
      </c>
      <c r="C24" s="5" t="str">
        <f>IF(ISBLANK(Лист1!C24),"",Лист1!C24)</f>
        <v>86</v>
      </c>
      <c r="D24" s="5" t="str">
        <f>IF(ISBLANK(Лист1!D24),"",Лист1!D24)</f>
        <v>Алтынбеков  Нұрмұхамед  Айдынұлына</v>
      </c>
      <c r="E24" s="5" t="str">
        <f>IF(ISBLANK(Лист1!E24),"",Лист1!E24)</f>
        <v>"6В01705 - Шетел тілі: екі шетел тілі (ағылшын)", В018-Шет тілі мұғалімдерін даярлау</v>
      </c>
      <c r="F24" s="5" t="str">
        <f>IF(ISBLANK(Лист1!F24),"",Лист1!F24)</f>
        <v>білім</v>
      </c>
      <c r="G24" s="5" t="str">
        <f>IF(ISBLANK(Лист1!G24),"",Лист1!G24)</f>
        <v>күндізгі</v>
      </c>
      <c r="H24" s="5" t="str">
        <f>IF(ISBLANK(Лист1!H24),"",Лист1!H24)</f>
        <v>Altynbekov  Nurmukhamed</v>
      </c>
      <c r="I24" s="5" t="str">
        <f>IF(ISBLANK(Лист1!I24),"",Лист1!I24)</f>
        <v>Education</v>
      </c>
      <c r="J24" s="5" t="str">
        <f>IF(ISBLANK(Лист1!J24),"",Лист1!J24)</f>
        <v>"6B01705 - Foreign language: two foreign languages (English)", B018-Training of foreign language teachers</v>
      </c>
      <c r="K24" s="5" t="str">
        <f>IF(ISBLANK(Лист1!K24),"",Лист1!K24)</f>
        <v>full-time</v>
      </c>
      <c r="L24" s="5" t="str">
        <f>IF(ISBLANK(Лист1!L24),"",Лист1!L24)</f>
        <v>21</v>
      </c>
      <c r="M24" s="5" t="str">
        <f>IF(ISBLANK(Лист1!M24),"",Лист1!M24)</f>
        <v>June</v>
      </c>
      <c r="N24" s="5" t="str">
        <f>IF(ISBLANK(Лист1!N24),"",Лист1!N24)</f>
        <v>21</v>
      </c>
      <c r="O24" s="5" t="str">
        <f>IF(ISBLANK(Лист1!O24),"",Лист1!O24)</f>
        <v>июня</v>
      </c>
      <c r="P24" s="5" t="str">
        <f>IF(ISBLANK(Лист1!P24),"",Лист1!P24)</f>
        <v>86</v>
      </c>
      <c r="Q24" s="5" t="str">
        <f>IF(ISBLANK(Лист1!Q24),"",Лист1!Q24)</f>
        <v>Алтынбеков  Нұрмұхамед  Айдынұлы</v>
      </c>
      <c r="R24" s="5" t="str">
        <f>IF(ISBLANK(Лист1!R24),"",Лист1!R24)</f>
        <v>образования</v>
      </c>
      <c r="S24" s="5" t="str">
        <f>IF(ISBLANK(Лист1!S24),"",Лист1!S24)</f>
        <v>"6B01705 - Иностранный язык: два иностранных языка (английский)", В018-Подготовка учителей иностранного языка</v>
      </c>
      <c r="T24" s="5" t="str">
        <f>IF(ISBLANK(Лист1!T24),"",Лист1!T24)</f>
        <v>очное</v>
      </c>
      <c r="U24" s="5" t="str">
        <f>IF(ISBLANK(Лист1!U24),"",Лист1!U24)</f>
        <v/>
      </c>
      <c r="V24" s="5" t="str">
        <f>IF(ISBLANK(Лист1!V24),"",Лист1!V24)</f>
        <v>28</v>
      </c>
      <c r="W24" s="5" t="str">
        <f>IF(ISBLANK(Лист1!W24),"",Лист1!W24)</f>
        <v>маусым</v>
      </c>
      <c r="X24" s="5" t="str">
        <f>IF(ISBLANK(Лист1!X24),"",Лист1!X24)</f>
        <v>030712501364</v>
      </c>
      <c r="Y24" s="5" t="str">
        <f>IF(ISERROR(VLOOKUP($X24,Лист2!$A$2:$G$498,1,FALSE)),"",VLOOKUP($X24,Лист2!$A$2:$G$498,1,FALSE))</f>
        <v>030712501364</v>
      </c>
      <c r="Z24" s="5" t="str">
        <f>IF(ISERROR(VLOOKUP($X24,Лист2!$A$2:$L$498,9,FALSE)),"",VLOOKUP($X24,Лист2!$A$2:$L$498,9,FALSE))</f>
        <v>BD</v>
      </c>
      <c r="AA24" s="5" t="str">
        <f>IF(ISERROR(VLOOKUP($X24,Лист2!$A$2:$L$498,10,FALSE)),"",VLOOKUP($X24,Лист2!$A$2:$L$498,10,FALSE))</f>
        <v>00025626925</v>
      </c>
      <c r="AB24" s="5" t="str">
        <f>IF(ISERROR(VLOOKUP($X24,Лист2!$A$2:$M$498,13,FALSE)),"",VLOOKUP($X24,Лист2!$A$2:$M$498,13,FALSE))</f>
        <v>https://epvo.kz/#/verification_education_document?iin=030712501364&amp;diplomaSeries=BD&amp;diplomaNumber=00025626925</v>
      </c>
    </row>
    <row r="25" spans="1:28" x14ac:dyDescent="0.25">
      <c r="A25" s="5" t="str">
        <f>IF(ISBLANK(Лист1!A25),"",Лист1!A25)</f>
        <v>21</v>
      </c>
      <c r="B25" s="5" t="str">
        <f>IF(ISBLANK(Лист1!B25),"",Лист1!B25)</f>
        <v>маусымдағы</v>
      </c>
      <c r="C25" s="5" t="str">
        <f>IF(ISBLANK(Лист1!C25),"",Лист1!C25)</f>
        <v>87</v>
      </c>
      <c r="D25" s="5" t="str">
        <f>IF(ISBLANK(Лист1!D25),"",Лист1!D25)</f>
        <v>Алшынбай  Анель  Нургалиқызына</v>
      </c>
      <c r="E25" s="5" t="str">
        <f>IF(ISBLANK(Лист1!E25),"",Лист1!E25)</f>
        <v>"6В01705 - Шетел тілі: екі шетел тілі (ағылшын)", В018-Шет тілі мұғалімдерін даярлау</v>
      </c>
      <c r="F25" s="5" t="str">
        <f>IF(ISBLANK(Лист1!F25),"",Лист1!F25)</f>
        <v>білім</v>
      </c>
      <c r="G25" s="5" t="str">
        <f>IF(ISBLANK(Лист1!G25),"",Лист1!G25)</f>
        <v>күндізгі</v>
      </c>
      <c r="H25" s="5" t="str">
        <f>IF(ISBLANK(Лист1!H25),"",Лист1!H25)</f>
        <v>Alshynbay  Anel</v>
      </c>
      <c r="I25" s="5" t="str">
        <f>IF(ISBLANK(Лист1!I25),"",Лист1!I25)</f>
        <v>Education</v>
      </c>
      <c r="J25" s="5" t="str">
        <f>IF(ISBLANK(Лист1!J25),"",Лист1!J25)</f>
        <v>"6B01705 - Foreign language: two foreign languages (English)", B018-Training of foreign language teachers</v>
      </c>
      <c r="K25" s="5" t="str">
        <f>IF(ISBLANK(Лист1!K25),"",Лист1!K25)</f>
        <v>full-time</v>
      </c>
      <c r="L25" s="5" t="str">
        <f>IF(ISBLANK(Лист1!L25),"",Лист1!L25)</f>
        <v>21</v>
      </c>
      <c r="M25" s="5" t="str">
        <f>IF(ISBLANK(Лист1!M25),"",Лист1!M25)</f>
        <v>June</v>
      </c>
      <c r="N25" s="5" t="str">
        <f>IF(ISBLANK(Лист1!N25),"",Лист1!N25)</f>
        <v>21</v>
      </c>
      <c r="O25" s="5" t="str">
        <f>IF(ISBLANK(Лист1!O25),"",Лист1!O25)</f>
        <v>июня</v>
      </c>
      <c r="P25" s="5" t="str">
        <f>IF(ISBLANK(Лист1!P25),"",Лист1!P25)</f>
        <v>87</v>
      </c>
      <c r="Q25" s="5" t="str">
        <f>IF(ISBLANK(Лист1!Q25),"",Лист1!Q25)</f>
        <v>Алшынбай  Анель  Нургалиқызы</v>
      </c>
      <c r="R25" s="5" t="str">
        <f>IF(ISBLANK(Лист1!R25),"",Лист1!R25)</f>
        <v>образования</v>
      </c>
      <c r="S25" s="5" t="str">
        <f>IF(ISBLANK(Лист1!S25),"",Лист1!S25)</f>
        <v>"6B01705 - Иностранный язык: два иностранных языка (английский)", В018-Подготовка учителей иностранного языка</v>
      </c>
      <c r="T25" s="5" t="str">
        <f>IF(ISBLANK(Лист1!T25),"",Лист1!T25)</f>
        <v>очное</v>
      </c>
      <c r="U25" s="5" t="str">
        <f>IF(ISBLANK(Лист1!U25),"",Лист1!U25)</f>
        <v/>
      </c>
      <c r="V25" s="5" t="str">
        <f>IF(ISBLANK(Лист1!V25),"",Лист1!V25)</f>
        <v>28</v>
      </c>
      <c r="W25" s="5" t="str">
        <f>IF(ISBLANK(Лист1!W25),"",Лист1!W25)</f>
        <v>маусым</v>
      </c>
      <c r="X25" s="5" t="str">
        <f>IF(ISBLANK(Лист1!X25),"",Лист1!X25)</f>
        <v>040114600713</v>
      </c>
      <c r="Y25" s="5" t="str">
        <f>IF(ISERROR(VLOOKUP($X25,Лист2!$A$2:$G$498,1,FALSE)),"",VLOOKUP($X25,Лист2!$A$2:$G$498,1,FALSE))</f>
        <v>040114600713</v>
      </c>
      <c r="Z25" s="5" t="str">
        <f>IF(ISERROR(VLOOKUP($X25,Лист2!$A$2:$L$498,9,FALSE)),"",VLOOKUP($X25,Лист2!$A$2:$L$498,9,FALSE))</f>
        <v>BD</v>
      </c>
      <c r="AA25" s="5" t="str">
        <f>IF(ISERROR(VLOOKUP($X25,Лист2!$A$2:$L$498,10,FALSE)),"",VLOOKUP($X25,Лист2!$A$2:$L$498,10,FALSE))</f>
        <v>00025627025</v>
      </c>
      <c r="AB25" s="5" t="str">
        <f>IF(ISERROR(VLOOKUP($X25,Лист2!$A$2:$M$498,13,FALSE)),"",VLOOKUP($X25,Лист2!$A$2:$M$498,13,FALSE))</f>
        <v>https://epvo.kz/#/verification_education_document?iin=040114600713&amp;diplomaSeries=BD&amp;diplomaNumber=00025627025</v>
      </c>
    </row>
    <row r="26" spans="1:28" x14ac:dyDescent="0.25">
      <c r="A26" s="5" t="str">
        <f>IF(ISBLANK(Лист1!A26),"",Лист1!A26)</f>
        <v>21</v>
      </c>
      <c r="B26" s="5" t="str">
        <f>IF(ISBLANK(Лист1!B26),"",Лист1!B26)</f>
        <v>маусымдағы</v>
      </c>
      <c r="C26" s="5" t="str">
        <f>IF(ISBLANK(Лист1!C26),"",Лист1!C26)</f>
        <v>01</v>
      </c>
      <c r="D26" s="5" t="str">
        <f>IF(ISBLANK(Лист1!D26),"",Лист1!D26)</f>
        <v>Аман  Ақмарал  Нұржанқызына</v>
      </c>
      <c r="E26" s="5" t="str">
        <f>IF(ISBLANK(Лист1!E26),"",Лист1!E26)</f>
        <v>"6В01705 - Шетел тілі: екі шетел тілі (ағылшын)", В018-Шет тілі мұғалімдерін даярлау</v>
      </c>
      <c r="F26" s="5" t="str">
        <f>IF(ISBLANK(Лист1!F26),"",Лист1!F26)</f>
        <v>білім</v>
      </c>
      <c r="G26" s="5" t="str">
        <f>IF(ISBLANK(Лист1!G26),"",Лист1!G26)</f>
        <v>күндізгі</v>
      </c>
      <c r="H26" s="5" t="str">
        <f>IF(ISBLANK(Лист1!H26),"",Лист1!H26)</f>
        <v>Aman  Akmaral</v>
      </c>
      <c r="I26" s="5" t="str">
        <f>IF(ISBLANK(Лист1!I26),"",Лист1!I26)</f>
        <v>Education</v>
      </c>
      <c r="J26" s="5" t="str">
        <f>IF(ISBLANK(Лист1!J26),"",Лист1!J26)</f>
        <v>"6B01705 - Foreign language: two foreign languages (English)", B018-Training of foreign language teachers</v>
      </c>
      <c r="K26" s="5" t="str">
        <f>IF(ISBLANK(Лист1!K26),"",Лист1!K26)</f>
        <v>full-time</v>
      </c>
      <c r="L26" s="5" t="str">
        <f>IF(ISBLANK(Лист1!L26),"",Лист1!L26)</f>
        <v>21</v>
      </c>
      <c r="M26" s="5" t="str">
        <f>IF(ISBLANK(Лист1!M26),"",Лист1!M26)</f>
        <v>June</v>
      </c>
      <c r="N26" s="5" t="str">
        <f>IF(ISBLANK(Лист1!N26),"",Лист1!N26)</f>
        <v>21</v>
      </c>
      <c r="O26" s="5" t="str">
        <f>IF(ISBLANK(Лист1!O26),"",Лист1!O26)</f>
        <v>июня</v>
      </c>
      <c r="P26" s="5" t="str">
        <f>IF(ISBLANK(Лист1!P26),"",Лист1!P26)</f>
        <v>01</v>
      </c>
      <c r="Q26" s="5" t="str">
        <f>IF(ISBLANK(Лист1!Q26),"",Лист1!Q26)</f>
        <v>Аман  Ақмарал  Нұржанқызы</v>
      </c>
      <c r="R26" s="5" t="str">
        <f>IF(ISBLANK(Лист1!R26),"",Лист1!R26)</f>
        <v>образования</v>
      </c>
      <c r="S26" s="5" t="str">
        <f>IF(ISBLANK(Лист1!S26),"",Лист1!S26)</f>
        <v>"6B01705 - Иностранный язык: два иностранных языка (английский)", В018-Подготовка учителей иностранного языка</v>
      </c>
      <c r="T26" s="5" t="str">
        <f>IF(ISBLANK(Лист1!T26),"",Лист1!T26)</f>
        <v>очное</v>
      </c>
      <c r="U26" s="5" t="str">
        <f>IF(ISBLANK(Лист1!U26),"",Лист1!U26)</f>
        <v/>
      </c>
      <c r="V26" s="5" t="str">
        <f>IF(ISBLANK(Лист1!V26),"",Лист1!V26)</f>
        <v>28</v>
      </c>
      <c r="W26" s="5" t="str">
        <f>IF(ISBLANK(Лист1!W26),"",Лист1!W26)</f>
        <v>маусым</v>
      </c>
      <c r="X26" s="5" t="str">
        <f>IF(ISBLANK(Лист1!X26),"",Лист1!X26)</f>
        <v>040506600493</v>
      </c>
      <c r="Y26" s="5" t="str">
        <f>IF(ISERROR(VLOOKUP($X26,Лист2!$A$2:$G$498,1,FALSE)),"",VLOOKUP($X26,Лист2!$A$2:$G$498,1,FALSE))</f>
        <v>040506600493</v>
      </c>
      <c r="Z26" s="5" t="str">
        <f>IF(ISERROR(VLOOKUP($X26,Лист2!$A$2:$L$498,9,FALSE)),"",VLOOKUP($X26,Лист2!$A$2:$L$498,9,FALSE))</f>
        <v>BD</v>
      </c>
      <c r="AA26" s="5" t="str">
        <f>IF(ISERROR(VLOOKUP($X26,Лист2!$A$2:$L$498,10,FALSE)),"",VLOOKUP($X26,Лист2!$A$2:$L$498,10,FALSE))</f>
        <v>00025627125</v>
      </c>
      <c r="AB26" s="5" t="str">
        <f>IF(ISERROR(VLOOKUP($X26,Лист2!$A$2:$M$498,13,FALSE)),"",VLOOKUP($X26,Лист2!$A$2:$M$498,13,FALSE))</f>
        <v>https://epvo.kz/#/verification_education_document?iin=040506600493&amp;diplomaSeries=BD&amp;diplomaNumber=00025627125</v>
      </c>
    </row>
    <row r="27" spans="1:28" x14ac:dyDescent="0.25">
      <c r="A27" s="5" t="str">
        <f>IF(ISBLANK(Лист1!A27),"",Лист1!A27)</f>
        <v>21</v>
      </c>
      <c r="B27" s="5" t="str">
        <f>IF(ISBLANK(Лист1!B27),"",Лист1!B27)</f>
        <v>маусымдағы</v>
      </c>
      <c r="C27" s="5" t="str">
        <f>IF(ISBLANK(Лист1!C27),"",Лист1!C27)</f>
        <v>123</v>
      </c>
      <c r="D27" s="5" t="str">
        <f>IF(ISBLANK(Лист1!D27),"",Лист1!D27)</f>
        <v>Аман  Мөлдір  Даниярқызына</v>
      </c>
      <c r="E27" s="5" t="str">
        <f>IF(ISBLANK(Лист1!E27),"",Лист1!E27)</f>
        <v>"6В01705 - Шетел тілі: екі шетел тілі (ағылшын)", В018-Шет тілі мұғалімдерін даярлау</v>
      </c>
      <c r="F27" s="5" t="str">
        <f>IF(ISBLANK(Лист1!F27),"",Лист1!F27)</f>
        <v>білім</v>
      </c>
      <c r="G27" s="5" t="str">
        <f>IF(ISBLANK(Лист1!G27),"",Лист1!G27)</f>
        <v>күндізгі</v>
      </c>
      <c r="H27" s="5" t="str">
        <f>IF(ISBLANK(Лист1!H27),"",Лист1!H27)</f>
        <v>Aman  Moldir</v>
      </c>
      <c r="I27" s="5" t="str">
        <f>IF(ISBLANK(Лист1!I27),"",Лист1!I27)</f>
        <v>Education</v>
      </c>
      <c r="J27" s="5" t="str">
        <f>IF(ISBLANK(Лист1!J27),"",Лист1!J27)</f>
        <v>"6B01705 - Foreign language: two foreign languages (English)", B018-Training of foreign language teachers</v>
      </c>
      <c r="K27" s="5" t="str">
        <f>IF(ISBLANK(Лист1!K27),"",Лист1!K27)</f>
        <v>full-time</v>
      </c>
      <c r="L27" s="5" t="str">
        <f>IF(ISBLANK(Лист1!L27),"",Лист1!L27)</f>
        <v>21</v>
      </c>
      <c r="M27" s="5" t="str">
        <f>IF(ISBLANK(Лист1!M27),"",Лист1!M27)</f>
        <v>June</v>
      </c>
      <c r="N27" s="5" t="str">
        <f>IF(ISBLANK(Лист1!N27),"",Лист1!N27)</f>
        <v>21</v>
      </c>
      <c r="O27" s="5" t="str">
        <f>IF(ISBLANK(Лист1!O27),"",Лист1!O27)</f>
        <v>июня</v>
      </c>
      <c r="P27" s="5" t="str">
        <f>IF(ISBLANK(Лист1!P27),"",Лист1!P27)</f>
        <v>123</v>
      </c>
      <c r="Q27" s="5" t="str">
        <f>IF(ISBLANK(Лист1!Q27),"",Лист1!Q27)</f>
        <v>Аман  Мөлдір  Даниярқызы</v>
      </c>
      <c r="R27" s="5" t="str">
        <f>IF(ISBLANK(Лист1!R27),"",Лист1!R27)</f>
        <v>образования</v>
      </c>
      <c r="S27" s="5" t="str">
        <f>IF(ISBLANK(Лист1!S27),"",Лист1!S27)</f>
        <v>"6B01705 - Иностранный язык: два иностранных языка (английский)", В018-Подготовка учителей иностранного языка</v>
      </c>
      <c r="T27" s="5" t="str">
        <f>IF(ISBLANK(Лист1!T27),"",Лист1!T27)</f>
        <v>очное</v>
      </c>
      <c r="U27" s="5" t="str">
        <f>IF(ISBLANK(Лист1!U27),"",Лист1!U27)</f>
        <v/>
      </c>
      <c r="V27" s="5" t="str">
        <f>IF(ISBLANK(Лист1!V27),"",Лист1!V27)</f>
        <v>28</v>
      </c>
      <c r="W27" s="5" t="str">
        <f>IF(ISBLANK(Лист1!W27),"",Лист1!W27)</f>
        <v>маусым</v>
      </c>
      <c r="X27" s="5" t="str">
        <f>IF(ISBLANK(Лист1!X27),"",Лист1!X27)</f>
        <v>040129601660</v>
      </c>
      <c r="Y27" s="5" t="str">
        <f>IF(ISERROR(VLOOKUP($X27,Лист2!$A$2:$G$498,1,FALSE)),"",VLOOKUP($X27,Лист2!$A$2:$G$498,1,FALSE))</f>
        <v>040129601660</v>
      </c>
      <c r="Z27" s="5" t="str">
        <f>IF(ISERROR(VLOOKUP($X27,Лист2!$A$2:$L$498,9,FALSE)),"",VLOOKUP($X27,Лист2!$A$2:$L$498,9,FALSE))</f>
        <v>BD</v>
      </c>
      <c r="AA27" s="5" t="str">
        <f>IF(ISERROR(VLOOKUP($X27,Лист2!$A$2:$L$498,10,FALSE)),"",VLOOKUP($X27,Лист2!$A$2:$L$498,10,FALSE))</f>
        <v>00025627325</v>
      </c>
      <c r="AB27" s="5" t="str">
        <f>IF(ISERROR(VLOOKUP($X27,Лист2!$A$2:$M$498,13,FALSE)),"",VLOOKUP($X27,Лист2!$A$2:$M$498,13,FALSE))</f>
        <v>https://epvo.kz/#/verification_education_document?iin=040129601660&amp;diplomaSeries=BD&amp;diplomaNumber=00025627325</v>
      </c>
    </row>
    <row r="28" spans="1:28" x14ac:dyDescent="0.25">
      <c r="A28" s="5" t="str">
        <f>IF(ISBLANK(Лист1!A28),"",Лист1!A28)</f>
        <v>21</v>
      </c>
      <c r="B28" s="5" t="str">
        <f>IF(ISBLANK(Лист1!B28),"",Лист1!B28)</f>
        <v>маусымдағы</v>
      </c>
      <c r="C28" s="5" t="str">
        <f>IF(ISBLANK(Лист1!C28),"",Лист1!C28)</f>
        <v>71</v>
      </c>
      <c r="D28" s="5" t="str">
        <f>IF(ISBLANK(Лист1!D28),"",Лист1!D28)</f>
        <v>Аманбайқызы  Ұлжалғасқа</v>
      </c>
      <c r="E28" s="5" t="str">
        <f>IF(ISBLANK(Лист1!E28),"",Лист1!E28)</f>
        <v>"6В01705 - Шетел тілі: екі шетел тілі (ағылшын)", В018-Шет тілі мұғалімдерін даярлау</v>
      </c>
      <c r="F28" s="5" t="str">
        <f>IF(ISBLANK(Лист1!F28),"",Лист1!F28)</f>
        <v>білім</v>
      </c>
      <c r="G28" s="5" t="str">
        <f>IF(ISBLANK(Лист1!G28),"",Лист1!G28)</f>
        <v>күндізгі</v>
      </c>
      <c r="H28" s="5" t="str">
        <f>IF(ISBLANK(Лист1!H28),"",Лист1!H28)</f>
        <v>Amanbaikyzy  Ulzhalgas</v>
      </c>
      <c r="I28" s="5" t="str">
        <f>IF(ISBLANK(Лист1!I28),"",Лист1!I28)</f>
        <v>Education</v>
      </c>
      <c r="J28" s="5" t="str">
        <f>IF(ISBLANK(Лист1!J28),"",Лист1!J28)</f>
        <v>"6B01705 - Foreign language: two foreign languages (English)", B018-Training of foreign language teachers</v>
      </c>
      <c r="K28" s="5" t="str">
        <f>IF(ISBLANK(Лист1!K28),"",Лист1!K28)</f>
        <v>full-time</v>
      </c>
      <c r="L28" s="5" t="str">
        <f>IF(ISBLANK(Лист1!L28),"",Лист1!L28)</f>
        <v>21</v>
      </c>
      <c r="M28" s="5" t="str">
        <f>IF(ISBLANK(Лист1!M28),"",Лист1!M28)</f>
        <v>June</v>
      </c>
      <c r="N28" s="5" t="str">
        <f>IF(ISBLANK(Лист1!N28),"",Лист1!N28)</f>
        <v>21</v>
      </c>
      <c r="O28" s="5" t="str">
        <f>IF(ISBLANK(Лист1!O28),"",Лист1!O28)</f>
        <v>июня</v>
      </c>
      <c r="P28" s="5" t="str">
        <f>IF(ISBLANK(Лист1!P28),"",Лист1!P28)</f>
        <v>71</v>
      </c>
      <c r="Q28" s="5" t="str">
        <f>IF(ISBLANK(Лист1!Q28),"",Лист1!Q28)</f>
        <v xml:space="preserve">Аманбайқызы  Ұлжалғас  </v>
      </c>
      <c r="R28" s="5" t="str">
        <f>IF(ISBLANK(Лист1!R28),"",Лист1!R28)</f>
        <v>образования</v>
      </c>
      <c r="S28" s="5" t="str">
        <f>IF(ISBLANK(Лист1!S28),"",Лист1!S28)</f>
        <v>"6B01705 - Иностранный язык: два иностранных языка (английский)", В018-Подготовка учителей иностранного языка</v>
      </c>
      <c r="T28" s="5" t="str">
        <f>IF(ISBLANK(Лист1!T28),"",Лист1!T28)</f>
        <v>очное</v>
      </c>
      <c r="U28" s="5" t="str">
        <f>IF(ISBLANK(Лист1!U28),"",Лист1!U28)</f>
        <v/>
      </c>
      <c r="V28" s="5" t="str">
        <f>IF(ISBLANK(Лист1!V28),"",Лист1!V28)</f>
        <v>28</v>
      </c>
      <c r="W28" s="5" t="str">
        <f>IF(ISBLANK(Лист1!W28),"",Лист1!W28)</f>
        <v>маусым</v>
      </c>
      <c r="X28" s="5" t="str">
        <f>IF(ISBLANK(Лист1!X28),"",Лист1!X28)</f>
        <v>030619601266</v>
      </c>
      <c r="Y28" s="5" t="str">
        <f>IF(ISERROR(VLOOKUP($X28,Лист2!$A$2:$G$498,1,FALSE)),"",VLOOKUP($X28,Лист2!$A$2:$G$498,1,FALSE))</f>
        <v>030619601266</v>
      </c>
      <c r="Z28" s="5" t="str">
        <f>IF(ISERROR(VLOOKUP($X28,Лист2!$A$2:$L$498,9,FALSE)),"",VLOOKUP($X28,Лист2!$A$2:$L$498,9,FALSE))</f>
        <v>BD</v>
      </c>
      <c r="AA28" s="5" t="str">
        <f>IF(ISERROR(VLOOKUP($X28,Лист2!$A$2:$L$498,10,FALSE)),"",VLOOKUP($X28,Лист2!$A$2:$L$498,10,FALSE))</f>
        <v>00025627525</v>
      </c>
      <c r="AB28" s="5" t="str">
        <f>IF(ISERROR(VLOOKUP($X28,Лист2!$A$2:$M$498,13,FALSE)),"",VLOOKUP($X28,Лист2!$A$2:$M$498,13,FALSE))</f>
        <v>https://epvo.kz/#/verification_education_document?iin=030619601266&amp;diplomaSeries=BD&amp;diplomaNumber=00025627525</v>
      </c>
    </row>
    <row r="29" spans="1:28" x14ac:dyDescent="0.25">
      <c r="A29" s="5" t="str">
        <f>IF(ISBLANK(Лист1!A29),"",Лист1!A29)</f>
        <v>21</v>
      </c>
      <c r="B29" s="5" t="str">
        <f>IF(ISBLANK(Лист1!B29),"",Лист1!B29)</f>
        <v>маусымдағы</v>
      </c>
      <c r="C29" s="5" t="str">
        <f>IF(ISBLANK(Лист1!C29),"",Лист1!C29)</f>
        <v>220</v>
      </c>
      <c r="D29" s="5" t="str">
        <f>IF(ISBLANK(Лист1!D29),"",Лист1!D29)</f>
        <v>Аманжол  Ақбота  Оналбайқызына</v>
      </c>
      <c r="E29" s="5" t="str">
        <f>IF(ISBLANK(Лист1!E29),"",Лист1!E29)</f>
        <v>"6В01705 - Шетел тілі: екі шетел тілі (ағылшын)", В018-Шет тілі мұғалімдерін даярлау</v>
      </c>
      <c r="F29" s="5" t="str">
        <f>IF(ISBLANK(Лист1!F29),"",Лист1!F29)</f>
        <v>білім</v>
      </c>
      <c r="G29" s="5" t="str">
        <f>IF(ISBLANK(Лист1!G29),"",Лист1!G29)</f>
        <v>күндізгі</v>
      </c>
      <c r="H29" s="5" t="str">
        <f>IF(ISBLANK(Лист1!H29),"",Лист1!H29)</f>
        <v>Amanzhol  Akbota</v>
      </c>
      <c r="I29" s="5" t="str">
        <f>IF(ISBLANK(Лист1!I29),"",Лист1!I29)</f>
        <v>Education</v>
      </c>
      <c r="J29" s="5" t="str">
        <f>IF(ISBLANK(Лист1!J29),"",Лист1!J29)</f>
        <v>"6B01705 - Foreign language: two foreign languages (English)", B018-Training of foreign language teachers</v>
      </c>
      <c r="K29" s="5" t="str">
        <f>IF(ISBLANK(Лист1!K29),"",Лист1!K29)</f>
        <v>full-time</v>
      </c>
      <c r="L29" s="5" t="str">
        <f>IF(ISBLANK(Лист1!L29),"",Лист1!L29)</f>
        <v>21</v>
      </c>
      <c r="M29" s="5" t="str">
        <f>IF(ISBLANK(Лист1!M29),"",Лист1!M29)</f>
        <v>June</v>
      </c>
      <c r="N29" s="5" t="str">
        <f>IF(ISBLANK(Лист1!N29),"",Лист1!N29)</f>
        <v>21</v>
      </c>
      <c r="O29" s="5" t="str">
        <f>IF(ISBLANK(Лист1!O29),"",Лист1!O29)</f>
        <v>июня</v>
      </c>
      <c r="P29" s="5" t="str">
        <f>IF(ISBLANK(Лист1!P29),"",Лист1!P29)</f>
        <v>220</v>
      </c>
      <c r="Q29" s="5" t="str">
        <f>IF(ISBLANK(Лист1!Q29),"",Лист1!Q29)</f>
        <v>Аманжол  Ақбота  Оналбайқызы</v>
      </c>
      <c r="R29" s="5" t="str">
        <f>IF(ISBLANK(Лист1!R29),"",Лист1!R29)</f>
        <v>образования</v>
      </c>
      <c r="S29" s="5" t="str">
        <f>IF(ISBLANK(Лист1!S29),"",Лист1!S29)</f>
        <v>"6B01705 - Иностранный язык: два иностранных языка (английский)", В018-Подготовка учителей иностранного языка</v>
      </c>
      <c r="T29" s="5" t="str">
        <f>IF(ISBLANK(Лист1!T29),"",Лист1!T29)</f>
        <v>очное</v>
      </c>
      <c r="U29" s="5" t="str">
        <f>IF(ISBLANK(Лист1!U29),"",Лист1!U29)</f>
        <v/>
      </c>
      <c r="V29" s="5" t="str">
        <f>IF(ISBLANK(Лист1!V29),"",Лист1!V29)</f>
        <v>28</v>
      </c>
      <c r="W29" s="5" t="str">
        <f>IF(ISBLANK(Лист1!W29),"",Лист1!W29)</f>
        <v>маусым</v>
      </c>
      <c r="X29" s="5" t="str">
        <f>IF(ISBLANK(Лист1!X29),"",Лист1!X29)</f>
        <v>040302651240</v>
      </c>
      <c r="Y29" s="5" t="str">
        <f>IF(ISERROR(VLOOKUP($X29,Лист2!$A$2:$G$498,1,FALSE)),"",VLOOKUP($X29,Лист2!$A$2:$G$498,1,FALSE))</f>
        <v>040302651240</v>
      </c>
      <c r="Z29" s="5" t="str">
        <f>IF(ISERROR(VLOOKUP($X29,Лист2!$A$2:$L$498,9,FALSE)),"",VLOOKUP($X29,Лист2!$A$2:$L$498,9,FALSE))</f>
        <v>BD</v>
      </c>
      <c r="AA29" s="5" t="str">
        <f>IF(ISERROR(VLOOKUP($X29,Лист2!$A$2:$L$498,10,FALSE)),"",VLOOKUP($X29,Лист2!$A$2:$L$498,10,FALSE))</f>
        <v>00025627725</v>
      </c>
      <c r="AB29" s="5" t="str">
        <f>IF(ISERROR(VLOOKUP($X29,Лист2!$A$2:$M$498,13,FALSE)),"",VLOOKUP($X29,Лист2!$A$2:$M$498,13,FALSE))</f>
        <v>https://epvo.kz/#/verification_education_document?iin=040302651240&amp;diplomaSeries=BD&amp;diplomaNumber=00025627725</v>
      </c>
    </row>
    <row r="30" spans="1:28" x14ac:dyDescent="0.25">
      <c r="A30" s="5" t="str">
        <f>IF(ISBLANK(Лист1!A30),"",Лист1!A30)</f>
        <v>21</v>
      </c>
      <c r="B30" s="5" t="str">
        <f>IF(ISBLANK(Лист1!B30),"",Лист1!B30)</f>
        <v>маусымдағы</v>
      </c>
      <c r="C30" s="5" t="str">
        <f>IF(ISBLANK(Лист1!C30),"",Лист1!C30)</f>
        <v>221</v>
      </c>
      <c r="D30" s="5" t="str">
        <f>IF(ISBLANK(Лист1!D30),"",Лист1!D30)</f>
        <v>Аманкелді  Аяулым  Бақытқызына</v>
      </c>
      <c r="E30" s="5" t="str">
        <f>IF(ISBLANK(Лист1!E30),"",Лист1!E30)</f>
        <v>"6В01705 - Шетел тілі: екі шетел тілі (ағылшын)", В018-Шет тілі мұғалімдерін даярлау</v>
      </c>
      <c r="F30" s="5" t="str">
        <f>IF(ISBLANK(Лист1!F30),"",Лист1!F30)</f>
        <v>білім</v>
      </c>
      <c r="G30" s="5" t="str">
        <f>IF(ISBLANK(Лист1!G30),"",Лист1!G30)</f>
        <v>күндізгі</v>
      </c>
      <c r="H30" s="5" t="str">
        <f>IF(ISBLANK(Лист1!H30),"",Лист1!H30)</f>
        <v>Amankeldi  Ayaulym</v>
      </c>
      <c r="I30" s="5" t="str">
        <f>IF(ISBLANK(Лист1!I30),"",Лист1!I30)</f>
        <v>Education</v>
      </c>
      <c r="J30" s="5" t="str">
        <f>IF(ISBLANK(Лист1!J30),"",Лист1!J30)</f>
        <v>"6B01705 - Foreign language: two foreign languages (English)", B018-Training of foreign language teachers</v>
      </c>
      <c r="K30" s="5" t="str">
        <f>IF(ISBLANK(Лист1!K30),"",Лист1!K30)</f>
        <v>full-time</v>
      </c>
      <c r="L30" s="5" t="str">
        <f>IF(ISBLANK(Лист1!L30),"",Лист1!L30)</f>
        <v>21</v>
      </c>
      <c r="M30" s="5" t="str">
        <f>IF(ISBLANK(Лист1!M30),"",Лист1!M30)</f>
        <v>June</v>
      </c>
      <c r="N30" s="5" t="str">
        <f>IF(ISBLANK(Лист1!N30),"",Лист1!N30)</f>
        <v>21</v>
      </c>
      <c r="O30" s="5" t="str">
        <f>IF(ISBLANK(Лист1!O30),"",Лист1!O30)</f>
        <v>июня</v>
      </c>
      <c r="P30" s="5" t="str">
        <f>IF(ISBLANK(Лист1!P30),"",Лист1!P30)</f>
        <v>221</v>
      </c>
      <c r="Q30" s="5" t="str">
        <f>IF(ISBLANK(Лист1!Q30),"",Лист1!Q30)</f>
        <v>Аманкелді  Аяулым  Бақытқызы</v>
      </c>
      <c r="R30" s="5" t="str">
        <f>IF(ISBLANK(Лист1!R30),"",Лист1!R30)</f>
        <v>образования</v>
      </c>
      <c r="S30" s="5" t="str">
        <f>IF(ISBLANK(Лист1!S30),"",Лист1!S30)</f>
        <v>"6B01705 - Иностранный язык: два иностранных языка (английский)", В018-Подготовка учителей иностранного языка</v>
      </c>
      <c r="T30" s="5" t="str">
        <f>IF(ISBLANK(Лист1!T30),"",Лист1!T30)</f>
        <v>очное</v>
      </c>
      <c r="U30" s="5" t="str">
        <f>IF(ISBLANK(Лист1!U30),"",Лист1!U30)</f>
        <v/>
      </c>
      <c r="V30" s="5" t="str">
        <f>IF(ISBLANK(Лист1!V30),"",Лист1!V30)</f>
        <v>28</v>
      </c>
      <c r="W30" s="5" t="str">
        <f>IF(ISBLANK(Лист1!W30),"",Лист1!W30)</f>
        <v>маусым</v>
      </c>
      <c r="X30" s="5" t="str">
        <f>IF(ISBLANK(Лист1!X30),"",Лист1!X30)</f>
        <v>040209600518</v>
      </c>
      <c r="Y30" s="5" t="str">
        <f>IF(ISERROR(VLOOKUP($X30,Лист2!$A$2:$G$498,1,FALSE)),"",VLOOKUP($X30,Лист2!$A$2:$G$498,1,FALSE))</f>
        <v>040209600518</v>
      </c>
      <c r="Z30" s="5" t="str">
        <f>IF(ISERROR(VLOOKUP($X30,Лист2!$A$2:$L$498,9,FALSE)),"",VLOOKUP($X30,Лист2!$A$2:$L$498,9,FALSE))</f>
        <v>BD</v>
      </c>
      <c r="AA30" s="5" t="str">
        <f>IF(ISERROR(VLOOKUP($X30,Лист2!$A$2:$L$498,10,FALSE)),"",VLOOKUP($X30,Лист2!$A$2:$L$498,10,FALSE))</f>
        <v>00025627825</v>
      </c>
      <c r="AB30" s="5" t="str">
        <f>IF(ISERROR(VLOOKUP($X30,Лист2!$A$2:$M$498,13,FALSE)),"",VLOOKUP($X30,Лист2!$A$2:$M$498,13,FALSE))</f>
        <v>https://epvo.kz/#/verification_education_document?iin=040209600518&amp;diplomaSeries=BD&amp;diplomaNumber=00025627825</v>
      </c>
    </row>
    <row r="31" spans="1:28" x14ac:dyDescent="0.25">
      <c r="A31" s="5" t="str">
        <f>IF(ISBLANK(Лист1!A31),"",Лист1!A31)</f>
        <v>21</v>
      </c>
      <c r="B31" s="5" t="str">
        <f>IF(ISBLANK(Лист1!B31),"",Лист1!B31)</f>
        <v>маусымдағы</v>
      </c>
      <c r="C31" s="5" t="str">
        <f>IF(ISBLANK(Лист1!C31),"",Лист1!C31)</f>
        <v>05</v>
      </c>
      <c r="D31" s="5" t="str">
        <f>IF(ISBLANK(Лист1!D31),"",Лист1!D31)</f>
        <v>Амирхан  Нариман  Асетулына</v>
      </c>
      <c r="E31" s="5" t="str">
        <f>IF(ISBLANK(Лист1!E31),"",Лист1!E31)</f>
        <v>"6В01705 - Шетел тілі: екі шетел тілі (ағылшын)", В018-Шет тілі мұғалімдерін даярлау</v>
      </c>
      <c r="F31" s="5" t="str">
        <f>IF(ISBLANK(Лист1!F31),"",Лист1!F31)</f>
        <v>білім</v>
      </c>
      <c r="G31" s="5" t="str">
        <f>IF(ISBLANK(Лист1!G31),"",Лист1!G31)</f>
        <v>күндізгі</v>
      </c>
      <c r="H31" s="5" t="str">
        <f>IF(ISBLANK(Лист1!H31),"",Лист1!H31)</f>
        <v>Amirkhan  Nariman</v>
      </c>
      <c r="I31" s="5" t="str">
        <f>IF(ISBLANK(Лист1!I31),"",Лист1!I31)</f>
        <v>Education</v>
      </c>
      <c r="J31" s="5" t="str">
        <f>IF(ISBLANK(Лист1!J31),"",Лист1!J31)</f>
        <v>"6B01705 - Foreign language: two foreign languages (English)", B018-Training of foreign language teachers</v>
      </c>
      <c r="K31" s="5" t="str">
        <f>IF(ISBLANK(Лист1!K31),"",Лист1!K31)</f>
        <v>full-time</v>
      </c>
      <c r="L31" s="5" t="str">
        <f>IF(ISBLANK(Лист1!L31),"",Лист1!L31)</f>
        <v>21</v>
      </c>
      <c r="M31" s="5" t="str">
        <f>IF(ISBLANK(Лист1!M31),"",Лист1!M31)</f>
        <v>June</v>
      </c>
      <c r="N31" s="5" t="str">
        <f>IF(ISBLANK(Лист1!N31),"",Лист1!N31)</f>
        <v>21</v>
      </c>
      <c r="O31" s="5" t="str">
        <f>IF(ISBLANK(Лист1!O31),"",Лист1!O31)</f>
        <v>июня</v>
      </c>
      <c r="P31" s="5" t="str">
        <f>IF(ISBLANK(Лист1!P31),"",Лист1!P31)</f>
        <v>05</v>
      </c>
      <c r="Q31" s="5" t="str">
        <f>IF(ISBLANK(Лист1!Q31),"",Лист1!Q31)</f>
        <v>Амирхан  Нариману  Асетулы</v>
      </c>
      <c r="R31" s="5" t="str">
        <f>IF(ISBLANK(Лист1!R31),"",Лист1!R31)</f>
        <v>образования</v>
      </c>
      <c r="S31" s="5" t="str">
        <f>IF(ISBLANK(Лист1!S31),"",Лист1!S31)</f>
        <v>"6B01705 - Иностранный язык: два иностранных языка (английский)", В018-Подготовка учителей иностранного языка</v>
      </c>
      <c r="T31" s="5" t="str">
        <f>IF(ISBLANK(Лист1!T31),"",Лист1!T31)</f>
        <v>очное</v>
      </c>
      <c r="U31" s="5" t="str">
        <f>IF(ISBLANK(Лист1!U31),"",Лист1!U31)</f>
        <v/>
      </c>
      <c r="V31" s="5" t="str">
        <f>IF(ISBLANK(Лист1!V31),"",Лист1!V31)</f>
        <v>28</v>
      </c>
      <c r="W31" s="5" t="str">
        <f>IF(ISBLANK(Лист1!W31),"",Лист1!W31)</f>
        <v>маусым</v>
      </c>
      <c r="X31" s="5" t="str">
        <f>IF(ISBLANK(Лист1!X31),"",Лист1!X31)</f>
        <v>030916551607</v>
      </c>
      <c r="Y31" s="5" t="str">
        <f>IF(ISERROR(VLOOKUP($X31,Лист2!$A$2:$G$498,1,FALSE)),"",VLOOKUP($X31,Лист2!$A$2:$G$498,1,FALSE))</f>
        <v>030916551607</v>
      </c>
      <c r="Z31" s="5" t="str">
        <f>IF(ISERROR(VLOOKUP($X31,Лист2!$A$2:$L$498,9,FALSE)),"",VLOOKUP($X31,Лист2!$A$2:$L$498,9,FALSE))</f>
        <v>BD</v>
      </c>
      <c r="AA31" s="5" t="str">
        <f>IF(ISERROR(VLOOKUP($X31,Лист2!$A$2:$L$498,10,FALSE)),"",VLOOKUP($X31,Лист2!$A$2:$L$498,10,FALSE))</f>
        <v>00025627925</v>
      </c>
      <c r="AB31" s="5" t="str">
        <f>IF(ISERROR(VLOOKUP($X31,Лист2!$A$2:$M$498,13,FALSE)),"",VLOOKUP($X31,Лист2!$A$2:$M$498,13,FALSE))</f>
        <v>https://epvo.kz/#/verification_education_document?iin=030916551607&amp;diplomaSeries=BD&amp;diplomaNumber=00025627925</v>
      </c>
    </row>
    <row r="32" spans="1:28" x14ac:dyDescent="0.25">
      <c r="A32" s="5" t="str">
        <f>IF(ISBLANK(Лист1!A32),"",Лист1!A32)</f>
        <v>21</v>
      </c>
      <c r="B32" s="5" t="str">
        <f>IF(ISBLANK(Лист1!B32),"",Лист1!B32)</f>
        <v>маусымдағы</v>
      </c>
      <c r="C32" s="5" t="str">
        <f>IF(ISBLANK(Лист1!C32),"",Лист1!C32)</f>
        <v>61</v>
      </c>
      <c r="D32" s="5" t="str">
        <f>IF(ISBLANK(Лист1!D32),"",Лист1!D32)</f>
        <v>Андеш  Мерей  Қайратқызына</v>
      </c>
      <c r="E32" s="5" t="str">
        <f>IF(ISBLANK(Лист1!E32),"",Лист1!E32)</f>
        <v>"6В01705 - Шетел тілі: екі шетел тілі (ағылшын)", В018-Шет тілі мұғалімдерін даярлау</v>
      </c>
      <c r="F32" s="5" t="str">
        <f>IF(ISBLANK(Лист1!F32),"",Лист1!F32)</f>
        <v>білім</v>
      </c>
      <c r="G32" s="5" t="str">
        <f>IF(ISBLANK(Лист1!G32),"",Лист1!G32)</f>
        <v>күндізгі</v>
      </c>
      <c r="H32" s="5" t="str">
        <f>IF(ISBLANK(Лист1!H32),"",Лист1!H32)</f>
        <v>Andesh  Merey</v>
      </c>
      <c r="I32" s="5" t="str">
        <f>IF(ISBLANK(Лист1!I32),"",Лист1!I32)</f>
        <v>Education</v>
      </c>
      <c r="J32" s="5" t="str">
        <f>IF(ISBLANK(Лист1!J32),"",Лист1!J32)</f>
        <v>"6B01705 - Foreign language: two foreign languages (English)", B018-Training of foreign language teachers</v>
      </c>
      <c r="K32" s="5" t="str">
        <f>IF(ISBLANK(Лист1!K32),"",Лист1!K32)</f>
        <v>full-time</v>
      </c>
      <c r="L32" s="5" t="str">
        <f>IF(ISBLANK(Лист1!L32),"",Лист1!L32)</f>
        <v>21</v>
      </c>
      <c r="M32" s="5" t="str">
        <f>IF(ISBLANK(Лист1!M32),"",Лист1!M32)</f>
        <v>June</v>
      </c>
      <c r="N32" s="5" t="str">
        <f>IF(ISBLANK(Лист1!N32),"",Лист1!N32)</f>
        <v>21</v>
      </c>
      <c r="O32" s="5" t="str">
        <f>IF(ISBLANK(Лист1!O32),"",Лист1!O32)</f>
        <v>июня</v>
      </c>
      <c r="P32" s="5" t="str">
        <f>IF(ISBLANK(Лист1!P32),"",Лист1!P32)</f>
        <v>61</v>
      </c>
      <c r="Q32" s="5" t="str">
        <f>IF(ISBLANK(Лист1!Q32),"",Лист1!Q32)</f>
        <v>Андеш  Мерей  Қайратқызы</v>
      </c>
      <c r="R32" s="5" t="str">
        <f>IF(ISBLANK(Лист1!R32),"",Лист1!R32)</f>
        <v>образования</v>
      </c>
      <c r="S32" s="5" t="str">
        <f>IF(ISBLANK(Лист1!S32),"",Лист1!S32)</f>
        <v>"6B01705 - Иностранный язык: два иностранных языка (английский)", В018-Подготовка учителей иностранного языка</v>
      </c>
      <c r="T32" s="5" t="str">
        <f>IF(ISBLANK(Лист1!T32),"",Лист1!T32)</f>
        <v>очное</v>
      </c>
      <c r="U32" s="5" t="str">
        <f>IF(ISBLANK(Лист1!U32),"",Лист1!U32)</f>
        <v/>
      </c>
      <c r="V32" s="5" t="str">
        <f>IF(ISBLANK(Лист1!V32),"",Лист1!V32)</f>
        <v>28</v>
      </c>
      <c r="W32" s="5" t="str">
        <f>IF(ISBLANK(Лист1!W32),"",Лист1!W32)</f>
        <v>маусым</v>
      </c>
      <c r="X32" s="5" t="str">
        <f>IF(ISBLANK(Лист1!X32),"",Лист1!X32)</f>
        <v>040905600135</v>
      </c>
      <c r="Y32" s="5" t="str">
        <f>IF(ISERROR(VLOOKUP($X32,Лист2!$A$2:$G$498,1,FALSE)),"",VLOOKUP($X32,Лист2!$A$2:$G$498,1,FALSE))</f>
        <v>040905600135</v>
      </c>
      <c r="Z32" s="5" t="str">
        <f>IF(ISERROR(VLOOKUP($X32,Лист2!$A$2:$L$498,9,FALSE)),"",VLOOKUP($X32,Лист2!$A$2:$L$498,9,FALSE))</f>
        <v>BD</v>
      </c>
      <c r="AA32" s="5" t="str">
        <f>IF(ISERROR(VLOOKUP($X32,Лист2!$A$2:$L$498,10,FALSE)),"",VLOOKUP($X32,Лист2!$A$2:$L$498,10,FALSE))</f>
        <v>00025628025</v>
      </c>
      <c r="AB32" s="5" t="str">
        <f>IF(ISERROR(VLOOKUP($X32,Лист2!$A$2:$M$498,13,FALSE)),"",VLOOKUP($X32,Лист2!$A$2:$M$498,13,FALSE))</f>
        <v>https://epvo.kz/#/verification_education_document?iin=040905600135&amp;diplomaSeries=BD&amp;diplomaNumber=00025628025</v>
      </c>
    </row>
    <row r="33" spans="1:28" x14ac:dyDescent="0.25">
      <c r="A33" s="5" t="str">
        <f>IF(ISBLANK(Лист1!A33),"",Лист1!A33)</f>
        <v>21</v>
      </c>
      <c r="B33" s="5" t="str">
        <f>IF(ISBLANK(Лист1!B33),"",Лист1!B33)</f>
        <v>маусымдағы</v>
      </c>
      <c r="C33" s="5" t="str">
        <f>IF(ISBLANK(Лист1!C33),"",Лист1!C33)</f>
        <v>79</v>
      </c>
      <c r="D33" s="5" t="str">
        <f>IF(ISBLANK(Лист1!D33),"",Лист1!D33)</f>
        <v>Атамуратова Фариза Ергалиевнаға</v>
      </c>
      <c r="E33" s="5" t="str">
        <f>IF(ISBLANK(Лист1!E33),"",Лист1!E33)</f>
        <v>"6В01705 - Шетел тілі: екі шетел тілі (ағылшын)", В018-Шет тілі мұғалімдерін даярлау</v>
      </c>
      <c r="F33" s="5" t="str">
        <f>IF(ISBLANK(Лист1!F33),"",Лист1!F33)</f>
        <v>білім</v>
      </c>
      <c r="G33" s="5" t="str">
        <f>IF(ISBLANK(Лист1!G33),"",Лист1!G33)</f>
        <v>күндізгі</v>
      </c>
      <c r="H33" s="5" t="str">
        <f>IF(ISBLANK(Лист1!H33),"",Лист1!H33)</f>
        <v>Atamuratova  Fariza</v>
      </c>
      <c r="I33" s="5" t="str">
        <f>IF(ISBLANK(Лист1!I33),"",Лист1!I33)</f>
        <v>Education</v>
      </c>
      <c r="J33" s="5" t="str">
        <f>IF(ISBLANK(Лист1!J33),"",Лист1!J33)</f>
        <v>"6B01705 - Foreign language: two foreign languages (English)", B018-Training of foreign language teachers</v>
      </c>
      <c r="K33" s="5" t="str">
        <f>IF(ISBLANK(Лист1!K33),"",Лист1!K33)</f>
        <v>full-time</v>
      </c>
      <c r="L33" s="5" t="str">
        <f>IF(ISBLANK(Лист1!L33),"",Лист1!L33)</f>
        <v>21</v>
      </c>
      <c r="M33" s="5" t="str">
        <f>IF(ISBLANK(Лист1!M33),"",Лист1!M33)</f>
        <v>June</v>
      </c>
      <c r="N33" s="5" t="str">
        <f>IF(ISBLANK(Лист1!N33),"",Лист1!N33)</f>
        <v>21</v>
      </c>
      <c r="O33" s="5" t="str">
        <f>IF(ISBLANK(Лист1!O33),"",Лист1!O33)</f>
        <v>июня</v>
      </c>
      <c r="P33" s="5" t="str">
        <f>IF(ISBLANK(Лист1!P33),"",Лист1!P33)</f>
        <v>79</v>
      </c>
      <c r="Q33" s="5" t="str">
        <f>IF(ISBLANK(Лист1!Q33),"",Лист1!Q33)</f>
        <v>Атамуратовой Фаризе Ергалиевне</v>
      </c>
      <c r="R33" s="5" t="str">
        <f>IF(ISBLANK(Лист1!R33),"",Лист1!R33)</f>
        <v>образования</v>
      </c>
      <c r="S33" s="5" t="str">
        <f>IF(ISBLANK(Лист1!S33),"",Лист1!S33)</f>
        <v>"6B01705 - Иностранный язык: два иностранных языка (английский)", В018-Подготовка учителей иностранного языка</v>
      </c>
      <c r="T33" s="5" t="str">
        <f>IF(ISBLANK(Лист1!T33),"",Лист1!T33)</f>
        <v>очное</v>
      </c>
      <c r="U33" s="5" t="str">
        <f>IF(ISBLANK(Лист1!U33),"",Лист1!U33)</f>
        <v/>
      </c>
      <c r="V33" s="5" t="str">
        <f>IF(ISBLANK(Лист1!V33),"",Лист1!V33)</f>
        <v>28</v>
      </c>
      <c r="W33" s="5" t="str">
        <f>IF(ISBLANK(Лист1!W33),"",Лист1!W33)</f>
        <v>маусым</v>
      </c>
      <c r="X33" s="5" t="str">
        <f>IF(ISBLANK(Лист1!X33),"",Лист1!X33)</f>
        <v>020727000255</v>
      </c>
      <c r="Y33" s="5" t="str">
        <f>IF(ISERROR(VLOOKUP($X33,Лист2!$A$2:$G$498,1,FALSE)),"",VLOOKUP($X33,Лист2!$A$2:$G$498,1,FALSE))</f>
        <v>020727000255</v>
      </c>
      <c r="Z33" s="5" t="str">
        <f>IF(ISERROR(VLOOKUP($X33,Лист2!$A$2:$L$498,9,FALSE)),"",VLOOKUP($X33,Лист2!$A$2:$L$498,9,FALSE))</f>
        <v>BD</v>
      </c>
      <c r="AA33" s="5" t="str">
        <f>IF(ISERROR(VLOOKUP($X33,Лист2!$A$2:$L$498,10,FALSE)),"",VLOOKUP($X33,Лист2!$A$2:$L$498,10,FALSE))</f>
        <v>00025695625</v>
      </c>
      <c r="AB33" s="5" t="str">
        <f>IF(ISERROR(VLOOKUP($X33,Лист2!$A$2:$M$498,13,FALSE)),"",VLOOKUP($X33,Лист2!$A$2:$M$498,13,FALSE))</f>
        <v>https://epvo.kz/#/verification_education_document?iin=020727000255&amp;diplomaSeries=BD&amp;diplomaNumber=00025695625</v>
      </c>
    </row>
    <row r="34" spans="1:28" x14ac:dyDescent="0.25">
      <c r="A34" s="5" t="str">
        <f>IF(ISBLANK(Лист1!A34),"",Лист1!A34)</f>
        <v>21</v>
      </c>
      <c r="B34" s="5" t="str">
        <f>IF(ISBLANK(Лист1!B34),"",Лист1!B34)</f>
        <v>маусымдағы</v>
      </c>
      <c r="C34" s="5" t="str">
        <f>IF(ISBLANK(Лист1!C34),"",Лист1!C34)</f>
        <v>129</v>
      </c>
      <c r="D34" s="5" t="str">
        <f>IF(ISBLANK(Лист1!D34),"",Лист1!D34)</f>
        <v>Ахимаан  Калиманға</v>
      </c>
      <c r="E34" s="5" t="str">
        <f>IF(ISBLANK(Лист1!E34),"",Лист1!E34)</f>
        <v>"6В01705 - Шетел тілі: екі шетел тілі (ағылшын)", В018-Шет тілі мұғалімдерін даярлау</v>
      </c>
      <c r="F34" s="5" t="str">
        <f>IF(ISBLANK(Лист1!F34),"",Лист1!F34)</f>
        <v>білім</v>
      </c>
      <c r="G34" s="5" t="str">
        <f>IF(ISBLANK(Лист1!G34),"",Лист1!G34)</f>
        <v>күндізгі</v>
      </c>
      <c r="H34" s="5" t="str">
        <f>IF(ISBLANK(Лист1!H34),"",Лист1!H34)</f>
        <v>Akhimaan  Kaliman</v>
      </c>
      <c r="I34" s="5" t="str">
        <f>IF(ISBLANK(Лист1!I34),"",Лист1!I34)</f>
        <v>Education</v>
      </c>
      <c r="J34" s="5" t="str">
        <f>IF(ISBLANK(Лист1!J34),"",Лист1!J34)</f>
        <v>"6B01705 - Foreign language: two foreign languages (English)", B018-Training of foreign language teachers</v>
      </c>
      <c r="K34" s="5" t="str">
        <f>IF(ISBLANK(Лист1!K34),"",Лист1!K34)</f>
        <v>full-time</v>
      </c>
      <c r="L34" s="5" t="str">
        <f>IF(ISBLANK(Лист1!L34),"",Лист1!L34)</f>
        <v>21</v>
      </c>
      <c r="M34" s="5" t="str">
        <f>IF(ISBLANK(Лист1!M34),"",Лист1!M34)</f>
        <v>June</v>
      </c>
      <c r="N34" s="5" t="str">
        <f>IF(ISBLANK(Лист1!N34),"",Лист1!N34)</f>
        <v>21</v>
      </c>
      <c r="O34" s="5" t="str">
        <f>IF(ISBLANK(Лист1!O34),"",Лист1!O34)</f>
        <v>июня</v>
      </c>
      <c r="P34" s="5" t="str">
        <f>IF(ISBLANK(Лист1!P34),"",Лист1!P34)</f>
        <v>129</v>
      </c>
      <c r="Q34" s="5" t="str">
        <f>IF(ISBLANK(Лист1!Q34),"",Лист1!Q34)</f>
        <v xml:space="preserve">Ахимаан  Калиман  </v>
      </c>
      <c r="R34" s="5" t="str">
        <f>IF(ISBLANK(Лист1!R34),"",Лист1!R34)</f>
        <v>образования</v>
      </c>
      <c r="S34" s="5" t="str">
        <f>IF(ISBLANK(Лист1!S34),"",Лист1!S34)</f>
        <v>"6B01705 - Иностранный язык: два иностранных языка (английский)", В018-Подготовка учителей иностранного языка</v>
      </c>
      <c r="T34" s="5" t="str">
        <f>IF(ISBLANK(Лист1!T34),"",Лист1!T34)</f>
        <v>очное</v>
      </c>
      <c r="U34" s="5" t="str">
        <f>IF(ISBLANK(Лист1!U34),"",Лист1!U34)</f>
        <v/>
      </c>
      <c r="V34" s="5" t="str">
        <f>IF(ISBLANK(Лист1!V34),"",Лист1!V34)</f>
        <v>28</v>
      </c>
      <c r="W34" s="5" t="str">
        <f>IF(ISBLANK(Лист1!W34),"",Лист1!W34)</f>
        <v>маусым</v>
      </c>
      <c r="X34" s="5" t="str">
        <f>IF(ISBLANK(Лист1!X34),"",Лист1!X34)</f>
        <v>041207601904</v>
      </c>
      <c r="Y34" s="5" t="str">
        <f>IF(ISERROR(VLOOKUP($X34,Лист2!$A$2:$G$498,1,FALSE)),"",VLOOKUP($X34,Лист2!$A$2:$G$498,1,FALSE))</f>
        <v>041207601904</v>
      </c>
      <c r="Z34" s="5" t="str">
        <f>IF(ISERROR(VLOOKUP($X34,Лист2!$A$2:$L$498,9,FALSE)),"",VLOOKUP($X34,Лист2!$A$2:$L$498,9,FALSE))</f>
        <v>BD</v>
      </c>
      <c r="AA34" s="5" t="str">
        <f>IF(ISERROR(VLOOKUP($X34,Лист2!$A$2:$L$498,10,FALSE)),"",VLOOKUP($X34,Лист2!$A$2:$L$498,10,FALSE))</f>
        <v>00025628125</v>
      </c>
      <c r="AB34" s="5" t="str">
        <f>IF(ISERROR(VLOOKUP($X34,Лист2!$A$2:$M$498,13,FALSE)),"",VLOOKUP($X34,Лист2!$A$2:$M$498,13,FALSE))</f>
        <v>https://epvo.kz/#/verification_education_document?iin=041207601904&amp;diplomaSeries=BD&amp;diplomaNumber=00025628125</v>
      </c>
    </row>
    <row r="35" spans="1:28" x14ac:dyDescent="0.25">
      <c r="A35" s="5" t="str">
        <f>IF(ISBLANK(Лист1!A35),"",Лист1!A35)</f>
        <v>21</v>
      </c>
      <c r="B35" s="5" t="str">
        <f>IF(ISBLANK(Лист1!B35),"",Лист1!B35)</f>
        <v>маусымдағы</v>
      </c>
      <c r="C35" s="5" t="str">
        <f>IF(ISBLANK(Лист1!C35),"",Лист1!C35)</f>
        <v>130</v>
      </c>
      <c r="D35" s="5" t="str">
        <f>IF(ISBLANK(Лист1!D35),"",Лист1!D35)</f>
        <v>Ахметова  Ақерке  Мухамедқызына</v>
      </c>
      <c r="E35" s="5" t="str">
        <f>IF(ISBLANK(Лист1!E35),"",Лист1!E35)</f>
        <v>"6В01705 - Шетел тілі: екі шетел тілі (ағылшын)", В018-Шет тілі мұғалімдерін даярлау</v>
      </c>
      <c r="F35" s="5" t="str">
        <f>IF(ISBLANK(Лист1!F35),"",Лист1!F35)</f>
        <v>білім</v>
      </c>
      <c r="G35" s="5" t="str">
        <f>IF(ISBLANK(Лист1!G35),"",Лист1!G35)</f>
        <v>күндізгі</v>
      </c>
      <c r="H35" s="5" t="str">
        <f>IF(ISBLANK(Лист1!H35),"",Лист1!H35)</f>
        <v>Akhmetova  Akerke</v>
      </c>
      <c r="I35" s="5" t="str">
        <f>IF(ISBLANK(Лист1!I35),"",Лист1!I35)</f>
        <v>Education</v>
      </c>
      <c r="J35" s="5" t="str">
        <f>IF(ISBLANK(Лист1!J35),"",Лист1!J35)</f>
        <v>"6B01705 - Foreign language: two foreign languages (English)", B018-Training of foreign language teachers</v>
      </c>
      <c r="K35" s="5" t="str">
        <f>IF(ISBLANK(Лист1!K35),"",Лист1!K35)</f>
        <v>full-time</v>
      </c>
      <c r="L35" s="5" t="str">
        <f>IF(ISBLANK(Лист1!L35),"",Лист1!L35)</f>
        <v>21</v>
      </c>
      <c r="M35" s="5" t="str">
        <f>IF(ISBLANK(Лист1!M35),"",Лист1!M35)</f>
        <v>June</v>
      </c>
      <c r="N35" s="5" t="str">
        <f>IF(ISBLANK(Лист1!N35),"",Лист1!N35)</f>
        <v>21</v>
      </c>
      <c r="O35" s="5" t="str">
        <f>IF(ISBLANK(Лист1!O35),"",Лист1!O35)</f>
        <v>июня</v>
      </c>
      <c r="P35" s="5" t="str">
        <f>IF(ISBLANK(Лист1!P35),"",Лист1!P35)</f>
        <v>130</v>
      </c>
      <c r="Q35" s="5" t="str">
        <f>IF(ISBLANK(Лист1!Q35),"",Лист1!Q35)</f>
        <v>Ахметова  Ақерке  Мухамедқызы</v>
      </c>
      <c r="R35" s="5" t="str">
        <f>IF(ISBLANK(Лист1!R35),"",Лист1!R35)</f>
        <v>образования</v>
      </c>
      <c r="S35" s="5" t="str">
        <f>IF(ISBLANK(Лист1!S35),"",Лист1!S35)</f>
        <v>"6B01705 - Иностранный язык: два иностранных языка (английский)", В018-Подготовка учителей иностранного языка</v>
      </c>
      <c r="T35" s="5" t="str">
        <f>IF(ISBLANK(Лист1!T35),"",Лист1!T35)</f>
        <v>очное</v>
      </c>
      <c r="U35" s="5" t="str">
        <f>IF(ISBLANK(Лист1!U35),"",Лист1!U35)</f>
        <v/>
      </c>
      <c r="V35" s="5" t="str">
        <f>IF(ISBLANK(Лист1!V35),"",Лист1!V35)</f>
        <v>28</v>
      </c>
      <c r="W35" s="5" t="str">
        <f>IF(ISBLANK(Лист1!W35),"",Лист1!W35)</f>
        <v>маусым</v>
      </c>
      <c r="X35" s="5" t="str">
        <f>IF(ISBLANK(Лист1!X35),"",Лист1!X35)</f>
        <v>040127600949</v>
      </c>
      <c r="Y35" s="5" t="str">
        <f>IF(ISERROR(VLOOKUP($X35,Лист2!$A$2:$G$498,1,FALSE)),"",VLOOKUP($X35,Лист2!$A$2:$G$498,1,FALSE))</f>
        <v>040127600949</v>
      </c>
      <c r="Z35" s="5" t="str">
        <f>IF(ISERROR(VLOOKUP($X35,Лист2!$A$2:$L$498,9,FALSE)),"",VLOOKUP($X35,Лист2!$A$2:$L$498,9,FALSE))</f>
        <v>BD</v>
      </c>
      <c r="AA35" s="5" t="str">
        <f>IF(ISERROR(VLOOKUP($X35,Лист2!$A$2:$L$498,10,FALSE)),"",VLOOKUP($X35,Лист2!$A$2:$L$498,10,FALSE))</f>
        <v>00025628225</v>
      </c>
      <c r="AB35" s="5" t="str">
        <f>IF(ISERROR(VLOOKUP($X35,Лист2!$A$2:$M$498,13,FALSE)),"",VLOOKUP($X35,Лист2!$A$2:$M$498,13,FALSE))</f>
        <v>https://epvo.kz/#/verification_education_document?iin=040127600949&amp;diplomaSeries=BD&amp;diplomaNumber=00025628225</v>
      </c>
    </row>
    <row r="36" spans="1:28" x14ac:dyDescent="0.25">
      <c r="A36" s="5" t="str">
        <f>IF(ISBLANK(Лист1!A36),"",Лист1!A36)</f>
        <v>21</v>
      </c>
      <c r="B36" s="5" t="str">
        <f>IF(ISBLANK(Лист1!B36),"",Лист1!B36)</f>
        <v>маусымдағы</v>
      </c>
      <c r="C36" s="5" t="str">
        <f>IF(ISBLANK(Лист1!C36),"",Лист1!C36)</f>
        <v>06</v>
      </c>
      <c r="D36" s="5" t="str">
        <f>IF(ISBLANK(Лист1!D36),"",Лист1!D36)</f>
        <v>Ашкенов  Диас  Даулетовичке</v>
      </c>
      <c r="E36" s="5" t="str">
        <f>IF(ISBLANK(Лист1!E36),"",Лист1!E36)</f>
        <v>"6В01705 - Шетел тілі: екі шетел тілі (ағылшын)", В018-Шет тілі мұғалімдерін даярлау</v>
      </c>
      <c r="F36" s="5" t="str">
        <f>IF(ISBLANK(Лист1!F36),"",Лист1!F36)</f>
        <v>білім</v>
      </c>
      <c r="G36" s="5" t="str">
        <f>IF(ISBLANK(Лист1!G36),"",Лист1!G36)</f>
        <v>күндізгі</v>
      </c>
      <c r="H36" s="5" t="str">
        <f>IF(ISBLANK(Лист1!H36),"",Лист1!H36)</f>
        <v>Ashkenov  Dias</v>
      </c>
      <c r="I36" s="5" t="str">
        <f>IF(ISBLANK(Лист1!I36),"",Лист1!I36)</f>
        <v>Education</v>
      </c>
      <c r="J36" s="5" t="str">
        <f>IF(ISBLANK(Лист1!J36),"",Лист1!J36)</f>
        <v>"6B01705 - Foreign language: two foreign languages (English)", B018-Training of foreign language teachers</v>
      </c>
      <c r="K36" s="5" t="str">
        <f>IF(ISBLANK(Лист1!K36),"",Лист1!K36)</f>
        <v>full-time</v>
      </c>
      <c r="L36" s="5" t="str">
        <f>IF(ISBLANK(Лист1!L36),"",Лист1!L36)</f>
        <v>21</v>
      </c>
      <c r="M36" s="5" t="str">
        <f>IF(ISBLANK(Лист1!M36),"",Лист1!M36)</f>
        <v>June</v>
      </c>
      <c r="N36" s="5" t="str">
        <f>IF(ISBLANK(Лист1!N36),"",Лист1!N36)</f>
        <v>21</v>
      </c>
      <c r="O36" s="5" t="str">
        <f>IF(ISBLANK(Лист1!O36),"",Лист1!O36)</f>
        <v>июня</v>
      </c>
      <c r="P36" s="5" t="str">
        <f>IF(ISBLANK(Лист1!P36),"",Лист1!P36)</f>
        <v>06</v>
      </c>
      <c r="Q36" s="5" t="str">
        <f>IF(ISBLANK(Лист1!Q36),"",Лист1!Q36)</f>
        <v>Ашкенову  Диасу  Даулетовичу</v>
      </c>
      <c r="R36" s="5" t="str">
        <f>IF(ISBLANK(Лист1!R36),"",Лист1!R36)</f>
        <v>образования</v>
      </c>
      <c r="S36" s="5" t="str">
        <f>IF(ISBLANK(Лист1!S36),"",Лист1!S36)</f>
        <v>"6B01705 - Иностранный язык: два иностранных языка (английский)", В018-Подготовка учителей иностранного языка</v>
      </c>
      <c r="T36" s="5" t="str">
        <f>IF(ISBLANK(Лист1!T36),"",Лист1!T36)</f>
        <v>очное</v>
      </c>
      <c r="U36" s="5" t="str">
        <f>IF(ISBLANK(Лист1!U36),"",Лист1!U36)</f>
        <v/>
      </c>
      <c r="V36" s="5" t="str">
        <f>IF(ISBLANK(Лист1!V36),"",Лист1!V36)</f>
        <v>28</v>
      </c>
      <c r="W36" s="5" t="str">
        <f>IF(ISBLANK(Лист1!W36),"",Лист1!W36)</f>
        <v>маусым</v>
      </c>
      <c r="X36" s="5" t="str">
        <f>IF(ISBLANK(Лист1!X36),"",Лист1!X36)</f>
        <v>041122550151</v>
      </c>
      <c r="Y36" s="5" t="str">
        <f>IF(ISERROR(VLOOKUP($X36,Лист2!$A$2:$G$498,1,FALSE)),"",VLOOKUP($X36,Лист2!$A$2:$G$498,1,FALSE))</f>
        <v>041122550151</v>
      </c>
      <c r="Z36" s="5" t="str">
        <f>IF(ISERROR(VLOOKUP($X36,Лист2!$A$2:$L$498,9,FALSE)),"",VLOOKUP($X36,Лист2!$A$2:$L$498,9,FALSE))</f>
        <v>BD</v>
      </c>
      <c r="AA36" s="5" t="str">
        <f>IF(ISERROR(VLOOKUP($X36,Лист2!$A$2:$L$498,10,FALSE)),"",VLOOKUP($X36,Лист2!$A$2:$L$498,10,FALSE))</f>
        <v>00025628325</v>
      </c>
      <c r="AB36" s="5" t="str">
        <f>IF(ISERROR(VLOOKUP($X36,Лист2!$A$2:$M$498,13,FALSE)),"",VLOOKUP($X36,Лист2!$A$2:$M$498,13,FALSE))</f>
        <v>https://epvo.kz/#/verification_education_document?iin=041122550151&amp;diplomaSeries=BD&amp;diplomaNumber=00025628325</v>
      </c>
    </row>
    <row r="37" spans="1:28" x14ac:dyDescent="0.25">
      <c r="A37" s="5" t="str">
        <f>IF(ISBLANK(Лист1!A37),"",Лист1!A37)</f>
        <v>21</v>
      </c>
      <c r="B37" s="5" t="str">
        <f>IF(ISBLANK(Лист1!B37),"",Лист1!B37)</f>
        <v>маусымдағы</v>
      </c>
      <c r="C37" s="5" t="str">
        <f>IF(ISBLANK(Лист1!C37),"",Лист1!C37)</f>
        <v>07</v>
      </c>
      <c r="D37" s="5" t="str">
        <f>IF(ISBLANK(Лист1!D37),"",Лист1!D37)</f>
        <v>Ашықбек  Гүлсезім  Асылқызына</v>
      </c>
      <c r="E37" s="5" t="str">
        <f>IF(ISBLANK(Лист1!E37),"",Лист1!E37)</f>
        <v>"6В01705 - Шетел тілі: екі шетел тілі (ағылшын)", В018-Шет тілі мұғалімдерін даярлау</v>
      </c>
      <c r="F37" s="5" t="str">
        <f>IF(ISBLANK(Лист1!F37),"",Лист1!F37)</f>
        <v>білім</v>
      </c>
      <c r="G37" s="5" t="str">
        <f>IF(ISBLANK(Лист1!G37),"",Лист1!G37)</f>
        <v>күндізгі</v>
      </c>
      <c r="H37" s="5" t="str">
        <f>IF(ISBLANK(Лист1!H37),"",Лист1!H37)</f>
        <v>Ashykbek  Gulsezim</v>
      </c>
      <c r="I37" s="5" t="str">
        <f>IF(ISBLANK(Лист1!I37),"",Лист1!I37)</f>
        <v>Education</v>
      </c>
      <c r="J37" s="5" t="str">
        <f>IF(ISBLANK(Лист1!J37),"",Лист1!J37)</f>
        <v>"6B01705 - Foreign language: two foreign languages (English)", B018-Training of foreign language teachers</v>
      </c>
      <c r="K37" s="5" t="str">
        <f>IF(ISBLANK(Лист1!K37),"",Лист1!K37)</f>
        <v>full-time</v>
      </c>
      <c r="L37" s="5" t="str">
        <f>IF(ISBLANK(Лист1!L37),"",Лист1!L37)</f>
        <v>21</v>
      </c>
      <c r="M37" s="5" t="str">
        <f>IF(ISBLANK(Лист1!M37),"",Лист1!M37)</f>
        <v>June</v>
      </c>
      <c r="N37" s="5" t="str">
        <f>IF(ISBLANK(Лист1!N37),"",Лист1!N37)</f>
        <v>21</v>
      </c>
      <c r="O37" s="5" t="str">
        <f>IF(ISBLANK(Лист1!O37),"",Лист1!O37)</f>
        <v>июня</v>
      </c>
      <c r="P37" s="5" t="str">
        <f>IF(ISBLANK(Лист1!P37),"",Лист1!P37)</f>
        <v>07</v>
      </c>
      <c r="Q37" s="5" t="str">
        <f>IF(ISBLANK(Лист1!Q37),"",Лист1!Q37)</f>
        <v>Ашықбек  Гүлсезім  Асылқызы</v>
      </c>
      <c r="R37" s="5" t="str">
        <f>IF(ISBLANK(Лист1!R37),"",Лист1!R37)</f>
        <v>образования</v>
      </c>
      <c r="S37" s="5" t="str">
        <f>IF(ISBLANK(Лист1!S37),"",Лист1!S37)</f>
        <v>"6B01705 - Иностранный язык: два иностранных языка (английский)", В018-Подготовка учителей иностранного языка</v>
      </c>
      <c r="T37" s="5" t="str">
        <f>IF(ISBLANK(Лист1!T37),"",Лист1!T37)</f>
        <v>очное</v>
      </c>
      <c r="U37" s="5" t="str">
        <f>IF(ISBLANK(Лист1!U37),"",Лист1!U37)</f>
        <v/>
      </c>
      <c r="V37" s="5" t="str">
        <f>IF(ISBLANK(Лист1!V37),"",Лист1!V37)</f>
        <v>28</v>
      </c>
      <c r="W37" s="5" t="str">
        <f>IF(ISBLANK(Лист1!W37),"",Лист1!W37)</f>
        <v>маусым</v>
      </c>
      <c r="X37" s="5" t="str">
        <f>IF(ISBLANK(Лист1!X37),"",Лист1!X37)</f>
        <v>030824600887</v>
      </c>
      <c r="Y37" s="5" t="str">
        <f>IF(ISERROR(VLOOKUP($X37,Лист2!$A$2:$G$498,1,FALSE)),"",VLOOKUP($X37,Лист2!$A$2:$G$498,1,FALSE))</f>
        <v>030824600887</v>
      </c>
      <c r="Z37" s="5" t="str">
        <f>IF(ISERROR(VLOOKUP($X37,Лист2!$A$2:$L$498,9,FALSE)),"",VLOOKUP($X37,Лист2!$A$2:$L$498,9,FALSE))</f>
        <v>BD</v>
      </c>
      <c r="AA37" s="5" t="str">
        <f>IF(ISERROR(VLOOKUP($X37,Лист2!$A$2:$L$498,10,FALSE)),"",VLOOKUP($X37,Лист2!$A$2:$L$498,10,FALSE))</f>
        <v>00025628425</v>
      </c>
      <c r="AB37" s="5" t="str">
        <f>IF(ISERROR(VLOOKUP($X37,Лист2!$A$2:$M$498,13,FALSE)),"",VLOOKUP($X37,Лист2!$A$2:$M$498,13,FALSE))</f>
        <v>https://epvo.kz/#/verification_education_document?iin=030824600887&amp;diplomaSeries=BD&amp;diplomaNumber=00025628425</v>
      </c>
    </row>
    <row r="38" spans="1:28" x14ac:dyDescent="0.25">
      <c r="A38" s="5" t="str">
        <f>IF(ISBLANK(Лист1!A38),"",Лист1!A38)</f>
        <v>21</v>
      </c>
      <c r="B38" s="5" t="str">
        <f>IF(ISBLANK(Лист1!B38),"",Лист1!B38)</f>
        <v>маусымдағы</v>
      </c>
      <c r="C38" s="5" t="str">
        <f>IF(ISBLANK(Лист1!C38),"",Лист1!C38)</f>
        <v>228</v>
      </c>
      <c r="D38" s="5" t="str">
        <f>IF(ISBLANK(Лист1!D38),"",Лист1!D38)</f>
        <v>Бақытбек  Фарида  Мұханбетжанқызына</v>
      </c>
      <c r="E38" s="5" t="str">
        <f>IF(ISBLANK(Лист1!E38),"",Лист1!E38)</f>
        <v>"6В01705 - Шетел тілі: екі шетел тілі (ағылшын)", В018-Шет тілі мұғалімдерін даярлау</v>
      </c>
      <c r="F38" s="5" t="str">
        <f>IF(ISBLANK(Лист1!F38),"",Лист1!F38)</f>
        <v>білім</v>
      </c>
      <c r="G38" s="5" t="str">
        <f>IF(ISBLANK(Лист1!G38),"",Лист1!G38)</f>
        <v>күндізгі</v>
      </c>
      <c r="H38" s="5" t="str">
        <f>IF(ISBLANK(Лист1!H38),"",Лист1!H38)</f>
        <v>Bakytbek  Farida</v>
      </c>
      <c r="I38" s="5" t="str">
        <f>IF(ISBLANK(Лист1!I38),"",Лист1!I38)</f>
        <v>Education</v>
      </c>
      <c r="J38" s="5" t="str">
        <f>IF(ISBLANK(Лист1!J38),"",Лист1!J38)</f>
        <v>"6B01705 - Foreign language: two foreign languages (English)", B018-Training of foreign language teachers</v>
      </c>
      <c r="K38" s="5" t="str">
        <f>IF(ISBLANK(Лист1!K38),"",Лист1!K38)</f>
        <v>full-time</v>
      </c>
      <c r="L38" s="5" t="str">
        <f>IF(ISBLANK(Лист1!L38),"",Лист1!L38)</f>
        <v>21</v>
      </c>
      <c r="M38" s="5" t="str">
        <f>IF(ISBLANK(Лист1!M38),"",Лист1!M38)</f>
        <v>June</v>
      </c>
      <c r="N38" s="5" t="str">
        <f>IF(ISBLANK(Лист1!N38),"",Лист1!N38)</f>
        <v>21</v>
      </c>
      <c r="O38" s="5" t="str">
        <f>IF(ISBLANK(Лист1!O38),"",Лист1!O38)</f>
        <v>июня</v>
      </c>
      <c r="P38" s="5" t="str">
        <f>IF(ISBLANK(Лист1!P38),"",Лист1!P38)</f>
        <v>228</v>
      </c>
      <c r="Q38" s="5" t="str">
        <f>IF(ISBLANK(Лист1!Q38),"",Лист1!Q38)</f>
        <v>Бақытбек  Фарида  Мұханбетжанқызы</v>
      </c>
      <c r="R38" s="5" t="str">
        <f>IF(ISBLANK(Лист1!R38),"",Лист1!R38)</f>
        <v>образования</v>
      </c>
      <c r="S38" s="5" t="str">
        <f>IF(ISBLANK(Лист1!S38),"",Лист1!S38)</f>
        <v>"6B01705 - Иностранный язык: два иностранных языка (английский)", В018-Подготовка учителей иностранного языка</v>
      </c>
      <c r="T38" s="5" t="str">
        <f>IF(ISBLANK(Лист1!T38),"",Лист1!T38)</f>
        <v>очное</v>
      </c>
      <c r="U38" s="5" t="str">
        <f>IF(ISBLANK(Лист1!U38),"",Лист1!U38)</f>
        <v/>
      </c>
      <c r="V38" s="5" t="str">
        <f>IF(ISBLANK(Лист1!V38),"",Лист1!V38)</f>
        <v>28</v>
      </c>
      <c r="W38" s="5" t="str">
        <f>IF(ISBLANK(Лист1!W38),"",Лист1!W38)</f>
        <v>маусым</v>
      </c>
      <c r="X38" s="5" t="str">
        <f>IF(ISBLANK(Лист1!X38),"",Лист1!X38)</f>
        <v>040524600838</v>
      </c>
      <c r="Y38" s="5" t="str">
        <f>IF(ISERROR(VLOOKUP($X38,Лист2!$A$2:$G$498,1,FALSE)),"",VLOOKUP($X38,Лист2!$A$2:$G$498,1,FALSE))</f>
        <v>040524600838</v>
      </c>
      <c r="Z38" s="5" t="str">
        <f>IF(ISERROR(VLOOKUP($X38,Лист2!$A$2:$L$498,9,FALSE)),"",VLOOKUP($X38,Лист2!$A$2:$L$498,9,FALSE))</f>
        <v>BD</v>
      </c>
      <c r="AA38" s="5" t="str">
        <f>IF(ISERROR(VLOOKUP($X38,Лист2!$A$2:$L$498,10,FALSE)),"",VLOOKUP($X38,Лист2!$A$2:$L$498,10,FALSE))</f>
        <v>00025631225</v>
      </c>
      <c r="AB38" s="5" t="str">
        <f>IF(ISERROR(VLOOKUP($X38,Лист2!$A$2:$M$498,13,FALSE)),"",VLOOKUP($X38,Лист2!$A$2:$M$498,13,FALSE))</f>
        <v>https://epvo.kz/#/verification_education_document?iin=040524600838&amp;diplomaSeries=BD&amp;diplomaNumber=00025631225</v>
      </c>
    </row>
    <row r="39" spans="1:28" x14ac:dyDescent="0.25">
      <c r="A39" s="5" t="str">
        <f>IF(ISBLANK(Лист1!A39),"",Лист1!A39)</f>
        <v>21</v>
      </c>
      <c r="B39" s="5" t="str">
        <f>IF(ISBLANK(Лист1!B39),"",Лист1!B39)</f>
        <v>маусымдағы</v>
      </c>
      <c r="C39" s="5" t="str">
        <f>IF(ISBLANK(Лист1!C39),"",Лист1!C39)</f>
        <v>17</v>
      </c>
      <c r="D39" s="5" t="str">
        <f>IF(ISBLANK(Лист1!D39),"",Лист1!D39)</f>
        <v>Балтабаева  Анель  Садуакасовнаға</v>
      </c>
      <c r="E39" s="5" t="str">
        <f>IF(ISBLANK(Лист1!E39),"",Лист1!E39)</f>
        <v>"6В01705 - Шетел тілі: екі шетел тілі (ағылшын)", В018-Шет тілі мұғалімдерін даярлау</v>
      </c>
      <c r="F39" s="5" t="str">
        <f>IF(ISBLANK(Лист1!F39),"",Лист1!F39)</f>
        <v>білім</v>
      </c>
      <c r="G39" s="5" t="str">
        <f>IF(ISBLANK(Лист1!G39),"",Лист1!G39)</f>
        <v>күндізгі</v>
      </c>
      <c r="H39" s="5" t="str">
        <f>IF(ISBLANK(Лист1!H39),"",Лист1!H39)</f>
        <v>Baltabayeva  Anel</v>
      </c>
      <c r="I39" s="5" t="str">
        <f>IF(ISBLANK(Лист1!I39),"",Лист1!I39)</f>
        <v>Education</v>
      </c>
      <c r="J39" s="5" t="str">
        <f>IF(ISBLANK(Лист1!J39),"",Лист1!J39)</f>
        <v>"6B01705 - Foreign language: two foreign languages (English)", B018-Training of foreign language teachers</v>
      </c>
      <c r="K39" s="5" t="str">
        <f>IF(ISBLANK(Лист1!K39),"",Лист1!K39)</f>
        <v>full-time</v>
      </c>
      <c r="L39" s="5" t="str">
        <f>IF(ISBLANK(Лист1!L39),"",Лист1!L39)</f>
        <v>21</v>
      </c>
      <c r="M39" s="5" t="str">
        <f>IF(ISBLANK(Лист1!M39),"",Лист1!M39)</f>
        <v>June</v>
      </c>
      <c r="N39" s="5" t="str">
        <f>IF(ISBLANK(Лист1!N39),"",Лист1!N39)</f>
        <v>21</v>
      </c>
      <c r="O39" s="5" t="str">
        <f>IF(ISBLANK(Лист1!O39),"",Лист1!O39)</f>
        <v>июня</v>
      </c>
      <c r="P39" s="5" t="str">
        <f>IF(ISBLANK(Лист1!P39),"",Лист1!P39)</f>
        <v>17</v>
      </c>
      <c r="Q39" s="5" t="str">
        <f>IF(ISBLANK(Лист1!Q39),"",Лист1!Q39)</f>
        <v>Балтабаевой  Анель  Садуакасовне</v>
      </c>
      <c r="R39" s="5" t="str">
        <f>IF(ISBLANK(Лист1!R39),"",Лист1!R39)</f>
        <v>образования</v>
      </c>
      <c r="S39" s="5" t="str">
        <f>IF(ISBLANK(Лист1!S39),"",Лист1!S39)</f>
        <v>"6B01705 - Иностранный язык: два иностранных языка (английский)", В018-Подготовка учителей иностранного языка</v>
      </c>
      <c r="T39" s="5" t="str">
        <f>IF(ISBLANK(Лист1!T39),"",Лист1!T39)</f>
        <v>очное</v>
      </c>
      <c r="U39" s="5" t="str">
        <f>IF(ISBLANK(Лист1!U39),"",Лист1!U39)</f>
        <v/>
      </c>
      <c r="V39" s="5" t="str">
        <f>IF(ISBLANK(Лист1!V39),"",Лист1!V39)</f>
        <v>28</v>
      </c>
      <c r="W39" s="5" t="str">
        <f>IF(ISBLANK(Лист1!W39),"",Лист1!W39)</f>
        <v>маусым</v>
      </c>
      <c r="X39" s="5" t="str">
        <f>IF(ISBLANK(Лист1!X39),"",Лист1!X39)</f>
        <v>040416651568</v>
      </c>
      <c r="Y39" s="5" t="str">
        <f>IF(ISERROR(VLOOKUP($X39,Лист2!$A$2:$G$498,1,FALSE)),"",VLOOKUP($X39,Лист2!$A$2:$G$498,1,FALSE))</f>
        <v>040416651568</v>
      </c>
      <c r="Z39" s="5" t="str">
        <f>IF(ISERROR(VLOOKUP($X39,Лист2!$A$2:$L$498,9,FALSE)),"",VLOOKUP($X39,Лист2!$A$2:$L$498,9,FALSE))</f>
        <v>BD</v>
      </c>
      <c r="AA39" s="5" t="str">
        <f>IF(ISERROR(VLOOKUP($X39,Лист2!$A$2:$L$498,10,FALSE)),"",VLOOKUP($X39,Лист2!$A$2:$L$498,10,FALSE))</f>
        <v>00025631325</v>
      </c>
      <c r="AB39" s="5" t="str">
        <f>IF(ISERROR(VLOOKUP($X39,Лист2!$A$2:$M$498,13,FALSE)),"",VLOOKUP($X39,Лист2!$A$2:$M$498,13,FALSE))</f>
        <v>https://epvo.kz/#/verification_education_document?iin=040416651568&amp;diplomaSeries=BD&amp;diplomaNumber=00025631325</v>
      </c>
    </row>
    <row r="40" spans="1:28" x14ac:dyDescent="0.25">
      <c r="A40" s="5" t="str">
        <f>IF(ISBLANK(Лист1!A40),"",Лист1!A40)</f>
        <v>21</v>
      </c>
      <c r="B40" s="5" t="str">
        <f>IF(ISBLANK(Лист1!B40),"",Лист1!B40)</f>
        <v>маусымдағы</v>
      </c>
      <c r="C40" s="5" t="str">
        <f>IF(ISBLANK(Лист1!C40),"",Лист1!C40)</f>
        <v>18</v>
      </c>
      <c r="D40" s="5" t="str">
        <f>IF(ISBLANK(Лист1!D40),"",Лист1!D40)</f>
        <v>Балтабаева  Асель  Садуакасовнаға</v>
      </c>
      <c r="E40" s="5" t="str">
        <f>IF(ISBLANK(Лист1!E40),"",Лист1!E40)</f>
        <v>"6В01705 - Шетел тілі: екі шетел тілі (ағылшын)", В018-Шет тілі мұғалімдерін даярлау</v>
      </c>
      <c r="F40" s="5" t="str">
        <f>IF(ISBLANK(Лист1!F40),"",Лист1!F40)</f>
        <v>білім</v>
      </c>
      <c r="G40" s="5" t="str">
        <f>IF(ISBLANK(Лист1!G40),"",Лист1!G40)</f>
        <v>күндізгі</v>
      </c>
      <c r="H40" s="5" t="str">
        <f>IF(ISBLANK(Лист1!H40),"",Лист1!H40)</f>
        <v>Baltabayeva  Assel</v>
      </c>
      <c r="I40" s="5" t="str">
        <f>IF(ISBLANK(Лист1!I40),"",Лист1!I40)</f>
        <v>Education</v>
      </c>
      <c r="J40" s="5" t="str">
        <f>IF(ISBLANK(Лист1!J40),"",Лист1!J40)</f>
        <v>"6B01705 - Foreign language: two foreign languages (English)", B018-Training of foreign language teachers</v>
      </c>
      <c r="K40" s="5" t="str">
        <f>IF(ISBLANK(Лист1!K40),"",Лист1!K40)</f>
        <v>full-time</v>
      </c>
      <c r="L40" s="5" t="str">
        <f>IF(ISBLANK(Лист1!L40),"",Лист1!L40)</f>
        <v>21</v>
      </c>
      <c r="M40" s="5" t="str">
        <f>IF(ISBLANK(Лист1!M40),"",Лист1!M40)</f>
        <v>June</v>
      </c>
      <c r="N40" s="5" t="str">
        <f>IF(ISBLANK(Лист1!N40),"",Лист1!N40)</f>
        <v>21</v>
      </c>
      <c r="O40" s="5" t="str">
        <f>IF(ISBLANK(Лист1!O40),"",Лист1!O40)</f>
        <v>июня</v>
      </c>
      <c r="P40" s="5" t="str">
        <f>IF(ISBLANK(Лист1!P40),"",Лист1!P40)</f>
        <v>18</v>
      </c>
      <c r="Q40" s="5" t="str">
        <f>IF(ISBLANK(Лист1!Q40),"",Лист1!Q40)</f>
        <v>Балтабаевой Асель  Садуакасовне</v>
      </c>
      <c r="R40" s="5" t="str">
        <f>IF(ISBLANK(Лист1!R40),"",Лист1!R40)</f>
        <v>образования</v>
      </c>
      <c r="S40" s="5" t="str">
        <f>IF(ISBLANK(Лист1!S40),"",Лист1!S40)</f>
        <v>"6B01705 - Иностранный язык: два иностранных языка (английский)", В018-Подготовка учителей иностранного языка</v>
      </c>
      <c r="T40" s="5" t="str">
        <f>IF(ISBLANK(Лист1!T40),"",Лист1!T40)</f>
        <v>очное</v>
      </c>
      <c r="U40" s="5" t="str">
        <f>IF(ISBLANK(Лист1!U40),"",Лист1!U40)</f>
        <v/>
      </c>
      <c r="V40" s="5" t="str">
        <f>IF(ISBLANK(Лист1!V40),"",Лист1!V40)</f>
        <v>28</v>
      </c>
      <c r="W40" s="5" t="str">
        <f>IF(ISBLANK(Лист1!W40),"",Лист1!W40)</f>
        <v>маусым</v>
      </c>
      <c r="X40" s="5" t="str">
        <f>IF(ISBLANK(Лист1!X40),"",Лист1!X40)</f>
        <v>040416651558</v>
      </c>
      <c r="Y40" s="5" t="str">
        <f>IF(ISERROR(VLOOKUP($X40,Лист2!$A$2:$G$498,1,FALSE)),"",VLOOKUP($X40,Лист2!$A$2:$G$498,1,FALSE))</f>
        <v>040416651558</v>
      </c>
      <c r="Z40" s="5" t="str">
        <f>IF(ISERROR(VLOOKUP($X40,Лист2!$A$2:$L$498,9,FALSE)),"",VLOOKUP($X40,Лист2!$A$2:$L$498,9,FALSE))</f>
        <v>BD</v>
      </c>
      <c r="AA40" s="5" t="str">
        <f>IF(ISERROR(VLOOKUP($X40,Лист2!$A$2:$L$498,10,FALSE)),"",VLOOKUP($X40,Лист2!$A$2:$L$498,10,FALSE))</f>
        <v>00025631625</v>
      </c>
      <c r="AB40" s="5" t="str">
        <f>IF(ISERROR(VLOOKUP($X40,Лист2!$A$2:$M$498,13,FALSE)),"",VLOOKUP($X40,Лист2!$A$2:$M$498,13,FALSE))</f>
        <v>https://epvo.kz/#/verification_education_document?iin=040416651558&amp;diplomaSeries=BD&amp;diplomaNumber=00025631625</v>
      </c>
    </row>
    <row r="41" spans="1:28" x14ac:dyDescent="0.25">
      <c r="A41" s="5" t="str">
        <f>IF(ISBLANK(Лист1!A41),"",Лист1!A41)</f>
        <v>21</v>
      </c>
      <c r="B41" s="5" t="str">
        <f>IF(ISBLANK(Лист1!B41),"",Лист1!B41)</f>
        <v>маусымдағы</v>
      </c>
      <c r="C41" s="5" t="str">
        <f>IF(ISBLANK(Лист1!C41),"",Лист1!C41)</f>
        <v>156</v>
      </c>
      <c r="D41" s="5" t="str">
        <f>IF(ISBLANK(Лист1!D41),"",Лист1!D41)</f>
        <v>Бахраева  Алтынай  Дуйсембаевнаға</v>
      </c>
      <c r="E41" s="5" t="str">
        <f>IF(ISBLANK(Лист1!E41),"",Лист1!E41)</f>
        <v>"6В01705 - Шетел тілі: екі шетел тілі (ағылшын)", В018-Шет тілі мұғалімдерін даярлау</v>
      </c>
      <c r="F41" s="5" t="str">
        <f>IF(ISBLANK(Лист1!F41),"",Лист1!F41)</f>
        <v>білім</v>
      </c>
      <c r="G41" s="5" t="str">
        <f>IF(ISBLANK(Лист1!G41),"",Лист1!G41)</f>
        <v>күндізгі</v>
      </c>
      <c r="H41" s="5" t="str">
        <f>IF(ISBLANK(Лист1!H41),"",Лист1!H41)</f>
        <v>Bakhrayeva  Altynay</v>
      </c>
      <c r="I41" s="5" t="str">
        <f>IF(ISBLANK(Лист1!I41),"",Лист1!I41)</f>
        <v>Education</v>
      </c>
      <c r="J41" s="5" t="str">
        <f>IF(ISBLANK(Лист1!J41),"",Лист1!J41)</f>
        <v>"6B01705 - Foreign language: two foreign languages (English)", B018-Training of foreign language teachers</v>
      </c>
      <c r="K41" s="5" t="str">
        <f>IF(ISBLANK(Лист1!K41),"",Лист1!K41)</f>
        <v>full-time</v>
      </c>
      <c r="L41" s="5" t="str">
        <f>IF(ISBLANK(Лист1!L41),"",Лист1!L41)</f>
        <v>21</v>
      </c>
      <c r="M41" s="5" t="str">
        <f>IF(ISBLANK(Лист1!M41),"",Лист1!M41)</f>
        <v>June</v>
      </c>
      <c r="N41" s="5" t="str">
        <f>IF(ISBLANK(Лист1!N41),"",Лист1!N41)</f>
        <v>21</v>
      </c>
      <c r="O41" s="5" t="str">
        <f>IF(ISBLANK(Лист1!O41),"",Лист1!O41)</f>
        <v>июня</v>
      </c>
      <c r="P41" s="5" t="str">
        <f>IF(ISBLANK(Лист1!P41),"",Лист1!P41)</f>
        <v>156</v>
      </c>
      <c r="Q41" s="5" t="str">
        <f>IF(ISBLANK(Лист1!Q41),"",Лист1!Q41)</f>
        <v>Бахраевой  Алтынай  Дуйсембаевне</v>
      </c>
      <c r="R41" s="5" t="str">
        <f>IF(ISBLANK(Лист1!R41),"",Лист1!R41)</f>
        <v>образования</v>
      </c>
      <c r="S41" s="5" t="str">
        <f>IF(ISBLANK(Лист1!S41),"",Лист1!S41)</f>
        <v>"6B01705 - Иностранный язык: два иностранных языка (английский)", В018-Подготовка учителей иностранного языка</v>
      </c>
      <c r="T41" s="5" t="str">
        <f>IF(ISBLANK(Лист1!T41),"",Лист1!T41)</f>
        <v>очное</v>
      </c>
      <c r="U41" s="5" t="str">
        <f>IF(ISBLANK(Лист1!U41),"",Лист1!U41)</f>
        <v/>
      </c>
      <c r="V41" s="5" t="str">
        <f>IF(ISBLANK(Лист1!V41),"",Лист1!V41)</f>
        <v>28</v>
      </c>
      <c r="W41" s="5" t="str">
        <f>IF(ISBLANK(Лист1!W41),"",Лист1!W41)</f>
        <v>маусым</v>
      </c>
      <c r="X41" s="5" t="str">
        <f>IF(ISBLANK(Лист1!X41),"",Лист1!X41)</f>
        <v>010406651419</v>
      </c>
      <c r="Y41" s="5" t="str">
        <f>IF(ISERROR(VLOOKUP($X41,Лист2!$A$2:$G$498,1,FALSE)),"",VLOOKUP($X41,Лист2!$A$2:$G$498,1,FALSE))</f>
        <v>010406651419</v>
      </c>
      <c r="Z41" s="5" t="str">
        <f>IF(ISERROR(VLOOKUP($X41,Лист2!$A$2:$L$498,9,FALSE)),"",VLOOKUP($X41,Лист2!$A$2:$L$498,9,FALSE))</f>
        <v>BD</v>
      </c>
      <c r="AA41" s="5" t="str">
        <f>IF(ISERROR(VLOOKUP($X41,Лист2!$A$2:$L$498,10,FALSE)),"",VLOOKUP($X41,Лист2!$A$2:$L$498,10,FALSE))</f>
        <v>00025632825</v>
      </c>
      <c r="AB41" s="5" t="str">
        <f>IF(ISERROR(VLOOKUP($X41,Лист2!$A$2:$M$498,13,FALSE)),"",VLOOKUP($X41,Лист2!$A$2:$M$498,13,FALSE))</f>
        <v>https://epvo.kz/#/verification_education_document?iin=010406651419&amp;diplomaSeries=BD&amp;diplomaNumber=00025632825</v>
      </c>
    </row>
    <row r="42" spans="1:28" x14ac:dyDescent="0.25">
      <c r="A42" s="5" t="str">
        <f>IF(ISBLANK(Лист1!A42),"",Лист1!A42)</f>
        <v>21</v>
      </c>
      <c r="B42" s="5" t="str">
        <f>IF(ISBLANK(Лист1!B42),"",Лист1!B42)</f>
        <v>маусымдағы</v>
      </c>
      <c r="C42" s="5" t="str">
        <f>IF(ISBLANK(Лист1!C42),"",Лист1!C42)</f>
        <v>08</v>
      </c>
      <c r="D42" s="5" t="str">
        <f>IF(ISBLANK(Лист1!D42),"",Лист1!D42)</f>
        <v>Бахытқызы  Аружанға</v>
      </c>
      <c r="E42" s="5" t="str">
        <f>IF(ISBLANK(Лист1!E42),"",Лист1!E42)</f>
        <v>"6В01705 - Шетел тілі: екі шетел тілі (ағылшын)", В018-Шет тілі мұғалімдерін даярлау</v>
      </c>
      <c r="F42" s="5" t="str">
        <f>IF(ISBLANK(Лист1!F42),"",Лист1!F42)</f>
        <v>білім</v>
      </c>
      <c r="G42" s="5" t="str">
        <f>IF(ISBLANK(Лист1!G42),"",Лист1!G42)</f>
        <v>күндізгі</v>
      </c>
      <c r="H42" s="5" t="str">
        <f>IF(ISBLANK(Лист1!H42),"",Лист1!H42)</f>
        <v>Bakytkyzy  Aruzhan</v>
      </c>
      <c r="I42" s="5" t="str">
        <f>IF(ISBLANK(Лист1!I42),"",Лист1!I42)</f>
        <v>Education</v>
      </c>
      <c r="J42" s="5" t="str">
        <f>IF(ISBLANK(Лист1!J42),"",Лист1!J42)</f>
        <v>"6B01705 - Foreign language: two foreign languages (English)", B018-Training of foreign language teachers</v>
      </c>
      <c r="K42" s="5" t="str">
        <f>IF(ISBLANK(Лист1!K42),"",Лист1!K42)</f>
        <v>full-time</v>
      </c>
      <c r="L42" s="5" t="str">
        <f>IF(ISBLANK(Лист1!L42),"",Лист1!L42)</f>
        <v>21</v>
      </c>
      <c r="M42" s="5" t="str">
        <f>IF(ISBLANK(Лист1!M42),"",Лист1!M42)</f>
        <v>June</v>
      </c>
      <c r="N42" s="5" t="str">
        <f>IF(ISBLANK(Лист1!N42),"",Лист1!N42)</f>
        <v>21</v>
      </c>
      <c r="O42" s="5" t="str">
        <f>IF(ISBLANK(Лист1!O42),"",Лист1!O42)</f>
        <v>июня</v>
      </c>
      <c r="P42" s="5" t="str">
        <f>IF(ISBLANK(Лист1!P42),"",Лист1!P42)</f>
        <v>08</v>
      </c>
      <c r="Q42" s="5" t="str">
        <f>IF(ISBLANK(Лист1!Q42),"",Лист1!Q42)</f>
        <v xml:space="preserve">Бахытқызы  Аружан  </v>
      </c>
      <c r="R42" s="5" t="str">
        <f>IF(ISBLANK(Лист1!R42),"",Лист1!R42)</f>
        <v>образования</v>
      </c>
      <c r="S42" s="5" t="str">
        <f>IF(ISBLANK(Лист1!S42),"",Лист1!S42)</f>
        <v>"6B01705 - Иностранный язык: два иностранных языка (английский)", В018-Подготовка учителей иностранного языка</v>
      </c>
      <c r="T42" s="5" t="str">
        <f>IF(ISBLANK(Лист1!T42),"",Лист1!T42)</f>
        <v>очное</v>
      </c>
      <c r="U42" s="5" t="str">
        <f>IF(ISBLANK(Лист1!U42),"",Лист1!U42)</f>
        <v/>
      </c>
      <c r="V42" s="5" t="str">
        <f>IF(ISBLANK(Лист1!V42),"",Лист1!V42)</f>
        <v>28</v>
      </c>
      <c r="W42" s="5" t="str">
        <f>IF(ISBLANK(Лист1!W42),"",Лист1!W42)</f>
        <v>маусым</v>
      </c>
      <c r="X42" s="5" t="str">
        <f>IF(ISBLANK(Лист1!X42),"",Лист1!X42)</f>
        <v>040105600473</v>
      </c>
      <c r="Y42" s="5" t="str">
        <f>IF(ISERROR(VLOOKUP($X42,Лист2!$A$2:$G$498,1,FALSE)),"",VLOOKUP($X42,Лист2!$A$2:$G$498,1,FALSE))</f>
        <v>040105600473</v>
      </c>
      <c r="Z42" s="5" t="str">
        <f>IF(ISERROR(VLOOKUP($X42,Лист2!$A$2:$L$498,9,FALSE)),"",VLOOKUP($X42,Лист2!$A$2:$L$498,9,FALSE))</f>
        <v>BD</v>
      </c>
      <c r="AA42" s="5" t="str">
        <f>IF(ISERROR(VLOOKUP($X42,Лист2!$A$2:$L$498,10,FALSE)),"",VLOOKUP($X42,Лист2!$A$2:$L$498,10,FALSE))</f>
        <v>00025632925</v>
      </c>
      <c r="AB42" s="5" t="str">
        <f>IF(ISERROR(VLOOKUP($X42,Лист2!$A$2:$M$498,13,FALSE)),"",VLOOKUP($X42,Лист2!$A$2:$M$498,13,FALSE))</f>
        <v>https://epvo.kz/#/verification_education_document?iin=040105600473&amp;diplomaSeries=BD&amp;diplomaNumber=00025632925</v>
      </c>
    </row>
    <row r="43" spans="1:28" x14ac:dyDescent="0.25">
      <c r="A43" s="5" t="str">
        <f>IF(ISBLANK(Лист1!A43),"",Лист1!A43)</f>
        <v>21</v>
      </c>
      <c r="B43" s="5" t="str">
        <f>IF(ISBLANK(Лист1!B43),"",Лист1!B43)</f>
        <v>маусымдағы</v>
      </c>
      <c r="C43" s="5" t="str">
        <f>IF(ISBLANK(Лист1!C43),"",Лист1!C43)</f>
        <v>11</v>
      </c>
      <c r="D43" s="5" t="str">
        <f>IF(ISBLANK(Лист1!D43),"",Лист1!D43)</f>
        <v>Бегенжан  Айбек  Екшенбайұлына</v>
      </c>
      <c r="E43" s="5" t="str">
        <f>IF(ISBLANK(Лист1!E43),"",Лист1!E43)</f>
        <v>"6В01705 - Шетел тілі: екі шетел тілі (ағылшын)", В018-Шет тілі мұғалімдерін даярлау</v>
      </c>
      <c r="F43" s="5" t="str">
        <f>IF(ISBLANK(Лист1!F43),"",Лист1!F43)</f>
        <v>білім</v>
      </c>
      <c r="G43" s="5" t="str">
        <f>IF(ISBLANK(Лист1!G43),"",Лист1!G43)</f>
        <v>күндізгі</v>
      </c>
      <c r="H43" s="5" t="str">
        <f>IF(ISBLANK(Лист1!H43),"",Лист1!H43)</f>
        <v>Begenzhan  Aibek</v>
      </c>
      <c r="I43" s="5" t="str">
        <f>IF(ISBLANK(Лист1!I43),"",Лист1!I43)</f>
        <v>Education</v>
      </c>
      <c r="J43" s="5" t="str">
        <f>IF(ISBLANK(Лист1!J43),"",Лист1!J43)</f>
        <v>"6B01705 - Foreign language: two foreign languages (English)", B018-Training of foreign language teachers</v>
      </c>
      <c r="K43" s="5" t="str">
        <f>IF(ISBLANK(Лист1!K43),"",Лист1!K43)</f>
        <v>full-time</v>
      </c>
      <c r="L43" s="5" t="str">
        <f>IF(ISBLANK(Лист1!L43),"",Лист1!L43)</f>
        <v>21</v>
      </c>
      <c r="M43" s="5" t="str">
        <f>IF(ISBLANK(Лист1!M43),"",Лист1!M43)</f>
        <v>June</v>
      </c>
      <c r="N43" s="5" t="str">
        <f>IF(ISBLANK(Лист1!N43),"",Лист1!N43)</f>
        <v>21</v>
      </c>
      <c r="O43" s="5" t="str">
        <f>IF(ISBLANK(Лист1!O43),"",Лист1!O43)</f>
        <v>июня</v>
      </c>
      <c r="P43" s="5" t="str">
        <f>IF(ISBLANK(Лист1!P43),"",Лист1!P43)</f>
        <v>11</v>
      </c>
      <c r="Q43" s="5" t="str">
        <f>IF(ISBLANK(Лист1!Q43),"",Лист1!Q43)</f>
        <v>Бегенжан  Айбек  Екшенбайұлы</v>
      </c>
      <c r="R43" s="5" t="str">
        <f>IF(ISBLANK(Лист1!R43),"",Лист1!R43)</f>
        <v>образования</v>
      </c>
      <c r="S43" s="5" t="str">
        <f>IF(ISBLANK(Лист1!S43),"",Лист1!S43)</f>
        <v>"6B01705 - Иностранный язык: два иностранных языка (английский)", В018-Подготовка учителей иностранного языка</v>
      </c>
      <c r="T43" s="5" t="str">
        <f>IF(ISBLANK(Лист1!T43),"",Лист1!T43)</f>
        <v>очное</v>
      </c>
      <c r="U43" s="5" t="str">
        <f>IF(ISBLANK(Лист1!U43),"",Лист1!U43)</f>
        <v/>
      </c>
      <c r="V43" s="5" t="str">
        <f>IF(ISBLANK(Лист1!V43),"",Лист1!V43)</f>
        <v>28</v>
      </c>
      <c r="W43" s="5" t="str">
        <f>IF(ISBLANK(Лист1!W43),"",Лист1!W43)</f>
        <v>маусым</v>
      </c>
      <c r="X43" s="5" t="str">
        <f>IF(ISBLANK(Лист1!X43),"",Лист1!X43)</f>
        <v>040808501744</v>
      </c>
      <c r="Y43" s="5" t="str">
        <f>IF(ISERROR(VLOOKUP($X43,Лист2!$A$2:$G$498,1,FALSE)),"",VLOOKUP($X43,Лист2!$A$2:$G$498,1,FALSE))</f>
        <v>040808501744</v>
      </c>
      <c r="Z43" s="5" t="str">
        <f>IF(ISERROR(VLOOKUP($X43,Лист2!$A$2:$L$498,9,FALSE)),"",VLOOKUP($X43,Лист2!$A$2:$L$498,9,FALSE))</f>
        <v>BD</v>
      </c>
      <c r="AA43" s="5" t="str">
        <f>IF(ISERROR(VLOOKUP($X43,Лист2!$A$2:$L$498,10,FALSE)),"",VLOOKUP($X43,Лист2!$A$2:$L$498,10,FALSE))</f>
        <v>00025633025</v>
      </c>
      <c r="AB43" s="5" t="str">
        <f>IF(ISERROR(VLOOKUP($X43,Лист2!$A$2:$M$498,13,FALSE)),"",VLOOKUP($X43,Лист2!$A$2:$M$498,13,FALSE))</f>
        <v>https://epvo.kz/#/verification_education_document?iin=040808501744&amp;diplomaSeries=BD&amp;diplomaNumber=00025633025</v>
      </c>
    </row>
    <row r="44" spans="1:28" x14ac:dyDescent="0.25">
      <c r="A44" s="5" t="str">
        <f>IF(ISBLANK(Лист1!A44),"",Лист1!A44)</f>
        <v>21</v>
      </c>
      <c r="B44" s="5" t="str">
        <f>IF(ISBLANK(Лист1!B44),"",Лист1!B44)</f>
        <v>маусымдағы</v>
      </c>
      <c r="C44" s="5" t="str">
        <f>IF(ISBLANK(Лист1!C44),"",Лист1!C44)</f>
        <v>12</v>
      </c>
      <c r="D44" s="5" t="str">
        <f>IF(ISBLANK(Лист1!D44),"",Лист1!D44)</f>
        <v>Белоусова  Карина  Денисовнаға</v>
      </c>
      <c r="E44" s="5" t="str">
        <f>IF(ISBLANK(Лист1!E44),"",Лист1!E44)</f>
        <v>"6В01705 - Шетел тілі: екі шетел тілі (ағылшын)", В018-Шет тілі мұғалімдерін даярлау</v>
      </c>
      <c r="F44" s="5" t="str">
        <f>IF(ISBLANK(Лист1!F44),"",Лист1!F44)</f>
        <v>білім</v>
      </c>
      <c r="G44" s="5" t="str">
        <f>IF(ISBLANK(Лист1!G44),"",Лист1!G44)</f>
        <v>күндізгі</v>
      </c>
      <c r="H44" s="5" t="str">
        <f>IF(ISBLANK(Лист1!H44),"",Лист1!H44)</f>
        <v>Beloussova  Karina</v>
      </c>
      <c r="I44" s="5" t="str">
        <f>IF(ISBLANK(Лист1!I44),"",Лист1!I44)</f>
        <v>Education</v>
      </c>
      <c r="J44" s="5" t="str">
        <f>IF(ISBLANK(Лист1!J44),"",Лист1!J44)</f>
        <v>"6B01705 - Foreign language: two foreign languages (English)", B018-Training of foreign language teachers</v>
      </c>
      <c r="K44" s="5" t="str">
        <f>IF(ISBLANK(Лист1!K44),"",Лист1!K44)</f>
        <v>full-time</v>
      </c>
      <c r="L44" s="5" t="str">
        <f>IF(ISBLANK(Лист1!L44),"",Лист1!L44)</f>
        <v>21</v>
      </c>
      <c r="M44" s="5" t="str">
        <f>IF(ISBLANK(Лист1!M44),"",Лист1!M44)</f>
        <v>June</v>
      </c>
      <c r="N44" s="5" t="str">
        <f>IF(ISBLANK(Лист1!N44),"",Лист1!N44)</f>
        <v>21</v>
      </c>
      <c r="O44" s="5" t="str">
        <f>IF(ISBLANK(Лист1!O44),"",Лист1!O44)</f>
        <v>июня</v>
      </c>
      <c r="P44" s="5" t="str">
        <f>IF(ISBLANK(Лист1!P44),"",Лист1!P44)</f>
        <v>12</v>
      </c>
      <c r="Q44" s="5" t="str">
        <f>IF(ISBLANK(Лист1!Q44),"",Лист1!Q44)</f>
        <v>Белоусовой  Карине  Денисовне</v>
      </c>
      <c r="R44" s="5" t="str">
        <f>IF(ISBLANK(Лист1!R44),"",Лист1!R44)</f>
        <v>образования</v>
      </c>
      <c r="S44" s="5" t="str">
        <f>IF(ISBLANK(Лист1!S44),"",Лист1!S44)</f>
        <v>"6B01705 - Иностранный язык: два иностранных языка (английский)", В018-Подготовка учителей иностранного языка</v>
      </c>
      <c r="T44" s="5" t="str">
        <f>IF(ISBLANK(Лист1!T44),"",Лист1!T44)</f>
        <v>очное</v>
      </c>
      <c r="U44" s="5" t="str">
        <f>IF(ISBLANK(Лист1!U44),"",Лист1!U44)</f>
        <v/>
      </c>
      <c r="V44" s="5" t="str">
        <f>IF(ISBLANK(Лист1!V44),"",Лист1!V44)</f>
        <v>28</v>
      </c>
      <c r="W44" s="5" t="str">
        <f>IF(ISBLANK(Лист1!W44),"",Лист1!W44)</f>
        <v>маусым</v>
      </c>
      <c r="X44" s="5" t="str">
        <f>IF(ISBLANK(Лист1!X44),"",Лист1!X44)</f>
        <v>030704650901</v>
      </c>
      <c r="Y44" s="5" t="str">
        <f>IF(ISERROR(VLOOKUP($X44,Лист2!$A$2:$G$498,1,FALSE)),"",VLOOKUP($X44,Лист2!$A$2:$G$498,1,FALSE))</f>
        <v>030704650901</v>
      </c>
      <c r="Z44" s="5" t="str">
        <f>IF(ISERROR(VLOOKUP($X44,Лист2!$A$2:$L$498,9,FALSE)),"",VLOOKUP($X44,Лист2!$A$2:$L$498,9,FALSE))</f>
        <v>BD</v>
      </c>
      <c r="AA44" s="5" t="str">
        <f>IF(ISERROR(VLOOKUP($X44,Лист2!$A$2:$L$498,10,FALSE)),"",VLOOKUP($X44,Лист2!$A$2:$L$498,10,FALSE))</f>
        <v>00025695725</v>
      </c>
      <c r="AB44" s="5" t="str">
        <f>IF(ISERROR(VLOOKUP($X44,Лист2!$A$2:$M$498,13,FALSE)),"",VLOOKUP($X44,Лист2!$A$2:$M$498,13,FALSE))</f>
        <v>https://epvo.kz/#/verification_education_document?iin=030704650901&amp;diplomaSeries=BD&amp;diplomaNumber=00025695725</v>
      </c>
    </row>
    <row r="45" spans="1:28" x14ac:dyDescent="0.25">
      <c r="A45" s="5" t="str">
        <f>IF(ISBLANK(Лист1!A45),"",Лист1!A45)</f>
        <v>21</v>
      </c>
      <c r="B45" s="5" t="str">
        <f>IF(ISBLANK(Лист1!B45),"",Лист1!B45)</f>
        <v>маусымдағы</v>
      </c>
      <c r="C45" s="5" t="str">
        <f>IF(ISBLANK(Лист1!C45),"",Лист1!C45)</f>
        <v>12</v>
      </c>
      <c r="D45" s="5" t="str">
        <f>IF(ISBLANK(Лист1!D45),"",Лист1!D45)</f>
        <v>Беркинбай  Камила  Султанқызына</v>
      </c>
      <c r="E45" s="5" t="str">
        <f>IF(ISBLANK(Лист1!E45),"",Лист1!E45)</f>
        <v>"6В01705 - Шетел тілі: екі шетел тілі (ағылшын)", В018-Шет тілі мұғалімдерін даярлау</v>
      </c>
      <c r="F45" s="5" t="str">
        <f>IF(ISBLANK(Лист1!F45),"",Лист1!F45)</f>
        <v>білім</v>
      </c>
      <c r="G45" s="5" t="str">
        <f>IF(ISBLANK(Лист1!G45),"",Лист1!G45)</f>
        <v>күндізгі</v>
      </c>
      <c r="H45" s="5" t="str">
        <f>IF(ISBLANK(Лист1!H45),"",Лист1!H45)</f>
        <v>Berkinbay  Kamila</v>
      </c>
      <c r="I45" s="5" t="str">
        <f>IF(ISBLANK(Лист1!I45),"",Лист1!I45)</f>
        <v>Education</v>
      </c>
      <c r="J45" s="5" t="str">
        <f>IF(ISBLANK(Лист1!J45),"",Лист1!J45)</f>
        <v>"6B01705 - Foreign language: two foreign languages (English)", B018-Training of foreign language teachers</v>
      </c>
      <c r="K45" s="5" t="str">
        <f>IF(ISBLANK(Лист1!K45),"",Лист1!K45)</f>
        <v>full-time</v>
      </c>
      <c r="L45" s="5" t="str">
        <f>IF(ISBLANK(Лист1!L45),"",Лист1!L45)</f>
        <v>21</v>
      </c>
      <c r="M45" s="5" t="str">
        <f>IF(ISBLANK(Лист1!M45),"",Лист1!M45)</f>
        <v>June</v>
      </c>
      <c r="N45" s="5" t="str">
        <f>IF(ISBLANK(Лист1!N45),"",Лист1!N45)</f>
        <v>21</v>
      </c>
      <c r="O45" s="5" t="str">
        <f>IF(ISBLANK(Лист1!O45),"",Лист1!O45)</f>
        <v>июня</v>
      </c>
      <c r="P45" s="5" t="str">
        <f>IF(ISBLANK(Лист1!P45),"",Лист1!P45)</f>
        <v>12</v>
      </c>
      <c r="Q45" s="5" t="str">
        <f>IF(ISBLANK(Лист1!Q45),"",Лист1!Q45)</f>
        <v>Беркинбай  Камила  Султанқызы</v>
      </c>
      <c r="R45" s="5" t="str">
        <f>IF(ISBLANK(Лист1!R45),"",Лист1!R45)</f>
        <v>образования</v>
      </c>
      <c r="S45" s="5" t="str">
        <f>IF(ISBLANK(Лист1!S45),"",Лист1!S45)</f>
        <v>"6B01705 - Иностранный язык: два иностранных языка (английский)", В018-Подготовка учителей иностранного языка</v>
      </c>
      <c r="T45" s="5" t="str">
        <f>IF(ISBLANK(Лист1!T45),"",Лист1!T45)</f>
        <v>очное</v>
      </c>
      <c r="U45" s="5" t="str">
        <f>IF(ISBLANK(Лист1!U45),"",Лист1!U45)</f>
        <v/>
      </c>
      <c r="V45" s="5" t="str">
        <f>IF(ISBLANK(Лист1!V45),"",Лист1!V45)</f>
        <v>28</v>
      </c>
      <c r="W45" s="5" t="str">
        <f>IF(ISBLANK(Лист1!W45),"",Лист1!W45)</f>
        <v>маусым</v>
      </c>
      <c r="X45" s="5" t="str">
        <f>IF(ISBLANK(Лист1!X45),"",Лист1!X45)</f>
        <v>040329601678</v>
      </c>
      <c r="Y45" s="5" t="str">
        <f>IF(ISERROR(VLOOKUP($X45,Лист2!$A$2:$G$498,1,FALSE)),"",VLOOKUP($X45,Лист2!$A$2:$G$498,1,FALSE))</f>
        <v>040329601678</v>
      </c>
      <c r="Z45" s="5" t="str">
        <f>IF(ISERROR(VLOOKUP($X45,Лист2!$A$2:$L$498,9,FALSE)),"",VLOOKUP($X45,Лист2!$A$2:$L$498,9,FALSE))</f>
        <v>BD</v>
      </c>
      <c r="AA45" s="5" t="str">
        <f>IF(ISERROR(VLOOKUP($X45,Лист2!$A$2:$L$498,10,FALSE)),"",VLOOKUP($X45,Лист2!$A$2:$L$498,10,FALSE))</f>
        <v>00025695825</v>
      </c>
      <c r="AB45" s="5" t="str">
        <f>IF(ISERROR(VLOOKUP($X45,Лист2!$A$2:$M$498,13,FALSE)),"",VLOOKUP($X45,Лист2!$A$2:$M$498,13,FALSE))</f>
        <v>https://epvo.kz/#/verification_education_document?iin=040329601678&amp;diplomaSeries=BD&amp;diplomaNumber=00025695825</v>
      </c>
    </row>
    <row r="46" spans="1:28" x14ac:dyDescent="0.25">
      <c r="A46" s="5" t="str">
        <f>IF(ISBLANK(Лист1!A46),"",Лист1!A46)</f>
        <v>21</v>
      </c>
      <c r="B46" s="5" t="str">
        <f>IF(ISBLANK(Лист1!B46),"",Лист1!B46)</f>
        <v>маусымдағы</v>
      </c>
      <c r="C46" s="5" t="str">
        <f>IF(ISBLANK(Лист1!C46),"",Лист1!C46)</f>
        <v>13</v>
      </c>
      <c r="D46" s="5" t="str">
        <f>IF(ISBLANK(Лист1!D46),"",Лист1!D46)</f>
        <v>Болатбек  Айгерім  Болатбекқызына</v>
      </c>
      <c r="E46" s="5" t="str">
        <f>IF(ISBLANK(Лист1!E46),"",Лист1!E46)</f>
        <v>"6В01705 - Шетел тілі: екі шетел тілі (ағылшын)", В018-Шет тілі мұғалімдерін даярлау</v>
      </c>
      <c r="F46" s="5" t="str">
        <f>IF(ISBLANK(Лист1!F46),"",Лист1!F46)</f>
        <v>білім</v>
      </c>
      <c r="G46" s="5" t="str">
        <f>IF(ISBLANK(Лист1!G46),"",Лист1!G46)</f>
        <v>күндізгі</v>
      </c>
      <c r="H46" s="5" t="str">
        <f>IF(ISBLANK(Лист1!H46),"",Лист1!H46)</f>
        <v>Bolatbek  Aigerim</v>
      </c>
      <c r="I46" s="5" t="str">
        <f>IF(ISBLANK(Лист1!I46),"",Лист1!I46)</f>
        <v>Education</v>
      </c>
      <c r="J46" s="5" t="str">
        <f>IF(ISBLANK(Лист1!J46),"",Лист1!J46)</f>
        <v>"6B01705 - Foreign language: two foreign languages (English)", B018-Training of foreign language teachers</v>
      </c>
      <c r="K46" s="5" t="str">
        <f>IF(ISBLANK(Лист1!K46),"",Лист1!K46)</f>
        <v>full-time</v>
      </c>
      <c r="L46" s="5" t="str">
        <f>IF(ISBLANK(Лист1!L46),"",Лист1!L46)</f>
        <v>21</v>
      </c>
      <c r="M46" s="5" t="str">
        <f>IF(ISBLANK(Лист1!M46),"",Лист1!M46)</f>
        <v>June</v>
      </c>
      <c r="N46" s="5" t="str">
        <f>IF(ISBLANK(Лист1!N46),"",Лист1!N46)</f>
        <v>21</v>
      </c>
      <c r="O46" s="5" t="str">
        <f>IF(ISBLANK(Лист1!O46),"",Лист1!O46)</f>
        <v>июня</v>
      </c>
      <c r="P46" s="5" t="str">
        <f>IF(ISBLANK(Лист1!P46),"",Лист1!P46)</f>
        <v>13</v>
      </c>
      <c r="Q46" s="5" t="str">
        <f>IF(ISBLANK(Лист1!Q46),"",Лист1!Q46)</f>
        <v>Болатбек  Айгерім  Болатбекқызы</v>
      </c>
      <c r="R46" s="5" t="str">
        <f>IF(ISBLANK(Лист1!R46),"",Лист1!R46)</f>
        <v>образования</v>
      </c>
      <c r="S46" s="5" t="str">
        <f>IF(ISBLANK(Лист1!S46),"",Лист1!S46)</f>
        <v>"6B01705 - Иностранный язык: два иностранных языка (английский)", В018-Подготовка учителей иностранного языка</v>
      </c>
      <c r="T46" s="5" t="str">
        <f>IF(ISBLANK(Лист1!T46),"",Лист1!T46)</f>
        <v>очное</v>
      </c>
      <c r="U46" s="5" t="str">
        <f>IF(ISBLANK(Лист1!U46),"",Лист1!U46)</f>
        <v/>
      </c>
      <c r="V46" s="5" t="str">
        <f>IF(ISBLANK(Лист1!V46),"",Лист1!V46)</f>
        <v>28</v>
      </c>
      <c r="W46" s="5" t="str">
        <f>IF(ISBLANK(Лист1!W46),"",Лист1!W46)</f>
        <v>маусым</v>
      </c>
      <c r="X46" s="5" t="str">
        <f>IF(ISBLANK(Лист1!X46),"",Лист1!X46)</f>
        <v>040323600786</v>
      </c>
      <c r="Y46" s="5" t="str">
        <f>IF(ISERROR(VLOOKUP($X46,Лист2!$A$2:$G$498,1,FALSE)),"",VLOOKUP($X46,Лист2!$A$2:$G$498,1,FALSE))</f>
        <v>040323600786</v>
      </c>
      <c r="Z46" s="5" t="str">
        <f>IF(ISERROR(VLOOKUP($X46,Лист2!$A$2:$L$498,9,FALSE)),"",VLOOKUP($X46,Лист2!$A$2:$L$498,9,FALSE))</f>
        <v>BD</v>
      </c>
      <c r="AA46" s="5" t="str">
        <f>IF(ISERROR(VLOOKUP($X46,Лист2!$A$2:$L$498,10,FALSE)),"",VLOOKUP($X46,Лист2!$A$2:$L$498,10,FALSE))</f>
        <v>00025634825</v>
      </c>
      <c r="AB46" s="5" t="str">
        <f>IF(ISERROR(VLOOKUP($X46,Лист2!$A$2:$M$498,13,FALSE)),"",VLOOKUP($X46,Лист2!$A$2:$M$498,13,FALSE))</f>
        <v>https://epvo.kz/#/verification_education_document?iin=040323600786&amp;diplomaSeries=BD&amp;diplomaNumber=00025634825</v>
      </c>
    </row>
    <row r="47" spans="1:28" x14ac:dyDescent="0.25">
      <c r="A47" s="5" t="str">
        <f>IF(ISBLANK(Лист1!A47),"",Лист1!A47)</f>
        <v>21</v>
      </c>
      <c r="B47" s="5" t="str">
        <f>IF(ISBLANK(Лист1!B47),"",Лист1!B47)</f>
        <v>маусымдағы</v>
      </c>
      <c r="C47" s="5" t="str">
        <f>IF(ISBLANK(Лист1!C47),"",Лист1!C47)</f>
        <v>14</v>
      </c>
      <c r="D47" s="5" t="str">
        <f>IF(ISBLANK(Лист1!D47),"",Лист1!D47)</f>
        <v>Боранбай  Дариға  Манатқызы</v>
      </c>
      <c r="E47" s="5" t="str">
        <f>IF(ISBLANK(Лист1!E47),"",Лист1!E47)</f>
        <v>"6В01705 - Шетел тілі: екі шетел тілі (ағылшын)", В018-Шет тілі мұғалімдерін даярлау</v>
      </c>
      <c r="F47" s="5" t="str">
        <f>IF(ISBLANK(Лист1!F47),"",Лист1!F47)</f>
        <v>білім</v>
      </c>
      <c r="G47" s="5" t="str">
        <f>IF(ISBLANK(Лист1!G47),"",Лист1!G47)</f>
        <v>күндізгі</v>
      </c>
      <c r="H47" s="5" t="str">
        <f>IF(ISBLANK(Лист1!H47),"",Лист1!H47)</f>
        <v>Boranbay  Dariga</v>
      </c>
      <c r="I47" s="5" t="str">
        <f>IF(ISBLANK(Лист1!I47),"",Лист1!I47)</f>
        <v>Education</v>
      </c>
      <c r="J47" s="5" t="str">
        <f>IF(ISBLANK(Лист1!J47),"",Лист1!J47)</f>
        <v>"6B01705 - Foreign language: two foreign languages (English)", B018-Training of foreign language teachers</v>
      </c>
      <c r="K47" s="5" t="str">
        <f>IF(ISBLANK(Лист1!K47),"",Лист1!K47)</f>
        <v>full-time</v>
      </c>
      <c r="L47" s="5" t="str">
        <f>IF(ISBLANK(Лист1!L47),"",Лист1!L47)</f>
        <v>21</v>
      </c>
      <c r="M47" s="5" t="str">
        <f>IF(ISBLANK(Лист1!M47),"",Лист1!M47)</f>
        <v>June</v>
      </c>
      <c r="N47" s="5" t="str">
        <f>IF(ISBLANK(Лист1!N47),"",Лист1!N47)</f>
        <v>21</v>
      </c>
      <c r="O47" s="5" t="str">
        <f>IF(ISBLANK(Лист1!O47),"",Лист1!O47)</f>
        <v>июня</v>
      </c>
      <c r="P47" s="5" t="str">
        <f>IF(ISBLANK(Лист1!P47),"",Лист1!P47)</f>
        <v>14</v>
      </c>
      <c r="Q47" s="5" t="str">
        <f>IF(ISBLANK(Лист1!Q47),"",Лист1!Q47)</f>
        <v>Боранбай  Дариға  Манатқызы</v>
      </c>
      <c r="R47" s="5" t="str">
        <f>IF(ISBLANK(Лист1!R47),"",Лист1!R47)</f>
        <v>образования</v>
      </c>
      <c r="S47" s="5" t="str">
        <f>IF(ISBLANK(Лист1!S47),"",Лист1!S47)</f>
        <v>"6B01705 - Иностранный язык: два иностранных языка (английский)", В018-Подготовка учителей иностранного языка</v>
      </c>
      <c r="T47" s="5" t="str">
        <f>IF(ISBLANK(Лист1!T47),"",Лист1!T47)</f>
        <v>очное</v>
      </c>
      <c r="U47" s="5" t="str">
        <f>IF(ISBLANK(Лист1!U47),"",Лист1!U47)</f>
        <v/>
      </c>
      <c r="V47" s="5" t="str">
        <f>IF(ISBLANK(Лист1!V47),"",Лист1!V47)</f>
        <v>28</v>
      </c>
      <c r="W47" s="5" t="str">
        <f>IF(ISBLANK(Лист1!W47),"",Лист1!W47)</f>
        <v>маусым</v>
      </c>
      <c r="X47" s="5" t="str">
        <f>IF(ISBLANK(Лист1!X47),"",Лист1!X47)</f>
        <v>031122601386</v>
      </c>
      <c r="Y47" s="5" t="str">
        <f>IF(ISERROR(VLOOKUP($X47,Лист2!$A$2:$G$498,1,FALSE)),"",VLOOKUP($X47,Лист2!$A$2:$G$498,1,FALSE))</f>
        <v>031122601386</v>
      </c>
      <c r="Z47" s="5" t="str">
        <f>IF(ISERROR(VLOOKUP($X47,Лист2!$A$2:$L$498,9,FALSE)),"",VLOOKUP($X47,Лист2!$A$2:$L$498,9,FALSE))</f>
        <v>BD</v>
      </c>
      <c r="AA47" s="5" t="str">
        <f>IF(ISERROR(VLOOKUP($X47,Лист2!$A$2:$L$498,10,FALSE)),"",VLOOKUP($X47,Лист2!$A$2:$L$498,10,FALSE))</f>
        <v>00025634925</v>
      </c>
      <c r="AB47" s="5" t="str">
        <f>IF(ISERROR(VLOOKUP($X47,Лист2!$A$2:$M$498,13,FALSE)),"",VLOOKUP($X47,Лист2!$A$2:$M$498,13,FALSE))</f>
        <v>https://epvo.kz/#/verification_education_document?iin=031122601386&amp;diplomaSeries=BD&amp;diplomaNumber=00025634925</v>
      </c>
    </row>
    <row r="48" spans="1:28" x14ac:dyDescent="0.25">
      <c r="A48" s="5" t="str">
        <f>IF(ISBLANK(Лист1!A48),"",Лист1!A48)</f>
        <v>21</v>
      </c>
      <c r="B48" s="5" t="str">
        <f>IF(ISBLANK(Лист1!B48),"",Лист1!B48)</f>
        <v>маусымдағы</v>
      </c>
      <c r="C48" s="5" t="str">
        <f>IF(ISBLANK(Лист1!C48),"",Лист1!C48)</f>
        <v>97</v>
      </c>
      <c r="D48" s="5" t="str">
        <f>IF(ISBLANK(Лист1!D48),"",Лист1!D48)</f>
        <v>Ғабиденқызы  Ақжүніске</v>
      </c>
      <c r="E48" s="5" t="str">
        <f>IF(ISBLANK(Лист1!E48),"",Лист1!E48)</f>
        <v>"6В01705 - Шетел тілі: екі шетел тілі (ағылшын)", В018-Шет тілі мұғалімдерін даярлау</v>
      </c>
      <c r="F48" s="5" t="str">
        <f>IF(ISBLANK(Лист1!F48),"",Лист1!F48)</f>
        <v>білім</v>
      </c>
      <c r="G48" s="5" t="str">
        <f>IF(ISBLANK(Лист1!G48),"",Лист1!G48)</f>
        <v>күндізгі</v>
      </c>
      <c r="H48" s="5" t="str">
        <f>IF(ISBLANK(Лист1!H48),"",Лист1!H48)</f>
        <v>Gabidenkyzy  Akzhunis</v>
      </c>
      <c r="I48" s="5" t="str">
        <f>IF(ISBLANK(Лист1!I48),"",Лист1!I48)</f>
        <v>Education</v>
      </c>
      <c r="J48" s="5" t="str">
        <f>IF(ISBLANK(Лист1!J48),"",Лист1!J48)</f>
        <v>"6B01705 - Foreign language: two foreign languages (English)", B018-Training of foreign language teachers</v>
      </c>
      <c r="K48" s="5" t="str">
        <f>IF(ISBLANK(Лист1!K48),"",Лист1!K48)</f>
        <v>full-time</v>
      </c>
      <c r="L48" s="5" t="str">
        <f>IF(ISBLANK(Лист1!L48),"",Лист1!L48)</f>
        <v>21</v>
      </c>
      <c r="M48" s="5" t="str">
        <f>IF(ISBLANK(Лист1!M48),"",Лист1!M48)</f>
        <v>June</v>
      </c>
      <c r="N48" s="5" t="str">
        <f>IF(ISBLANK(Лист1!N48),"",Лист1!N48)</f>
        <v>21</v>
      </c>
      <c r="O48" s="5" t="str">
        <f>IF(ISBLANK(Лист1!O48),"",Лист1!O48)</f>
        <v>июня</v>
      </c>
      <c r="P48" s="5" t="str">
        <f>IF(ISBLANK(Лист1!P48),"",Лист1!P48)</f>
        <v>97</v>
      </c>
      <c r="Q48" s="5" t="str">
        <f>IF(ISBLANK(Лист1!Q48),"",Лист1!Q48)</f>
        <v xml:space="preserve">Ғабиденқызы  Ақжүніс  </v>
      </c>
      <c r="R48" s="5" t="str">
        <f>IF(ISBLANK(Лист1!R48),"",Лист1!R48)</f>
        <v>образования</v>
      </c>
      <c r="S48" s="5" t="str">
        <f>IF(ISBLANK(Лист1!S48),"",Лист1!S48)</f>
        <v>"6B01705 - Иностранный язык: два иностранных языка (английский)", В018-Подготовка учителей иностранного языка</v>
      </c>
      <c r="T48" s="5" t="str">
        <f>IF(ISBLANK(Лист1!T48),"",Лист1!T48)</f>
        <v>очное</v>
      </c>
      <c r="U48" s="5" t="str">
        <f>IF(ISBLANK(Лист1!U48),"",Лист1!U48)</f>
        <v/>
      </c>
      <c r="V48" s="5" t="str">
        <f>IF(ISBLANK(Лист1!V48),"",Лист1!V48)</f>
        <v>28</v>
      </c>
      <c r="W48" s="5" t="str">
        <f>IF(ISBLANK(Лист1!W48),"",Лист1!W48)</f>
        <v>маусым</v>
      </c>
      <c r="X48" s="5" t="str">
        <f>IF(ISBLANK(Лист1!X48),"",Лист1!X48)</f>
        <v>040628600962</v>
      </c>
      <c r="Y48" s="5" t="str">
        <f>IF(ISERROR(VLOOKUP($X48,Лист2!$A$2:$G$498,1,FALSE)),"",VLOOKUP($X48,Лист2!$A$2:$G$498,1,FALSE))</f>
        <v>040628600962</v>
      </c>
      <c r="Z48" s="5" t="str">
        <f>IF(ISERROR(VLOOKUP($X48,Лист2!$A$2:$L$498,9,FALSE)),"",VLOOKUP($X48,Лист2!$A$2:$L$498,9,FALSE))</f>
        <v>BD</v>
      </c>
      <c r="AA48" s="5" t="str">
        <f>IF(ISERROR(VLOOKUP($X48,Лист2!$A$2:$L$498,10,FALSE)),"",VLOOKUP($X48,Лист2!$A$2:$L$498,10,FALSE))</f>
        <v>00025635025</v>
      </c>
      <c r="AB48" s="5" t="str">
        <f>IF(ISERROR(VLOOKUP($X48,Лист2!$A$2:$M$498,13,FALSE)),"",VLOOKUP($X48,Лист2!$A$2:$M$498,13,FALSE))</f>
        <v>https://epvo.kz/#/verification_education_document?iin=040628600962&amp;diplomaSeries=BD&amp;diplomaNumber=00025635025</v>
      </c>
    </row>
    <row r="49" spans="1:28" x14ac:dyDescent="0.25">
      <c r="A49" s="5" t="str">
        <f>IF(ISBLANK(Лист1!A49),"",Лист1!A49)</f>
        <v>21</v>
      </c>
      <c r="B49" s="5" t="str">
        <f>IF(ISBLANK(Лист1!B49),"",Лист1!B49)</f>
        <v>маусымдағы</v>
      </c>
      <c r="C49" s="5" t="str">
        <f>IF(ISBLANK(Лист1!C49),"",Лист1!C49)</f>
        <v>231</v>
      </c>
      <c r="D49" s="5" t="str">
        <f>IF(ISBLANK(Лист1!D49),"",Лист1!D49)</f>
        <v>Гайыпова  Ұлбике  Багтжанқызына</v>
      </c>
      <c r="E49" s="5" t="str">
        <f>IF(ISBLANK(Лист1!E49),"",Лист1!E49)</f>
        <v>"6В01705 - Шетел тілі: екі шетел тілі (ағылшын)", В018-Шет тілі мұғалімдерін даярлау</v>
      </c>
      <c r="F49" s="5" t="str">
        <f>IF(ISBLANK(Лист1!F49),"",Лист1!F49)</f>
        <v>білім</v>
      </c>
      <c r="G49" s="5" t="str">
        <f>IF(ISBLANK(Лист1!G49),"",Лист1!G49)</f>
        <v>күндізгі</v>
      </c>
      <c r="H49" s="5" t="str">
        <f>IF(ISBLANK(Лист1!H49),"",Лист1!H49)</f>
        <v>Gaiypova  Ulbike</v>
      </c>
      <c r="I49" s="5" t="str">
        <f>IF(ISBLANK(Лист1!I49),"",Лист1!I49)</f>
        <v>Education</v>
      </c>
      <c r="J49" s="5" t="str">
        <f>IF(ISBLANK(Лист1!J49),"",Лист1!J49)</f>
        <v>"6B01705 - Foreign language: two foreign languages (English)", B018-Training of foreign language teachers</v>
      </c>
      <c r="K49" s="5" t="str">
        <f>IF(ISBLANK(Лист1!K49),"",Лист1!K49)</f>
        <v>full-time</v>
      </c>
      <c r="L49" s="5" t="str">
        <f>IF(ISBLANK(Лист1!L49),"",Лист1!L49)</f>
        <v>21</v>
      </c>
      <c r="M49" s="5" t="str">
        <f>IF(ISBLANK(Лист1!M49),"",Лист1!M49)</f>
        <v>June</v>
      </c>
      <c r="N49" s="5" t="str">
        <f>IF(ISBLANK(Лист1!N49),"",Лист1!N49)</f>
        <v>21</v>
      </c>
      <c r="O49" s="5" t="str">
        <f>IF(ISBLANK(Лист1!O49),"",Лист1!O49)</f>
        <v>июня</v>
      </c>
      <c r="P49" s="5" t="str">
        <f>IF(ISBLANK(Лист1!P49),"",Лист1!P49)</f>
        <v>231</v>
      </c>
      <c r="Q49" s="5" t="str">
        <f>IF(ISBLANK(Лист1!Q49),"",Лист1!Q49)</f>
        <v>Гайыпова  Ұлбике  Багтжанқызы</v>
      </c>
      <c r="R49" s="5" t="str">
        <f>IF(ISBLANK(Лист1!R49),"",Лист1!R49)</f>
        <v>образования</v>
      </c>
      <c r="S49" s="5" t="str">
        <f>IF(ISBLANK(Лист1!S49),"",Лист1!S49)</f>
        <v>"6B01705 - Иностранный язык: два иностранных языка (английский)", В018-Подготовка учителей иностранного языка</v>
      </c>
      <c r="T49" s="5" t="str">
        <f>IF(ISBLANK(Лист1!T49),"",Лист1!T49)</f>
        <v>очное</v>
      </c>
      <c r="U49" s="5" t="str">
        <f>IF(ISBLANK(Лист1!U49),"",Лист1!U49)</f>
        <v/>
      </c>
      <c r="V49" s="5" t="str">
        <f>IF(ISBLANK(Лист1!V49),"",Лист1!V49)</f>
        <v>28</v>
      </c>
      <c r="W49" s="5" t="str">
        <f>IF(ISBLANK(Лист1!W49),"",Лист1!W49)</f>
        <v>маусым</v>
      </c>
      <c r="X49" s="5" t="str">
        <f>IF(ISBLANK(Лист1!X49),"",Лист1!X49)</f>
        <v>040319600685</v>
      </c>
      <c r="Y49" s="5" t="str">
        <f>IF(ISERROR(VLOOKUP($X49,Лист2!$A$2:$G$498,1,FALSE)),"",VLOOKUP($X49,Лист2!$A$2:$G$498,1,FALSE))</f>
        <v>040319600685</v>
      </c>
      <c r="Z49" s="5" t="str">
        <f>IF(ISERROR(VLOOKUP($X49,Лист2!$A$2:$L$498,9,FALSE)),"",VLOOKUP($X49,Лист2!$A$2:$L$498,9,FALSE))</f>
        <v>BD</v>
      </c>
      <c r="AA49" s="5" t="str">
        <f>IF(ISERROR(VLOOKUP($X49,Лист2!$A$2:$L$498,10,FALSE)),"",VLOOKUP($X49,Лист2!$A$2:$L$498,10,FALSE))</f>
        <v>00025635125</v>
      </c>
      <c r="AB49" s="5" t="str">
        <f>IF(ISERROR(VLOOKUP($X49,Лист2!$A$2:$M$498,13,FALSE)),"",VLOOKUP($X49,Лист2!$A$2:$M$498,13,FALSE))</f>
        <v>https://epvo.kz/#/verification_education_document?iin=040319600685&amp;diplomaSeries=BD&amp;diplomaNumber=00025635125</v>
      </c>
    </row>
    <row r="50" spans="1:28" x14ac:dyDescent="0.25">
      <c r="A50" s="5" t="str">
        <f>IF(ISBLANK(Лист1!A50),"",Лист1!A50)</f>
        <v>21</v>
      </c>
      <c r="B50" s="5" t="str">
        <f>IF(ISBLANK(Лист1!B50),"",Лист1!B50)</f>
        <v>маусымдағы</v>
      </c>
      <c r="C50" s="5" t="str">
        <f>IF(ISBLANK(Лист1!C50),"",Лист1!C50)</f>
        <v>03</v>
      </c>
      <c r="D50" s="5" t="str">
        <f>IF(ISBLANK(Лист1!D50),"",Лист1!D50)</f>
        <v>Гиёева  Нигина  Бахрулаевнаға</v>
      </c>
      <c r="E50" s="5" t="str">
        <f>IF(ISBLANK(Лист1!E50),"",Лист1!E50)</f>
        <v>"6В01705 - Шетел тілі: екі шетел тілі (ағылшын)", В018-Шет тілі мұғалімдерін даярлау</v>
      </c>
      <c r="F50" s="5" t="str">
        <f>IF(ISBLANK(Лист1!F50),"",Лист1!F50)</f>
        <v>білім</v>
      </c>
      <c r="G50" s="5" t="str">
        <f>IF(ISBLANK(Лист1!G50),"",Лист1!G50)</f>
        <v>күндізгі</v>
      </c>
      <c r="H50" s="5" t="str">
        <f>IF(ISBLANK(Лист1!H50),"",Лист1!H50)</f>
        <v>Giyoeva  Nigina</v>
      </c>
      <c r="I50" s="5" t="str">
        <f>IF(ISBLANK(Лист1!I50),"",Лист1!I50)</f>
        <v>Education</v>
      </c>
      <c r="J50" s="5" t="str">
        <f>IF(ISBLANK(Лист1!J50),"",Лист1!J50)</f>
        <v>"6B01705 - Foreign language: two foreign languages (English)", B018-Training of foreign language teachers</v>
      </c>
      <c r="K50" s="5" t="str">
        <f>IF(ISBLANK(Лист1!K50),"",Лист1!K50)</f>
        <v>full-time</v>
      </c>
      <c r="L50" s="5" t="str">
        <f>IF(ISBLANK(Лист1!L50),"",Лист1!L50)</f>
        <v>21</v>
      </c>
      <c r="M50" s="5" t="str">
        <f>IF(ISBLANK(Лист1!M50),"",Лист1!M50)</f>
        <v>June</v>
      </c>
      <c r="N50" s="5" t="str">
        <f>IF(ISBLANK(Лист1!N50),"",Лист1!N50)</f>
        <v>21</v>
      </c>
      <c r="O50" s="5" t="str">
        <f>IF(ISBLANK(Лист1!O50),"",Лист1!O50)</f>
        <v>июня</v>
      </c>
      <c r="P50" s="5" t="str">
        <f>IF(ISBLANK(Лист1!P50),"",Лист1!P50)</f>
        <v>03</v>
      </c>
      <c r="Q50" s="5" t="str">
        <f>IF(ISBLANK(Лист1!Q50),"",Лист1!Q50)</f>
        <v>Гиёевой  Нигине  Бахрулаевне</v>
      </c>
      <c r="R50" s="5" t="str">
        <f>IF(ISBLANK(Лист1!R50),"",Лист1!R50)</f>
        <v>образования</v>
      </c>
      <c r="S50" s="5" t="str">
        <f>IF(ISBLANK(Лист1!S50),"",Лист1!S50)</f>
        <v>"6B01705 - Иностранный язык: два иностранных языка (английский)", В018-Подготовка учителей иностранного языка</v>
      </c>
      <c r="T50" s="5" t="str">
        <f>IF(ISBLANK(Лист1!T50),"",Лист1!T50)</f>
        <v>очное</v>
      </c>
      <c r="U50" s="5" t="str">
        <f>IF(ISBLANK(Лист1!U50),"",Лист1!U50)</f>
        <v/>
      </c>
      <c r="V50" s="5" t="str">
        <f>IF(ISBLANK(Лист1!V50),"",Лист1!V50)</f>
        <v>28</v>
      </c>
      <c r="W50" s="5" t="str">
        <f>IF(ISBLANK(Лист1!W50),"",Лист1!W50)</f>
        <v>маусым</v>
      </c>
      <c r="X50" s="5" t="str">
        <f>IF(ISBLANK(Лист1!X50),"",Лист1!X50)</f>
        <v>030315050223</v>
      </c>
      <c r="Y50" s="5" t="str">
        <f>IF(ISERROR(VLOOKUP($X50,Лист2!$A$2:$G$498,1,FALSE)),"",VLOOKUP($X50,Лист2!$A$2:$G$498,1,FALSE))</f>
        <v>030315050223</v>
      </c>
      <c r="Z50" s="5" t="str">
        <f>IF(ISERROR(VLOOKUP($X50,Лист2!$A$2:$L$498,9,FALSE)),"",VLOOKUP($X50,Лист2!$A$2:$L$498,9,FALSE))</f>
        <v>BD</v>
      </c>
      <c r="AA50" s="5" t="str">
        <f>IF(ISERROR(VLOOKUP($X50,Лист2!$A$2:$L$498,10,FALSE)),"",VLOOKUP($X50,Лист2!$A$2:$L$498,10,FALSE))</f>
        <v>00025635625</v>
      </c>
      <c r="AB50" s="5" t="str">
        <f>IF(ISERROR(VLOOKUP($X50,Лист2!$A$2:$M$498,13,FALSE)),"",VLOOKUP($X50,Лист2!$A$2:$M$498,13,FALSE))</f>
        <v>https://epvo.kz/#/verification_education_document?iin=030315050223&amp;diplomaSeries=BD&amp;diplomaNumber=00025635625</v>
      </c>
    </row>
    <row r="51" spans="1:28" x14ac:dyDescent="0.25">
      <c r="A51" s="5" t="str">
        <f>IF(ISBLANK(Лист1!A51),"",Лист1!A51)</f>
        <v>21</v>
      </c>
      <c r="B51" s="5" t="str">
        <f>IF(ISBLANK(Лист1!B51),"",Лист1!B51)</f>
        <v>маусымдағы</v>
      </c>
      <c r="C51" s="5" t="str">
        <f>IF(ISBLANK(Лист1!C51),"",Лист1!C51)</f>
        <v>04</v>
      </c>
      <c r="D51" s="5" t="str">
        <f>IF(ISBLANK(Лист1!D51),"",Лист1!D51)</f>
        <v>Гиеева  Сабина  Абдурасуловнаға</v>
      </c>
      <c r="E51" s="5" t="str">
        <f>IF(ISBLANK(Лист1!E51),"",Лист1!E51)</f>
        <v>"6В01705 - Шетел тілі: екі шетел тілі (ағылшын)", В018-Шет тілі мұғалімдерін даярлау</v>
      </c>
      <c r="F51" s="5" t="str">
        <f>IF(ISBLANK(Лист1!F51),"",Лист1!F51)</f>
        <v>білім</v>
      </c>
      <c r="G51" s="5" t="str">
        <f>IF(ISBLANK(Лист1!G51),"",Лист1!G51)</f>
        <v>күндізгі</v>
      </c>
      <c r="H51" s="5" t="str">
        <f>IF(ISBLANK(Лист1!H51),"",Лист1!H51)</f>
        <v>Gieeva  Sabina</v>
      </c>
      <c r="I51" s="5" t="str">
        <f>IF(ISBLANK(Лист1!I51),"",Лист1!I51)</f>
        <v>Education</v>
      </c>
      <c r="J51" s="5" t="str">
        <f>IF(ISBLANK(Лист1!J51),"",Лист1!J51)</f>
        <v>"6B01705 - Foreign language: two foreign languages (English)", B018-Training of foreign language teachers</v>
      </c>
      <c r="K51" s="5" t="str">
        <f>IF(ISBLANK(Лист1!K51),"",Лист1!K51)</f>
        <v>full-time</v>
      </c>
      <c r="L51" s="5" t="str">
        <f>IF(ISBLANK(Лист1!L51),"",Лист1!L51)</f>
        <v>21</v>
      </c>
      <c r="M51" s="5" t="str">
        <f>IF(ISBLANK(Лист1!M51),"",Лист1!M51)</f>
        <v>June</v>
      </c>
      <c r="N51" s="5" t="str">
        <f>IF(ISBLANK(Лист1!N51),"",Лист1!N51)</f>
        <v>21</v>
      </c>
      <c r="O51" s="5" t="str">
        <f>IF(ISBLANK(Лист1!O51),"",Лист1!O51)</f>
        <v>июня</v>
      </c>
      <c r="P51" s="5" t="str">
        <f>IF(ISBLANK(Лист1!P51),"",Лист1!P51)</f>
        <v>04</v>
      </c>
      <c r="Q51" s="5" t="str">
        <f>IF(ISBLANK(Лист1!Q51),"",Лист1!Q51)</f>
        <v>Гиеевой  Сабине  Абдурасуловне</v>
      </c>
      <c r="R51" s="5" t="str">
        <f>IF(ISBLANK(Лист1!R51),"",Лист1!R51)</f>
        <v>образования</v>
      </c>
      <c r="S51" s="5" t="str">
        <f>IF(ISBLANK(Лист1!S51),"",Лист1!S51)</f>
        <v>"6B01705 - Иностранный язык: два иностранных языка (английский)", В018-Подготовка учителей иностранного языка</v>
      </c>
      <c r="T51" s="5" t="str">
        <f>IF(ISBLANK(Лист1!T51),"",Лист1!T51)</f>
        <v>очное</v>
      </c>
      <c r="U51" s="5" t="str">
        <f>IF(ISBLANK(Лист1!U51),"",Лист1!U51)</f>
        <v/>
      </c>
      <c r="V51" s="5" t="str">
        <f>IF(ISBLANK(Лист1!V51),"",Лист1!V51)</f>
        <v>28</v>
      </c>
      <c r="W51" s="5" t="str">
        <f>IF(ISBLANK(Лист1!W51),"",Лист1!W51)</f>
        <v>маусым</v>
      </c>
      <c r="X51" s="5" t="str">
        <f>IF(ISBLANK(Лист1!X51),"",Лист1!X51)</f>
        <v>030226050150</v>
      </c>
      <c r="Y51" s="5" t="str">
        <f>IF(ISERROR(VLOOKUP($X51,Лист2!$A$2:$G$498,1,FALSE)),"",VLOOKUP($X51,Лист2!$A$2:$G$498,1,FALSE))</f>
        <v>030226050150</v>
      </c>
      <c r="Z51" s="5" t="str">
        <f>IF(ISERROR(VLOOKUP($X51,Лист2!$A$2:$L$498,9,FALSE)),"",VLOOKUP($X51,Лист2!$A$2:$L$498,9,FALSE))</f>
        <v>BD</v>
      </c>
      <c r="AA51" s="5" t="str">
        <f>IF(ISERROR(VLOOKUP($X51,Лист2!$A$2:$L$498,10,FALSE)),"",VLOOKUP($X51,Лист2!$A$2:$L$498,10,FALSE))</f>
        <v>00025635325</v>
      </c>
      <c r="AB51" s="5" t="str">
        <f>IF(ISERROR(VLOOKUP($X51,Лист2!$A$2:$M$498,13,FALSE)),"",VLOOKUP($X51,Лист2!$A$2:$M$498,13,FALSE))</f>
        <v>https://epvo.kz/#/verification_education_document?iin=030226050150&amp;diplomaSeries=BD&amp;diplomaNumber=00025635325</v>
      </c>
    </row>
    <row r="52" spans="1:28" x14ac:dyDescent="0.25">
      <c r="A52" s="5" t="str">
        <f>IF(ISBLANK(Лист1!A52),"",Лист1!A52)</f>
        <v>21</v>
      </c>
      <c r="B52" s="5" t="str">
        <f>IF(ISBLANK(Лист1!B52),"",Лист1!B52)</f>
        <v>маусымдағы</v>
      </c>
      <c r="C52" s="5" t="str">
        <f>IF(ISBLANK(Лист1!C52),"",Лист1!C52)</f>
        <v>15</v>
      </c>
      <c r="D52" s="5" t="str">
        <f>IF(ISBLANK(Лист1!D52),"",Лист1!D52)</f>
        <v>Дарменова  Света  Берккызына</v>
      </c>
      <c r="E52" s="5" t="str">
        <f>IF(ISBLANK(Лист1!E52),"",Лист1!E52)</f>
        <v>"6В01705 - Шетел тілі: екі шетел тілі (ағылшын)", В018-Шет тілі мұғалімдерін даярлау</v>
      </c>
      <c r="F52" s="5" t="str">
        <f>IF(ISBLANK(Лист1!F52),"",Лист1!F52)</f>
        <v>білім</v>
      </c>
      <c r="G52" s="5" t="str">
        <f>IF(ISBLANK(Лист1!G52),"",Лист1!G52)</f>
        <v>күндізгі</v>
      </c>
      <c r="H52" s="5" t="str">
        <f>IF(ISBLANK(Лист1!H52),"",Лист1!H52)</f>
        <v>Darmenova  Sveta</v>
      </c>
      <c r="I52" s="5" t="str">
        <f>IF(ISBLANK(Лист1!I52),"",Лист1!I52)</f>
        <v>Education</v>
      </c>
      <c r="J52" s="5" t="str">
        <f>IF(ISBLANK(Лист1!J52),"",Лист1!J52)</f>
        <v>"6B01705 - Foreign language: two foreign languages (English)", B018-Training of foreign language teachers</v>
      </c>
      <c r="K52" s="5" t="str">
        <f>IF(ISBLANK(Лист1!K52),"",Лист1!K52)</f>
        <v>full-time</v>
      </c>
      <c r="L52" s="5" t="str">
        <f>IF(ISBLANK(Лист1!L52),"",Лист1!L52)</f>
        <v>21</v>
      </c>
      <c r="M52" s="5" t="str">
        <f>IF(ISBLANK(Лист1!M52),"",Лист1!M52)</f>
        <v>June</v>
      </c>
      <c r="N52" s="5" t="str">
        <f>IF(ISBLANK(Лист1!N52),"",Лист1!N52)</f>
        <v>21</v>
      </c>
      <c r="O52" s="5" t="str">
        <f>IF(ISBLANK(Лист1!O52),"",Лист1!O52)</f>
        <v>июня</v>
      </c>
      <c r="P52" s="5" t="str">
        <f>IF(ISBLANK(Лист1!P52),"",Лист1!P52)</f>
        <v>15</v>
      </c>
      <c r="Q52" s="5" t="str">
        <f>IF(ISBLANK(Лист1!Q52),"",Лист1!Q52)</f>
        <v>Дарменовой  Свете  Берккызы</v>
      </c>
      <c r="R52" s="5" t="str">
        <f>IF(ISBLANK(Лист1!R52),"",Лист1!R52)</f>
        <v>образования</v>
      </c>
      <c r="S52" s="5" t="str">
        <f>IF(ISBLANK(Лист1!S52),"",Лист1!S52)</f>
        <v>"6B01705 - Иностранный язык: два иностранных языка (английский)", В018-Подготовка учителей иностранного языка</v>
      </c>
      <c r="T52" s="5" t="str">
        <f>IF(ISBLANK(Лист1!T52),"",Лист1!T52)</f>
        <v>очное</v>
      </c>
      <c r="U52" s="5" t="str">
        <f>IF(ISBLANK(Лист1!U52),"",Лист1!U52)</f>
        <v/>
      </c>
      <c r="V52" s="5" t="str">
        <f>IF(ISBLANK(Лист1!V52),"",Лист1!V52)</f>
        <v>28</v>
      </c>
      <c r="W52" s="5" t="str">
        <f>IF(ISBLANK(Лист1!W52),"",Лист1!W52)</f>
        <v>маусым</v>
      </c>
      <c r="X52" s="5" t="str">
        <f>IF(ISBLANK(Лист1!X52),"",Лист1!X52)</f>
        <v>040422650265</v>
      </c>
      <c r="Y52" s="5" t="str">
        <f>IF(ISERROR(VLOOKUP($X52,Лист2!$A$2:$G$498,1,FALSE)),"",VLOOKUP($X52,Лист2!$A$2:$G$498,1,FALSE))</f>
        <v>040422650265</v>
      </c>
      <c r="Z52" s="5" t="str">
        <f>IF(ISERROR(VLOOKUP($X52,Лист2!$A$2:$L$498,9,FALSE)),"",VLOOKUP($X52,Лист2!$A$2:$L$498,9,FALSE))</f>
        <v>BD</v>
      </c>
      <c r="AA52" s="5" t="str">
        <f>IF(ISERROR(VLOOKUP($X52,Лист2!$A$2:$L$498,10,FALSE)),"",VLOOKUP($X52,Лист2!$A$2:$L$498,10,FALSE))</f>
        <v>00025635825</v>
      </c>
      <c r="AB52" s="5" t="str">
        <f>IF(ISERROR(VLOOKUP($X52,Лист2!$A$2:$M$498,13,FALSE)),"",VLOOKUP($X52,Лист2!$A$2:$M$498,13,FALSE))</f>
        <v>https://epvo.kz/#/verification_education_document?iin=040422650265&amp;diplomaSeries=BD&amp;diplomaNumber=00025635825</v>
      </c>
    </row>
    <row r="53" spans="1:28" x14ac:dyDescent="0.25">
      <c r="A53" s="5" t="str">
        <f>IF(ISBLANK(Лист1!A53),"",Лист1!A53)</f>
        <v>21</v>
      </c>
      <c r="B53" s="5" t="str">
        <f>IF(ISBLANK(Лист1!B53),"",Лист1!B53)</f>
        <v>маусымдағы</v>
      </c>
      <c r="C53" s="5" t="str">
        <f>IF(ISBLANK(Лист1!C53),"",Лист1!C53)</f>
        <v>05</v>
      </c>
      <c r="D53" s="5" t="str">
        <f>IF(ISBLANK(Лист1!D53),"",Лист1!D53)</f>
        <v>Даутаева  Карина  Даутайқызына</v>
      </c>
      <c r="E53" s="5" t="str">
        <f>IF(ISBLANK(Лист1!E53),"",Лист1!E53)</f>
        <v>"6В01705 - Шетел тілі: екі шетел тілі (ағылшын)", В018-Шет тілі мұғалімдерін даярлау</v>
      </c>
      <c r="F53" s="5" t="str">
        <f>IF(ISBLANK(Лист1!F53),"",Лист1!F53)</f>
        <v>білім</v>
      </c>
      <c r="G53" s="5" t="str">
        <f>IF(ISBLANK(Лист1!G53),"",Лист1!G53)</f>
        <v>күндізгі</v>
      </c>
      <c r="H53" s="5" t="str">
        <f>IF(ISBLANK(Лист1!H53),"",Лист1!H53)</f>
        <v>Dautayeva  Karina</v>
      </c>
      <c r="I53" s="5" t="str">
        <f>IF(ISBLANK(Лист1!I53),"",Лист1!I53)</f>
        <v>Education</v>
      </c>
      <c r="J53" s="5" t="str">
        <f>IF(ISBLANK(Лист1!J53),"",Лист1!J53)</f>
        <v>"6B01705 - Foreign language: two foreign languages (English)", B018-Training of foreign language teachers</v>
      </c>
      <c r="K53" s="5" t="str">
        <f>IF(ISBLANK(Лист1!K53),"",Лист1!K53)</f>
        <v>full-time</v>
      </c>
      <c r="L53" s="5" t="str">
        <f>IF(ISBLANK(Лист1!L53),"",Лист1!L53)</f>
        <v>21</v>
      </c>
      <c r="M53" s="5" t="str">
        <f>IF(ISBLANK(Лист1!M53),"",Лист1!M53)</f>
        <v>June</v>
      </c>
      <c r="N53" s="5" t="str">
        <f>IF(ISBLANK(Лист1!N53),"",Лист1!N53)</f>
        <v>21</v>
      </c>
      <c r="O53" s="5" t="str">
        <f>IF(ISBLANK(Лист1!O53),"",Лист1!O53)</f>
        <v>июня</v>
      </c>
      <c r="P53" s="5" t="str">
        <f>IF(ISBLANK(Лист1!P53),"",Лист1!P53)</f>
        <v>05</v>
      </c>
      <c r="Q53" s="5" t="str">
        <f>IF(ISBLANK(Лист1!Q53),"",Лист1!Q53)</f>
        <v>Даутаева  Карина  Даутайқызы</v>
      </c>
      <c r="R53" s="5" t="str">
        <f>IF(ISBLANK(Лист1!R53),"",Лист1!R53)</f>
        <v>образования</v>
      </c>
      <c r="S53" s="5" t="str">
        <f>IF(ISBLANK(Лист1!S53),"",Лист1!S53)</f>
        <v>"6B01705 - Иностранный язык: два иностранных языка (английский)", В018-Подготовка учителей иностранного языка</v>
      </c>
      <c r="T53" s="5" t="str">
        <f>IF(ISBLANK(Лист1!T53),"",Лист1!T53)</f>
        <v>очное</v>
      </c>
      <c r="U53" s="5" t="str">
        <f>IF(ISBLANK(Лист1!U53),"",Лист1!U53)</f>
        <v/>
      </c>
      <c r="V53" s="5" t="str">
        <f>IF(ISBLANK(Лист1!V53),"",Лист1!V53)</f>
        <v>28</v>
      </c>
      <c r="W53" s="5" t="str">
        <f>IF(ISBLANK(Лист1!W53),"",Лист1!W53)</f>
        <v>маусым</v>
      </c>
      <c r="X53" s="5" t="str">
        <f>IF(ISBLANK(Лист1!X53),"",Лист1!X53)</f>
        <v>030409601135</v>
      </c>
      <c r="Y53" s="5" t="str">
        <f>IF(ISERROR(VLOOKUP($X53,Лист2!$A$2:$G$498,1,FALSE)),"",VLOOKUP($X53,Лист2!$A$2:$G$498,1,FALSE))</f>
        <v>030409601135</v>
      </c>
      <c r="Z53" s="5" t="str">
        <f>IF(ISERROR(VLOOKUP($X53,Лист2!$A$2:$L$498,9,FALSE)),"",VLOOKUP($X53,Лист2!$A$2:$L$498,9,FALSE))</f>
        <v>BD</v>
      </c>
      <c r="AA53" s="5" t="str">
        <f>IF(ISERROR(VLOOKUP($X53,Лист2!$A$2:$L$498,10,FALSE)),"",VLOOKUP($X53,Лист2!$A$2:$L$498,10,FALSE))</f>
        <v>00025636025</v>
      </c>
      <c r="AB53" s="5" t="str">
        <f>IF(ISERROR(VLOOKUP($X53,Лист2!$A$2:$M$498,13,FALSE)),"",VLOOKUP($X53,Лист2!$A$2:$M$498,13,FALSE))</f>
        <v>https://epvo.kz/#/verification_education_document?iin=030409601135&amp;diplomaSeries=BD&amp;diplomaNumber=00025636025</v>
      </c>
    </row>
    <row r="54" spans="1:28" x14ac:dyDescent="0.25">
      <c r="A54" s="5" t="str">
        <f>IF(ISBLANK(Лист1!A54),"",Лист1!A54)</f>
        <v>21</v>
      </c>
      <c r="B54" s="5" t="str">
        <f>IF(ISBLANK(Лист1!B54),"",Лист1!B54)</f>
        <v>маусымдағы</v>
      </c>
      <c r="C54" s="5" t="str">
        <f>IF(ISBLANK(Лист1!C54),"",Лист1!C54)</f>
        <v>19</v>
      </c>
      <c r="D54" s="5" t="str">
        <f>IF(ISBLANK(Лист1!D54),"",Лист1!D54)</f>
        <v>Дәрібай  Тоқжан  Ерланқызына</v>
      </c>
      <c r="E54" s="5" t="str">
        <f>IF(ISBLANK(Лист1!E54),"",Лист1!E54)</f>
        <v>"6В01705 - Шетел тілі: екі шетел тілі (ағылшын)", В018-Шет тілі мұғалімдерін даярлау</v>
      </c>
      <c r="F54" s="5" t="str">
        <f>IF(ISBLANK(Лист1!F54),"",Лист1!F54)</f>
        <v>білім</v>
      </c>
      <c r="G54" s="5" t="str">
        <f>IF(ISBLANK(Лист1!G54),"",Лист1!G54)</f>
        <v>күндізгі</v>
      </c>
      <c r="H54" s="5" t="str">
        <f>IF(ISBLANK(Лист1!H54),"",Лист1!H54)</f>
        <v>Daribay  Tokzhan</v>
      </c>
      <c r="I54" s="5" t="str">
        <f>IF(ISBLANK(Лист1!I54),"",Лист1!I54)</f>
        <v>Education</v>
      </c>
      <c r="J54" s="5" t="str">
        <f>IF(ISBLANK(Лист1!J54),"",Лист1!J54)</f>
        <v>"6B01705 - Foreign language: two foreign languages (English)", B018-Training of foreign language teachers</v>
      </c>
      <c r="K54" s="5" t="str">
        <f>IF(ISBLANK(Лист1!K54),"",Лист1!K54)</f>
        <v>full-time</v>
      </c>
      <c r="L54" s="5" t="str">
        <f>IF(ISBLANK(Лист1!L54),"",Лист1!L54)</f>
        <v>21</v>
      </c>
      <c r="M54" s="5" t="str">
        <f>IF(ISBLANK(Лист1!M54),"",Лист1!M54)</f>
        <v>June</v>
      </c>
      <c r="N54" s="5" t="str">
        <f>IF(ISBLANK(Лист1!N54),"",Лист1!N54)</f>
        <v>21</v>
      </c>
      <c r="O54" s="5" t="str">
        <f>IF(ISBLANK(Лист1!O54),"",Лист1!O54)</f>
        <v>июня</v>
      </c>
      <c r="P54" s="5" t="str">
        <f>IF(ISBLANK(Лист1!P54),"",Лист1!P54)</f>
        <v>19</v>
      </c>
      <c r="Q54" s="5" t="str">
        <f>IF(ISBLANK(Лист1!Q54),"",Лист1!Q54)</f>
        <v>Дәрібай  Тоқжан  Ерланқызы</v>
      </c>
      <c r="R54" s="5" t="str">
        <f>IF(ISBLANK(Лист1!R54),"",Лист1!R54)</f>
        <v>образования</v>
      </c>
      <c r="S54" s="5" t="str">
        <f>IF(ISBLANK(Лист1!S54),"",Лист1!S54)</f>
        <v>"6B01705 - Иностранный язык: два иностранных языка (английский)", В018-Подготовка учителей иностранного языка</v>
      </c>
      <c r="T54" s="5" t="str">
        <f>IF(ISBLANK(Лист1!T54),"",Лист1!T54)</f>
        <v>очное</v>
      </c>
      <c r="U54" s="5" t="str">
        <f>IF(ISBLANK(Лист1!U54),"",Лист1!U54)</f>
        <v/>
      </c>
      <c r="V54" s="5" t="str">
        <f>IF(ISBLANK(Лист1!V54),"",Лист1!V54)</f>
        <v>28</v>
      </c>
      <c r="W54" s="5" t="str">
        <f>IF(ISBLANK(Лист1!W54),"",Лист1!W54)</f>
        <v>маусым</v>
      </c>
      <c r="X54" s="5" t="str">
        <f>IF(ISBLANK(Лист1!X54),"",Лист1!X54)</f>
        <v>031022601451</v>
      </c>
      <c r="Y54" s="5" t="str">
        <f>IF(ISERROR(VLOOKUP($X54,Лист2!$A$2:$G$498,1,FALSE)),"",VLOOKUP($X54,Лист2!$A$2:$G$498,1,FALSE))</f>
        <v>031022601451</v>
      </c>
      <c r="Z54" s="5" t="str">
        <f>IF(ISERROR(VLOOKUP($X54,Лист2!$A$2:$L$498,9,FALSE)),"",VLOOKUP($X54,Лист2!$A$2:$L$498,9,FALSE))</f>
        <v>BD</v>
      </c>
      <c r="AA54" s="5" t="str">
        <f>IF(ISERROR(VLOOKUP($X54,Лист2!$A$2:$L$498,10,FALSE)),"",VLOOKUP($X54,Лист2!$A$2:$L$498,10,FALSE))</f>
        <v>00025636225</v>
      </c>
      <c r="AB54" s="5" t="str">
        <f>IF(ISERROR(VLOOKUP($X54,Лист2!$A$2:$M$498,13,FALSE)),"",VLOOKUP($X54,Лист2!$A$2:$M$498,13,FALSE))</f>
        <v>https://epvo.kz/#/verification_education_document?iin=031022601451&amp;diplomaSeries=BD&amp;diplomaNumber=00025636225</v>
      </c>
    </row>
    <row r="55" spans="1:28" x14ac:dyDescent="0.25">
      <c r="A55" s="5" t="str">
        <f>IF(ISBLANK(Лист1!A55),"",Лист1!A55)</f>
        <v>21</v>
      </c>
      <c r="B55" s="5" t="str">
        <f>IF(ISBLANK(Лист1!B55),"",Лист1!B55)</f>
        <v>маусымдағы</v>
      </c>
      <c r="C55" s="5" t="str">
        <f>IF(ISBLANK(Лист1!C55),"",Лист1!C55)</f>
        <v>16</v>
      </c>
      <c r="D55" s="5" t="str">
        <f>IF(ISBLANK(Лист1!D55),"",Лист1!D55)</f>
        <v>Ділдәбек  Аружан  Абдіғафурқызына</v>
      </c>
      <c r="E55" s="5" t="str">
        <f>IF(ISBLANK(Лист1!E55),"",Лист1!E55)</f>
        <v>"6В01705 - Шетел тілі: екі шетел тілі (ағылшын)", В018-Шет тілі мұғалімдерін даярлау</v>
      </c>
      <c r="F55" s="5" t="str">
        <f>IF(ISBLANK(Лист1!F55),"",Лист1!F55)</f>
        <v>білім</v>
      </c>
      <c r="G55" s="5" t="str">
        <f>IF(ISBLANK(Лист1!G55),"",Лист1!G55)</f>
        <v>күндізгі</v>
      </c>
      <c r="H55" s="5" t="str">
        <f>IF(ISBLANK(Лист1!H55),"",Лист1!H55)</f>
        <v>Dildabek  Aruzhan</v>
      </c>
      <c r="I55" s="5" t="str">
        <f>IF(ISBLANK(Лист1!I55),"",Лист1!I55)</f>
        <v>Education</v>
      </c>
      <c r="J55" s="5" t="str">
        <f>IF(ISBLANK(Лист1!J55),"",Лист1!J55)</f>
        <v>"6B01705 - Foreign language: two foreign languages (English)", B018-Training of foreign language teachers</v>
      </c>
      <c r="K55" s="5" t="str">
        <f>IF(ISBLANK(Лист1!K55),"",Лист1!K55)</f>
        <v>full-time</v>
      </c>
      <c r="L55" s="5" t="str">
        <f>IF(ISBLANK(Лист1!L55),"",Лист1!L55)</f>
        <v>21</v>
      </c>
      <c r="M55" s="5" t="str">
        <f>IF(ISBLANK(Лист1!M55),"",Лист1!M55)</f>
        <v>June</v>
      </c>
      <c r="N55" s="5" t="str">
        <f>IF(ISBLANK(Лист1!N55),"",Лист1!N55)</f>
        <v>21</v>
      </c>
      <c r="O55" s="5" t="str">
        <f>IF(ISBLANK(Лист1!O55),"",Лист1!O55)</f>
        <v>июня</v>
      </c>
      <c r="P55" s="5" t="str">
        <f>IF(ISBLANK(Лист1!P55),"",Лист1!P55)</f>
        <v>16</v>
      </c>
      <c r="Q55" s="5" t="str">
        <f>IF(ISBLANK(Лист1!Q55),"",Лист1!Q55)</f>
        <v>Ділдәбек  Аружан  Абдіғафурқызы</v>
      </c>
      <c r="R55" s="5" t="str">
        <f>IF(ISBLANK(Лист1!R55),"",Лист1!R55)</f>
        <v>образования</v>
      </c>
      <c r="S55" s="5" t="str">
        <f>IF(ISBLANK(Лист1!S55),"",Лист1!S55)</f>
        <v>"6B01705 - Иностранный язык: два иностранных языка (английский)", В018-Подготовка учителей иностранного языка</v>
      </c>
      <c r="T55" s="5" t="str">
        <f>IF(ISBLANK(Лист1!T55),"",Лист1!T55)</f>
        <v>очное</v>
      </c>
      <c r="U55" s="5" t="str">
        <f>IF(ISBLANK(Лист1!U55),"",Лист1!U55)</f>
        <v/>
      </c>
      <c r="V55" s="5" t="str">
        <f>IF(ISBLANK(Лист1!V55),"",Лист1!V55)</f>
        <v>28</v>
      </c>
      <c r="W55" s="5" t="str">
        <f>IF(ISBLANK(Лист1!W55),"",Лист1!W55)</f>
        <v>маусым</v>
      </c>
      <c r="X55" s="5" t="str">
        <f>IF(ISBLANK(Лист1!X55),"",Лист1!X55)</f>
        <v>040605601231</v>
      </c>
      <c r="Y55" s="5" t="str">
        <f>IF(ISERROR(VLOOKUP($X55,Лист2!$A$2:$G$498,1,FALSE)),"",VLOOKUP($X55,Лист2!$A$2:$G$498,1,FALSE))</f>
        <v>040605601231</v>
      </c>
      <c r="Z55" s="5" t="str">
        <f>IF(ISERROR(VLOOKUP($X55,Лист2!$A$2:$L$498,9,FALSE)),"",VLOOKUP($X55,Лист2!$A$2:$L$498,9,FALSE))</f>
        <v>BD</v>
      </c>
      <c r="AA55" s="5" t="str">
        <f>IF(ISERROR(VLOOKUP($X55,Лист2!$A$2:$L$498,10,FALSE)),"",VLOOKUP($X55,Лист2!$A$2:$L$498,10,FALSE))</f>
        <v>00025636425</v>
      </c>
      <c r="AB55" s="5" t="str">
        <f>IF(ISERROR(VLOOKUP($X55,Лист2!$A$2:$M$498,13,FALSE)),"",VLOOKUP($X55,Лист2!$A$2:$M$498,13,FALSE))</f>
        <v>https://epvo.kz/#/verification_education_document?iin=040605601231&amp;diplomaSeries=BD&amp;diplomaNumber=00025636425</v>
      </c>
    </row>
    <row r="56" spans="1:28" x14ac:dyDescent="0.25">
      <c r="A56" s="5" t="str">
        <f>IF(ISBLANK(Лист1!A56),"",Лист1!A56)</f>
        <v>21</v>
      </c>
      <c r="B56" s="5" t="str">
        <f>IF(ISBLANK(Лист1!B56),"",Лист1!B56)</f>
        <v>маусымдағы</v>
      </c>
      <c r="C56" s="5" t="str">
        <f>IF(ISBLANK(Лист1!C56),"",Лист1!C56)</f>
        <v>20</v>
      </c>
      <c r="D56" s="5" t="str">
        <f>IF(ISBLANK(Лист1!D56),"",Лист1!D56)</f>
        <v>Досмағанбет  Нұрдина  Абзалқызына</v>
      </c>
      <c r="E56" s="5" t="str">
        <f>IF(ISBLANK(Лист1!E56),"",Лист1!E56)</f>
        <v>"6В01705 - Шетел тілі: екі шетел тілі (ағылшын)", В018-Шет тілі мұғалімдерін даярлау</v>
      </c>
      <c r="F56" s="5" t="str">
        <f>IF(ISBLANK(Лист1!F56),"",Лист1!F56)</f>
        <v>білім</v>
      </c>
      <c r="G56" s="5" t="str">
        <f>IF(ISBLANK(Лист1!G56),"",Лист1!G56)</f>
        <v>күндізгі</v>
      </c>
      <c r="H56" s="5" t="str">
        <f>IF(ISBLANK(Лист1!H56),"",Лист1!H56)</f>
        <v>Dosmaganbet  Nurdina</v>
      </c>
      <c r="I56" s="5" t="str">
        <f>IF(ISBLANK(Лист1!I56),"",Лист1!I56)</f>
        <v>Education</v>
      </c>
      <c r="J56" s="5" t="str">
        <f>IF(ISBLANK(Лист1!J56),"",Лист1!J56)</f>
        <v>"6B01705 - Foreign language: two foreign languages (English)", B018-Training of foreign language teachers</v>
      </c>
      <c r="K56" s="5" t="str">
        <f>IF(ISBLANK(Лист1!K56),"",Лист1!K56)</f>
        <v>full-time</v>
      </c>
      <c r="L56" s="5" t="str">
        <f>IF(ISBLANK(Лист1!L56),"",Лист1!L56)</f>
        <v>21</v>
      </c>
      <c r="M56" s="5" t="str">
        <f>IF(ISBLANK(Лист1!M56),"",Лист1!M56)</f>
        <v>June</v>
      </c>
      <c r="N56" s="5" t="str">
        <f>IF(ISBLANK(Лист1!N56),"",Лист1!N56)</f>
        <v>21</v>
      </c>
      <c r="O56" s="5" t="str">
        <f>IF(ISBLANK(Лист1!O56),"",Лист1!O56)</f>
        <v>июня</v>
      </c>
      <c r="P56" s="5" t="str">
        <f>IF(ISBLANK(Лист1!P56),"",Лист1!P56)</f>
        <v>20</v>
      </c>
      <c r="Q56" s="5" t="str">
        <f>IF(ISBLANK(Лист1!Q56),"",Лист1!Q56)</f>
        <v>Досмағанбет  Нұрдина  Абзалқызы</v>
      </c>
      <c r="R56" s="5" t="str">
        <f>IF(ISBLANK(Лист1!R56),"",Лист1!R56)</f>
        <v>образования</v>
      </c>
      <c r="S56" s="5" t="str">
        <f>IF(ISBLANK(Лист1!S56),"",Лист1!S56)</f>
        <v>"6B01705 - Иностранный язык: два иностранных языка (английский)", В018-Подготовка учителей иностранного языка</v>
      </c>
      <c r="T56" s="5" t="str">
        <f>IF(ISBLANK(Лист1!T56),"",Лист1!T56)</f>
        <v>очное</v>
      </c>
      <c r="U56" s="5" t="str">
        <f>IF(ISBLANK(Лист1!U56),"",Лист1!U56)</f>
        <v/>
      </c>
      <c r="V56" s="5" t="str">
        <f>IF(ISBLANK(Лист1!V56),"",Лист1!V56)</f>
        <v>28</v>
      </c>
      <c r="W56" s="5" t="str">
        <f>IF(ISBLANK(Лист1!W56),"",Лист1!W56)</f>
        <v>маусым</v>
      </c>
      <c r="X56" s="5" t="str">
        <f>IF(ISBLANK(Лист1!X56),"",Лист1!X56)</f>
        <v>040117600697</v>
      </c>
      <c r="Y56" s="5" t="str">
        <f>IF(ISERROR(VLOOKUP($X56,Лист2!$A$2:$G$498,1,FALSE)),"",VLOOKUP($X56,Лист2!$A$2:$G$498,1,FALSE))</f>
        <v>040117600697</v>
      </c>
      <c r="Z56" s="5" t="str">
        <f>IF(ISERROR(VLOOKUP($X56,Лист2!$A$2:$L$498,9,FALSE)),"",VLOOKUP($X56,Лист2!$A$2:$L$498,9,FALSE))</f>
        <v>BD</v>
      </c>
      <c r="AA56" s="5" t="str">
        <f>IF(ISERROR(VLOOKUP($X56,Лист2!$A$2:$L$498,10,FALSE)),"",VLOOKUP($X56,Лист2!$A$2:$L$498,10,FALSE))</f>
        <v>00025636525</v>
      </c>
      <c r="AB56" s="5" t="str">
        <f>IF(ISERROR(VLOOKUP($X56,Лист2!$A$2:$M$498,13,FALSE)),"",VLOOKUP($X56,Лист2!$A$2:$M$498,13,FALSE))</f>
        <v>https://epvo.kz/#/verification_education_document?iin=040117600697&amp;diplomaSeries=BD&amp;diplomaNumber=00025636525</v>
      </c>
    </row>
    <row r="57" spans="1:28" x14ac:dyDescent="0.25">
      <c r="A57" s="5" t="str">
        <f>IF(ISBLANK(Лист1!A57),"",Лист1!A57)</f>
        <v>21</v>
      </c>
      <c r="B57" s="5" t="str">
        <f>IF(ISBLANK(Лист1!B57),"",Лист1!B57)</f>
        <v>маусымдағы</v>
      </c>
      <c r="C57" s="5" t="str">
        <f>IF(ISBLANK(Лист1!C57),"",Лист1!C57)</f>
        <v>21</v>
      </c>
      <c r="D57" s="5" t="str">
        <f>IF(ISBLANK(Лист1!D57),"",Лист1!D57)</f>
        <v>Дусебекова  Асель  Кенессаринкызына</v>
      </c>
      <c r="E57" s="5" t="str">
        <f>IF(ISBLANK(Лист1!E57),"",Лист1!E57)</f>
        <v>"6В01705 - Шетел тілі: екі шетел тілі (ағылшын)", В018-Шет тілі мұғалімдерін даярлау</v>
      </c>
      <c r="F57" s="5" t="str">
        <f>IF(ISBLANK(Лист1!F57),"",Лист1!F57)</f>
        <v>білім</v>
      </c>
      <c r="G57" s="5" t="str">
        <f>IF(ISBLANK(Лист1!G57),"",Лист1!G57)</f>
        <v>күндізгі</v>
      </c>
      <c r="H57" s="5" t="str">
        <f>IF(ISBLANK(Лист1!H57),"",Лист1!H57)</f>
        <v>Dussebekova  Assel</v>
      </c>
      <c r="I57" s="5" t="str">
        <f>IF(ISBLANK(Лист1!I57),"",Лист1!I57)</f>
        <v>Education</v>
      </c>
      <c r="J57" s="5" t="str">
        <f>IF(ISBLANK(Лист1!J57),"",Лист1!J57)</f>
        <v>"6B01705 - Foreign language: two foreign languages (English)", B018-Training of foreign language teachers</v>
      </c>
      <c r="K57" s="5" t="str">
        <f>IF(ISBLANK(Лист1!K57),"",Лист1!K57)</f>
        <v>full-time</v>
      </c>
      <c r="L57" s="5" t="str">
        <f>IF(ISBLANK(Лист1!L57),"",Лист1!L57)</f>
        <v>21</v>
      </c>
      <c r="M57" s="5" t="str">
        <f>IF(ISBLANK(Лист1!M57),"",Лист1!M57)</f>
        <v>June</v>
      </c>
      <c r="N57" s="5" t="str">
        <f>IF(ISBLANK(Лист1!N57),"",Лист1!N57)</f>
        <v>21</v>
      </c>
      <c r="O57" s="5" t="str">
        <f>IF(ISBLANK(Лист1!O57),"",Лист1!O57)</f>
        <v>июня</v>
      </c>
      <c r="P57" s="5" t="str">
        <f>IF(ISBLANK(Лист1!P57),"",Лист1!P57)</f>
        <v>21</v>
      </c>
      <c r="Q57" s="5" t="str">
        <f>IF(ISBLANK(Лист1!Q57),"",Лист1!Q57)</f>
        <v>Дусебековой  Асель  Кенессаринкызы</v>
      </c>
      <c r="R57" s="5" t="str">
        <f>IF(ISBLANK(Лист1!R57),"",Лист1!R57)</f>
        <v>образования</v>
      </c>
      <c r="S57" s="5" t="str">
        <f>IF(ISBLANK(Лист1!S57),"",Лист1!S57)</f>
        <v>"6B01705 - Иностранный язык: два иностранных языка (английский)", В018-Подготовка учителей иностранного языка</v>
      </c>
      <c r="T57" s="5" t="str">
        <f>IF(ISBLANK(Лист1!T57),"",Лист1!T57)</f>
        <v>очное</v>
      </c>
      <c r="U57" s="5" t="str">
        <f>IF(ISBLANK(Лист1!U57),"",Лист1!U57)</f>
        <v/>
      </c>
      <c r="V57" s="5" t="str">
        <f>IF(ISBLANK(Лист1!V57),"",Лист1!V57)</f>
        <v>28</v>
      </c>
      <c r="W57" s="5" t="str">
        <f>IF(ISBLANK(Лист1!W57),"",Лист1!W57)</f>
        <v>маусым</v>
      </c>
      <c r="X57" s="5" t="str">
        <f>IF(ISBLANK(Лист1!X57),"",Лист1!X57)</f>
        <v>040107651469</v>
      </c>
      <c r="Y57" s="5" t="str">
        <f>IF(ISERROR(VLOOKUP($X57,Лист2!$A$2:$G$498,1,FALSE)),"",VLOOKUP($X57,Лист2!$A$2:$G$498,1,FALSE))</f>
        <v>040107651469</v>
      </c>
      <c r="Z57" s="5" t="str">
        <f>IF(ISERROR(VLOOKUP($X57,Лист2!$A$2:$L$498,9,FALSE)),"",VLOOKUP($X57,Лист2!$A$2:$L$498,9,FALSE))</f>
        <v>BD</v>
      </c>
      <c r="AA57" s="5" t="str">
        <f>IF(ISERROR(VLOOKUP($X57,Лист2!$A$2:$L$498,10,FALSE)),"",VLOOKUP($X57,Лист2!$A$2:$L$498,10,FALSE))</f>
        <v>00025636725</v>
      </c>
      <c r="AB57" s="5" t="str">
        <f>IF(ISERROR(VLOOKUP($X57,Лист2!$A$2:$M$498,13,FALSE)),"",VLOOKUP($X57,Лист2!$A$2:$M$498,13,FALSE))</f>
        <v>https://epvo.kz/#/verification_education_document?iin=040107651469&amp;diplomaSeries=BD&amp;diplomaNumber=00025636725</v>
      </c>
    </row>
    <row r="58" spans="1:28" x14ac:dyDescent="0.25">
      <c r="A58" s="5" t="str">
        <f>IF(ISBLANK(Лист1!A58),"",Лист1!A58)</f>
        <v>21</v>
      </c>
      <c r="B58" s="5" t="str">
        <f>IF(ISBLANK(Лист1!B58),"",Лист1!B58)</f>
        <v>маусымдағы</v>
      </c>
      <c r="C58" s="5" t="str">
        <f>IF(ISBLANK(Лист1!C58),"",Лист1!C58)</f>
        <v>22</v>
      </c>
      <c r="D58" s="5" t="str">
        <f>IF(ISBLANK(Лист1!D58),"",Лист1!D58)</f>
        <v>Дусен  Мөлдір  Даулетқызына</v>
      </c>
      <c r="E58" s="5" t="str">
        <f>IF(ISBLANK(Лист1!E58),"",Лист1!E58)</f>
        <v>"6В01705 - Шетел тілі: екі шетел тілі (ағылшын)", В018-Шет тілі мұғалімдерін даярлау</v>
      </c>
      <c r="F58" s="5" t="str">
        <f>IF(ISBLANK(Лист1!F58),"",Лист1!F58)</f>
        <v>білім</v>
      </c>
      <c r="G58" s="5" t="str">
        <f>IF(ISBLANK(Лист1!G58),"",Лист1!G58)</f>
        <v>күндізгі</v>
      </c>
      <c r="H58" s="5" t="str">
        <f>IF(ISBLANK(Лист1!H58),"",Лист1!H58)</f>
        <v>Dussen  Moldir</v>
      </c>
      <c r="I58" s="5" t="str">
        <f>IF(ISBLANK(Лист1!I58),"",Лист1!I58)</f>
        <v>Education</v>
      </c>
      <c r="J58" s="5" t="str">
        <f>IF(ISBLANK(Лист1!J58),"",Лист1!J58)</f>
        <v>"6B01705 - Foreign language: two foreign languages (English)", B018-Training of foreign language teachers</v>
      </c>
      <c r="K58" s="5" t="str">
        <f>IF(ISBLANK(Лист1!K58),"",Лист1!K58)</f>
        <v>full-time</v>
      </c>
      <c r="L58" s="5" t="str">
        <f>IF(ISBLANK(Лист1!L58),"",Лист1!L58)</f>
        <v>21</v>
      </c>
      <c r="M58" s="5" t="str">
        <f>IF(ISBLANK(Лист1!M58),"",Лист1!M58)</f>
        <v>June</v>
      </c>
      <c r="N58" s="5" t="str">
        <f>IF(ISBLANK(Лист1!N58),"",Лист1!N58)</f>
        <v>21</v>
      </c>
      <c r="O58" s="5" t="str">
        <f>IF(ISBLANK(Лист1!O58),"",Лист1!O58)</f>
        <v>июня</v>
      </c>
      <c r="P58" s="5" t="str">
        <f>IF(ISBLANK(Лист1!P58),"",Лист1!P58)</f>
        <v>22</v>
      </c>
      <c r="Q58" s="5" t="str">
        <f>IF(ISBLANK(Лист1!Q58),"",Лист1!Q58)</f>
        <v>Дусен  Мөлдір  Даулетқызы</v>
      </c>
      <c r="R58" s="5" t="str">
        <f>IF(ISBLANK(Лист1!R58),"",Лист1!R58)</f>
        <v>образования</v>
      </c>
      <c r="S58" s="5" t="str">
        <f>IF(ISBLANK(Лист1!S58),"",Лист1!S58)</f>
        <v>"6B01705 - Иностранный язык: два иностранных языка (английский)", В018-Подготовка учителей иностранного языка</v>
      </c>
      <c r="T58" s="5" t="str">
        <f>IF(ISBLANK(Лист1!T58),"",Лист1!T58)</f>
        <v>очное</v>
      </c>
      <c r="U58" s="5" t="str">
        <f>IF(ISBLANK(Лист1!U58),"",Лист1!U58)</f>
        <v/>
      </c>
      <c r="V58" s="5" t="str">
        <f>IF(ISBLANK(Лист1!V58),"",Лист1!V58)</f>
        <v>28</v>
      </c>
      <c r="W58" s="5" t="str">
        <f>IF(ISBLANK(Лист1!W58),"",Лист1!W58)</f>
        <v>маусым</v>
      </c>
      <c r="X58" s="5" t="str">
        <f>IF(ISBLANK(Лист1!X58),"",Лист1!X58)</f>
        <v>040310600567</v>
      </c>
      <c r="Y58" s="5" t="str">
        <f>IF(ISERROR(VLOOKUP($X58,Лист2!$A$2:$G$498,1,FALSE)),"",VLOOKUP($X58,Лист2!$A$2:$G$498,1,FALSE))</f>
        <v>040310600567</v>
      </c>
      <c r="Z58" s="5" t="str">
        <f>IF(ISERROR(VLOOKUP($X58,Лист2!$A$2:$L$498,9,FALSE)),"",VLOOKUP($X58,Лист2!$A$2:$L$498,9,FALSE))</f>
        <v>BD</v>
      </c>
      <c r="AA58" s="5" t="str">
        <f>IF(ISERROR(VLOOKUP($X58,Лист2!$A$2:$L$498,10,FALSE)),"",VLOOKUP($X58,Лист2!$A$2:$L$498,10,FALSE))</f>
        <v>00025636925</v>
      </c>
      <c r="AB58" s="5" t="str">
        <f>IF(ISERROR(VLOOKUP($X58,Лист2!$A$2:$M$498,13,FALSE)),"",VLOOKUP($X58,Лист2!$A$2:$M$498,13,FALSE))</f>
        <v>https://epvo.kz/#/verification_education_document?iin=040310600567&amp;diplomaSeries=BD&amp;diplomaNumber=00025636925</v>
      </c>
    </row>
    <row r="59" spans="1:28" x14ac:dyDescent="0.25">
      <c r="A59" s="5" t="str">
        <f>IF(ISBLANK(Лист1!A59),"",Лист1!A59)</f>
        <v>21</v>
      </c>
      <c r="B59" s="5" t="str">
        <f>IF(ISBLANK(Лист1!B59),"",Лист1!B59)</f>
        <v>маусымдағы</v>
      </c>
      <c r="C59" s="5" t="str">
        <f>IF(ISBLANK(Лист1!C59),"",Лист1!C59)</f>
        <v>28</v>
      </c>
      <c r="D59" s="5" t="str">
        <f>IF(ISBLANK(Лист1!D59),"",Лист1!D59)</f>
        <v>Дүйсембай  Қаракөз  Дидарқызына</v>
      </c>
      <c r="E59" s="5" t="str">
        <f>IF(ISBLANK(Лист1!E59),"",Лист1!E59)</f>
        <v>"6В01705 - Шетел тілі: екі шетел тілі (ағылшын)", В018-Шет тілі мұғалімдерін даярлау</v>
      </c>
      <c r="F59" s="5" t="str">
        <f>IF(ISBLANK(Лист1!F59),"",Лист1!F59)</f>
        <v>білім</v>
      </c>
      <c r="G59" s="5" t="str">
        <f>IF(ISBLANK(Лист1!G59),"",Лист1!G59)</f>
        <v>күндізгі</v>
      </c>
      <c r="H59" s="5" t="str">
        <f>IF(ISBLANK(Лист1!H59),"",Лист1!H59)</f>
        <v>Duisembay  Karakoz</v>
      </c>
      <c r="I59" s="5" t="str">
        <f>IF(ISBLANK(Лист1!I59),"",Лист1!I59)</f>
        <v>Education</v>
      </c>
      <c r="J59" s="5" t="str">
        <f>IF(ISBLANK(Лист1!J59),"",Лист1!J59)</f>
        <v>"6B01705 - Foreign language: two foreign languages (English)", B018-Training of foreign language teachers</v>
      </c>
      <c r="K59" s="5" t="str">
        <f>IF(ISBLANK(Лист1!K59),"",Лист1!K59)</f>
        <v>full-time</v>
      </c>
      <c r="L59" s="5" t="str">
        <f>IF(ISBLANK(Лист1!L59),"",Лист1!L59)</f>
        <v>21</v>
      </c>
      <c r="M59" s="5" t="str">
        <f>IF(ISBLANK(Лист1!M59),"",Лист1!M59)</f>
        <v>June</v>
      </c>
      <c r="N59" s="5" t="str">
        <f>IF(ISBLANK(Лист1!N59),"",Лист1!N59)</f>
        <v>21</v>
      </c>
      <c r="O59" s="5" t="str">
        <f>IF(ISBLANK(Лист1!O59),"",Лист1!O59)</f>
        <v>июня</v>
      </c>
      <c r="P59" s="5" t="str">
        <f>IF(ISBLANK(Лист1!P59),"",Лист1!P59)</f>
        <v>28</v>
      </c>
      <c r="Q59" s="5" t="str">
        <f>IF(ISBLANK(Лист1!Q59),"",Лист1!Q59)</f>
        <v>Дүйсембай  Қаракөз  Дидарқызы</v>
      </c>
      <c r="R59" s="5" t="str">
        <f>IF(ISBLANK(Лист1!R59),"",Лист1!R59)</f>
        <v>образования</v>
      </c>
      <c r="S59" s="5" t="str">
        <f>IF(ISBLANK(Лист1!S59),"",Лист1!S59)</f>
        <v>"6B01705 - Иностранный язык: два иностранных языка (английский)", В018-Подготовка учителей иностранного языка</v>
      </c>
      <c r="T59" s="5" t="str">
        <f>IF(ISBLANK(Лист1!T59),"",Лист1!T59)</f>
        <v>очное</v>
      </c>
      <c r="U59" s="5" t="str">
        <f>IF(ISBLANK(Лист1!U59),"",Лист1!U59)</f>
        <v/>
      </c>
      <c r="V59" s="5" t="str">
        <f>IF(ISBLANK(Лист1!V59),"",Лист1!V59)</f>
        <v>28</v>
      </c>
      <c r="W59" s="5" t="str">
        <f>IF(ISBLANK(Лист1!W59),"",Лист1!W59)</f>
        <v>маусым</v>
      </c>
      <c r="X59" s="5" t="str">
        <f>IF(ISBLANK(Лист1!X59),"",Лист1!X59)</f>
        <v>031005650497</v>
      </c>
      <c r="Y59" s="5" t="str">
        <f>IF(ISERROR(VLOOKUP($X59,Лист2!$A$2:$G$498,1,FALSE)),"",VLOOKUP($X59,Лист2!$A$2:$G$498,1,FALSE))</f>
        <v>031005650497</v>
      </c>
      <c r="Z59" s="5" t="str">
        <f>IF(ISERROR(VLOOKUP($X59,Лист2!$A$2:$L$498,9,FALSE)),"",VLOOKUP($X59,Лист2!$A$2:$L$498,9,FALSE))</f>
        <v>BD</v>
      </c>
      <c r="AA59" s="5" t="str">
        <f>IF(ISERROR(VLOOKUP($X59,Лист2!$A$2:$L$498,10,FALSE)),"",VLOOKUP($X59,Лист2!$A$2:$L$498,10,FALSE))</f>
        <v>00025637025</v>
      </c>
      <c r="AB59" s="5" t="str">
        <f>IF(ISERROR(VLOOKUP($X59,Лист2!$A$2:$M$498,13,FALSE)),"",VLOOKUP($X59,Лист2!$A$2:$M$498,13,FALSE))</f>
        <v>https://epvo.kz/#/verification_education_document?iin=031005650497&amp;diplomaSeries=BD&amp;diplomaNumber=00025637025</v>
      </c>
    </row>
    <row r="60" spans="1:28" x14ac:dyDescent="0.25">
      <c r="A60" s="5" t="str">
        <f>IF(ISBLANK(Лист1!A60),"",Лист1!A60)</f>
        <v>21</v>
      </c>
      <c r="B60" s="5" t="str">
        <f>IF(ISBLANK(Лист1!B60),"",Лист1!B60)</f>
        <v>маусымдағы</v>
      </c>
      <c r="C60" s="5" t="str">
        <f>IF(ISBLANK(Лист1!C60),"",Лист1!C60)</f>
        <v>23</v>
      </c>
      <c r="D60" s="5" t="str">
        <f>IF(ISBLANK(Лист1!D60),"",Лист1!D60)</f>
        <v>Дүйсенбаева  Мерей  Усайынқызына</v>
      </c>
      <c r="E60" s="5" t="str">
        <f>IF(ISBLANK(Лист1!E60),"",Лист1!E60)</f>
        <v>"6В01705 - Шетел тілі: екі шетел тілі (ағылшын)", В018-Шет тілі мұғалімдерін даярлау</v>
      </c>
      <c r="F60" s="5" t="str">
        <f>IF(ISBLANK(Лист1!F60),"",Лист1!F60)</f>
        <v>білім</v>
      </c>
      <c r="G60" s="5" t="str">
        <f>IF(ISBLANK(Лист1!G60),"",Лист1!G60)</f>
        <v>күндізгі</v>
      </c>
      <c r="H60" s="5" t="str">
        <f>IF(ISBLANK(Лист1!H60),"",Лист1!H60)</f>
        <v>Duisenbayeva  Merey</v>
      </c>
      <c r="I60" s="5" t="str">
        <f>IF(ISBLANK(Лист1!I60),"",Лист1!I60)</f>
        <v>Education</v>
      </c>
      <c r="J60" s="5" t="str">
        <f>IF(ISBLANK(Лист1!J60),"",Лист1!J60)</f>
        <v>"6B01705 - Foreign language: two foreign languages (English)", B018-Training of foreign language teachers</v>
      </c>
      <c r="K60" s="5" t="str">
        <f>IF(ISBLANK(Лист1!K60),"",Лист1!K60)</f>
        <v>full-time</v>
      </c>
      <c r="L60" s="5" t="str">
        <f>IF(ISBLANK(Лист1!L60),"",Лист1!L60)</f>
        <v>21</v>
      </c>
      <c r="M60" s="5" t="str">
        <f>IF(ISBLANK(Лист1!M60),"",Лист1!M60)</f>
        <v>June</v>
      </c>
      <c r="N60" s="5" t="str">
        <f>IF(ISBLANK(Лист1!N60),"",Лист1!N60)</f>
        <v>21</v>
      </c>
      <c r="O60" s="5" t="str">
        <f>IF(ISBLANK(Лист1!O60),"",Лист1!O60)</f>
        <v>июня</v>
      </c>
      <c r="P60" s="5" t="str">
        <f>IF(ISBLANK(Лист1!P60),"",Лист1!P60)</f>
        <v>23</v>
      </c>
      <c r="Q60" s="5" t="str">
        <f>IF(ISBLANK(Лист1!Q60),"",Лист1!Q60)</f>
        <v>Дүйсенбаева  Мерей  Усайынқызы</v>
      </c>
      <c r="R60" s="5" t="str">
        <f>IF(ISBLANK(Лист1!R60),"",Лист1!R60)</f>
        <v>образования</v>
      </c>
      <c r="S60" s="5" t="str">
        <f>IF(ISBLANK(Лист1!S60),"",Лист1!S60)</f>
        <v>"6B01705 - Иностранный язык: два иностранных языка (английский)", В018-Подготовка учителей иностранного языка</v>
      </c>
      <c r="T60" s="5" t="str">
        <f>IF(ISBLANK(Лист1!T60),"",Лист1!T60)</f>
        <v>очное</v>
      </c>
      <c r="U60" s="5" t="str">
        <f>IF(ISBLANK(Лист1!U60),"",Лист1!U60)</f>
        <v/>
      </c>
      <c r="V60" s="5" t="str">
        <f>IF(ISBLANK(Лист1!V60),"",Лист1!V60)</f>
        <v>28</v>
      </c>
      <c r="W60" s="5" t="str">
        <f>IF(ISBLANK(Лист1!W60),"",Лист1!W60)</f>
        <v>маусым</v>
      </c>
      <c r="X60" s="5" t="str">
        <f>IF(ISBLANK(Лист1!X60),"",Лист1!X60)</f>
        <v>040601650585</v>
      </c>
      <c r="Y60" s="5" t="str">
        <f>IF(ISERROR(VLOOKUP($X60,Лист2!$A$2:$G$498,1,FALSE)),"",VLOOKUP($X60,Лист2!$A$2:$G$498,1,FALSE))</f>
        <v>040601650585</v>
      </c>
      <c r="Z60" s="5" t="str">
        <f>IF(ISERROR(VLOOKUP($X60,Лист2!$A$2:$L$498,9,FALSE)),"",VLOOKUP($X60,Лист2!$A$2:$L$498,9,FALSE))</f>
        <v>BD</v>
      </c>
      <c r="AA60" s="5" t="str">
        <f>IF(ISERROR(VLOOKUP($X60,Лист2!$A$2:$L$498,10,FALSE)),"",VLOOKUP($X60,Лист2!$A$2:$L$498,10,FALSE))</f>
        <v>00025637125</v>
      </c>
      <c r="AB60" s="5" t="str">
        <f>IF(ISERROR(VLOOKUP($X60,Лист2!$A$2:$M$498,13,FALSE)),"",VLOOKUP($X60,Лист2!$A$2:$M$498,13,FALSE))</f>
        <v>https://epvo.kz/#/verification_education_document?iin=040601650585&amp;diplomaSeries=BD&amp;diplomaNumber=00025637125</v>
      </c>
    </row>
    <row r="61" spans="1:28" x14ac:dyDescent="0.25">
      <c r="A61" s="5" t="str">
        <f>IF(ISBLANK(Лист1!A61),"",Лист1!A61)</f>
        <v>21</v>
      </c>
      <c r="B61" s="5" t="str">
        <f>IF(ISBLANK(Лист1!B61),"",Лист1!B61)</f>
        <v>маусымдағы</v>
      </c>
      <c r="C61" s="5" t="str">
        <f>IF(ISBLANK(Лист1!C61),"",Лист1!C61)</f>
        <v>24</v>
      </c>
      <c r="D61" s="5" t="str">
        <f>IF(ISBLANK(Лист1!D61),"",Лист1!D61)</f>
        <v>Елтай  Зарина  Мұхтарқызына</v>
      </c>
      <c r="E61" s="5" t="str">
        <f>IF(ISBLANK(Лист1!E61),"",Лист1!E61)</f>
        <v>"6В01705 - Шетел тілі: екі шетел тілі (ағылшын)", В018-Шет тілі мұғалімдерін даярлау</v>
      </c>
      <c r="F61" s="5" t="str">
        <f>IF(ISBLANK(Лист1!F61),"",Лист1!F61)</f>
        <v>білім</v>
      </c>
      <c r="G61" s="5" t="str">
        <f>IF(ISBLANK(Лист1!G61),"",Лист1!G61)</f>
        <v>күндізгі</v>
      </c>
      <c r="H61" s="5" t="str">
        <f>IF(ISBLANK(Лист1!H61),"",Лист1!H61)</f>
        <v>Yeltay  Zarina</v>
      </c>
      <c r="I61" s="5" t="str">
        <f>IF(ISBLANK(Лист1!I61),"",Лист1!I61)</f>
        <v>Education</v>
      </c>
      <c r="J61" s="5" t="str">
        <f>IF(ISBLANK(Лист1!J61),"",Лист1!J61)</f>
        <v>"6B01705 - Foreign language: two foreign languages (English)", B018-Training of foreign language teachers</v>
      </c>
      <c r="K61" s="5" t="str">
        <f>IF(ISBLANK(Лист1!K61),"",Лист1!K61)</f>
        <v>full-time</v>
      </c>
      <c r="L61" s="5" t="str">
        <f>IF(ISBLANK(Лист1!L61),"",Лист1!L61)</f>
        <v>21</v>
      </c>
      <c r="M61" s="5" t="str">
        <f>IF(ISBLANK(Лист1!M61),"",Лист1!M61)</f>
        <v>June</v>
      </c>
      <c r="N61" s="5" t="str">
        <f>IF(ISBLANK(Лист1!N61),"",Лист1!N61)</f>
        <v>21</v>
      </c>
      <c r="O61" s="5" t="str">
        <f>IF(ISBLANK(Лист1!O61),"",Лист1!O61)</f>
        <v>июня</v>
      </c>
      <c r="P61" s="5" t="str">
        <f>IF(ISBLANK(Лист1!P61),"",Лист1!P61)</f>
        <v>24</v>
      </c>
      <c r="Q61" s="5" t="str">
        <f>IF(ISBLANK(Лист1!Q61),"",Лист1!Q61)</f>
        <v>Елтай  Зарина  Мұхтарқызы</v>
      </c>
      <c r="R61" s="5" t="str">
        <f>IF(ISBLANK(Лист1!R61),"",Лист1!R61)</f>
        <v>образования</v>
      </c>
      <c r="S61" s="5" t="str">
        <f>IF(ISBLANK(Лист1!S61),"",Лист1!S61)</f>
        <v>"6B01705 - Иностранный язык: два иностранных языка (английский)", В018-Подготовка учителей иностранного языка</v>
      </c>
      <c r="T61" s="5" t="str">
        <f>IF(ISBLANK(Лист1!T61),"",Лист1!T61)</f>
        <v>очное</v>
      </c>
      <c r="U61" s="5" t="str">
        <f>IF(ISBLANK(Лист1!U61),"",Лист1!U61)</f>
        <v/>
      </c>
      <c r="V61" s="5" t="str">
        <f>IF(ISBLANK(Лист1!V61),"",Лист1!V61)</f>
        <v>28</v>
      </c>
      <c r="W61" s="5" t="str">
        <f>IF(ISBLANK(Лист1!W61),"",Лист1!W61)</f>
        <v>маусым</v>
      </c>
      <c r="X61" s="5" t="str">
        <f>IF(ISBLANK(Лист1!X61),"",Лист1!X61)</f>
        <v>040209600964</v>
      </c>
      <c r="Y61" s="5" t="str">
        <f>IF(ISERROR(VLOOKUP($X61,Лист2!$A$2:$G$498,1,FALSE)),"",VLOOKUP($X61,Лист2!$A$2:$G$498,1,FALSE))</f>
        <v>040209600964</v>
      </c>
      <c r="Z61" s="5" t="str">
        <f>IF(ISERROR(VLOOKUP($X61,Лист2!$A$2:$L$498,9,FALSE)),"",VLOOKUP($X61,Лист2!$A$2:$L$498,9,FALSE))</f>
        <v>BD</v>
      </c>
      <c r="AA61" s="5" t="str">
        <f>IF(ISERROR(VLOOKUP($X61,Лист2!$A$2:$L$498,10,FALSE)),"",VLOOKUP($X61,Лист2!$A$2:$L$498,10,FALSE))</f>
        <v>00025637325</v>
      </c>
      <c r="AB61" s="5" t="str">
        <f>IF(ISERROR(VLOOKUP($X61,Лист2!$A$2:$M$498,13,FALSE)),"",VLOOKUP($X61,Лист2!$A$2:$M$498,13,FALSE))</f>
        <v>https://epvo.kz/#/verification_education_document?iin=040209600964&amp;diplomaSeries=BD&amp;diplomaNumber=00025637325</v>
      </c>
    </row>
    <row r="62" spans="1:28" x14ac:dyDescent="0.25">
      <c r="A62" s="5" t="str">
        <f>IF(ISBLANK(Лист1!A62),"",Лист1!A62)</f>
        <v>21</v>
      </c>
      <c r="B62" s="5" t="str">
        <f>IF(ISBLANK(Лист1!B62),"",Лист1!B62)</f>
        <v>маусымдағы</v>
      </c>
      <c r="C62" s="5" t="str">
        <f>IF(ISBLANK(Лист1!C62),"",Лист1!C62)</f>
        <v>04</v>
      </c>
      <c r="D62" s="5" t="str">
        <f>IF(ISBLANK(Лист1!D62),"",Лист1!D62)</f>
        <v>Ерайдарқызы  Алуаға</v>
      </c>
      <c r="E62" s="5" t="str">
        <f>IF(ISBLANK(Лист1!E62),"",Лист1!E62)</f>
        <v>"6В01705 - Шетел тілі: екі шетел тілі (ағылшын)", В018-Шет тілі мұғалімдерін даярлау</v>
      </c>
      <c r="F62" s="5" t="str">
        <f>IF(ISBLANK(Лист1!F62),"",Лист1!F62)</f>
        <v>білім</v>
      </c>
      <c r="G62" s="5" t="str">
        <f>IF(ISBLANK(Лист1!G62),"",Лист1!G62)</f>
        <v>күндізгі</v>
      </c>
      <c r="H62" s="5" t="str">
        <f>IF(ISBLANK(Лист1!H62),"",Лист1!H62)</f>
        <v>Yeraidarkyzy  Alua</v>
      </c>
      <c r="I62" s="5" t="str">
        <f>IF(ISBLANK(Лист1!I62),"",Лист1!I62)</f>
        <v>Education</v>
      </c>
      <c r="J62" s="5" t="str">
        <f>IF(ISBLANK(Лист1!J62),"",Лист1!J62)</f>
        <v>"6B01705 - Foreign language: two foreign languages (English)", B018-Training of foreign language teachers</v>
      </c>
      <c r="K62" s="5" t="str">
        <f>IF(ISBLANK(Лист1!K62),"",Лист1!K62)</f>
        <v>full-time</v>
      </c>
      <c r="L62" s="5" t="str">
        <f>IF(ISBLANK(Лист1!L62),"",Лист1!L62)</f>
        <v>21</v>
      </c>
      <c r="M62" s="5" t="str">
        <f>IF(ISBLANK(Лист1!M62),"",Лист1!M62)</f>
        <v>June</v>
      </c>
      <c r="N62" s="5" t="str">
        <f>IF(ISBLANK(Лист1!N62),"",Лист1!N62)</f>
        <v>21</v>
      </c>
      <c r="O62" s="5" t="str">
        <f>IF(ISBLANK(Лист1!O62),"",Лист1!O62)</f>
        <v>июня</v>
      </c>
      <c r="P62" s="5" t="str">
        <f>IF(ISBLANK(Лист1!P62),"",Лист1!P62)</f>
        <v>04</v>
      </c>
      <c r="Q62" s="5" t="str">
        <f>IF(ISBLANK(Лист1!Q62),"",Лист1!Q62)</f>
        <v xml:space="preserve">Ерайдарқызы  Алуа  </v>
      </c>
      <c r="R62" s="5" t="str">
        <f>IF(ISBLANK(Лист1!R62),"",Лист1!R62)</f>
        <v>образования</v>
      </c>
      <c r="S62" s="5" t="str">
        <f>IF(ISBLANK(Лист1!S62),"",Лист1!S62)</f>
        <v>"6B01705 - Иностранный язык: два иностранных языка (английский)", В018-Подготовка учителей иностранного языка</v>
      </c>
      <c r="T62" s="5" t="str">
        <f>IF(ISBLANK(Лист1!T62),"",Лист1!T62)</f>
        <v>очное</v>
      </c>
      <c r="U62" s="5" t="str">
        <f>IF(ISBLANK(Лист1!U62),"",Лист1!U62)</f>
        <v/>
      </c>
      <c r="V62" s="5" t="str">
        <f>IF(ISBLANK(Лист1!V62),"",Лист1!V62)</f>
        <v>28</v>
      </c>
      <c r="W62" s="5" t="str">
        <f>IF(ISBLANK(Лист1!W62),"",Лист1!W62)</f>
        <v>маусым</v>
      </c>
      <c r="X62" s="5" t="str">
        <f>IF(ISBLANK(Лист1!X62),"",Лист1!X62)</f>
        <v>040711600498</v>
      </c>
      <c r="Y62" s="5" t="str">
        <f>IF(ISERROR(VLOOKUP($X62,Лист2!$A$2:$G$498,1,FALSE)),"",VLOOKUP($X62,Лист2!$A$2:$G$498,1,FALSE))</f>
        <v>040711600498</v>
      </c>
      <c r="Z62" s="5" t="str">
        <f>IF(ISERROR(VLOOKUP($X62,Лист2!$A$2:$L$498,9,FALSE)),"",VLOOKUP($X62,Лист2!$A$2:$L$498,9,FALSE))</f>
        <v>BD</v>
      </c>
      <c r="AA62" s="5" t="str">
        <f>IF(ISERROR(VLOOKUP($X62,Лист2!$A$2:$L$498,10,FALSE)),"",VLOOKUP($X62,Лист2!$A$2:$L$498,10,FALSE))</f>
        <v>00025637625</v>
      </c>
      <c r="AB62" s="5" t="str">
        <f>IF(ISERROR(VLOOKUP($X62,Лист2!$A$2:$M$498,13,FALSE)),"",VLOOKUP($X62,Лист2!$A$2:$M$498,13,FALSE))</f>
        <v>https://epvo.kz/#/verification_education_document?iin=040711600498&amp;diplomaSeries=BD&amp;diplomaNumber=00025637625</v>
      </c>
    </row>
    <row r="63" spans="1:28" x14ac:dyDescent="0.25">
      <c r="A63" s="5" t="str">
        <f>IF(ISBLANK(Лист1!A63),"",Лист1!A63)</f>
        <v>21</v>
      </c>
      <c r="B63" s="5" t="str">
        <f>IF(ISBLANK(Лист1!B63),"",Лист1!B63)</f>
        <v>маусымдағы</v>
      </c>
      <c r="C63" s="5" t="str">
        <f>IF(ISBLANK(Лист1!C63),"",Лист1!C63)</f>
        <v>25</v>
      </c>
      <c r="D63" s="5" t="str">
        <f>IF(ISBLANK(Лист1!D63),"",Лист1!D63)</f>
        <v>Ерболатқызы  Розаға</v>
      </c>
      <c r="E63" s="5" t="str">
        <f>IF(ISBLANK(Лист1!E63),"",Лист1!E63)</f>
        <v>"6В01705 - Шетел тілі: екі шетел тілі (ағылшын)", В018-Шет тілі мұғалімдерін даярлау</v>
      </c>
      <c r="F63" s="5" t="str">
        <f>IF(ISBLANK(Лист1!F63),"",Лист1!F63)</f>
        <v>білім</v>
      </c>
      <c r="G63" s="5" t="str">
        <f>IF(ISBLANK(Лист1!G63),"",Лист1!G63)</f>
        <v>күндізгі</v>
      </c>
      <c r="H63" s="5" t="str">
        <f>IF(ISBLANK(Лист1!H63),"",Лист1!H63)</f>
        <v>Yerbolatkyzy  Roza</v>
      </c>
      <c r="I63" s="5" t="str">
        <f>IF(ISBLANK(Лист1!I63),"",Лист1!I63)</f>
        <v>Education</v>
      </c>
      <c r="J63" s="5" t="str">
        <f>IF(ISBLANK(Лист1!J63),"",Лист1!J63)</f>
        <v>"6B01705 - Foreign language: two foreign languages (English)", B018-Training of foreign language teachers</v>
      </c>
      <c r="K63" s="5" t="str">
        <f>IF(ISBLANK(Лист1!K63),"",Лист1!K63)</f>
        <v>full-time</v>
      </c>
      <c r="L63" s="5" t="str">
        <f>IF(ISBLANK(Лист1!L63),"",Лист1!L63)</f>
        <v>21</v>
      </c>
      <c r="M63" s="5" t="str">
        <f>IF(ISBLANK(Лист1!M63),"",Лист1!M63)</f>
        <v>June</v>
      </c>
      <c r="N63" s="5" t="str">
        <f>IF(ISBLANK(Лист1!N63),"",Лист1!N63)</f>
        <v>21</v>
      </c>
      <c r="O63" s="5" t="str">
        <f>IF(ISBLANK(Лист1!O63),"",Лист1!O63)</f>
        <v>июня</v>
      </c>
      <c r="P63" s="5" t="str">
        <f>IF(ISBLANK(Лист1!P63),"",Лист1!P63)</f>
        <v>25</v>
      </c>
      <c r="Q63" s="5" t="str">
        <f>IF(ISBLANK(Лист1!Q63),"",Лист1!Q63)</f>
        <v xml:space="preserve">Ерболатқызы  Роза  </v>
      </c>
      <c r="R63" s="5" t="str">
        <f>IF(ISBLANK(Лист1!R63),"",Лист1!R63)</f>
        <v>образования</v>
      </c>
      <c r="S63" s="5" t="str">
        <f>IF(ISBLANK(Лист1!S63),"",Лист1!S63)</f>
        <v>"6B01705 - Иностранный язык: два иностранных языка (английский)", В018-Подготовка учителей иностранного языка</v>
      </c>
      <c r="T63" s="5" t="str">
        <f>IF(ISBLANK(Лист1!T63),"",Лист1!T63)</f>
        <v>очное</v>
      </c>
      <c r="U63" s="5" t="str">
        <f>IF(ISBLANK(Лист1!U63),"",Лист1!U63)</f>
        <v/>
      </c>
      <c r="V63" s="5" t="str">
        <f>IF(ISBLANK(Лист1!V63),"",Лист1!V63)</f>
        <v>28</v>
      </c>
      <c r="W63" s="5" t="str">
        <f>IF(ISBLANK(Лист1!W63),"",Лист1!W63)</f>
        <v>маусым</v>
      </c>
      <c r="X63" s="5" t="str">
        <f>IF(ISBLANK(Лист1!X63),"",Лист1!X63)</f>
        <v>041118651203</v>
      </c>
      <c r="Y63" s="5" t="str">
        <f>IF(ISERROR(VLOOKUP($X63,Лист2!$A$2:$G$498,1,FALSE)),"",VLOOKUP($X63,Лист2!$A$2:$G$498,1,FALSE))</f>
        <v>041118651203</v>
      </c>
      <c r="Z63" s="5" t="str">
        <f>IF(ISERROR(VLOOKUP($X63,Лист2!$A$2:$L$498,9,FALSE)),"",VLOOKUP($X63,Лист2!$A$2:$L$498,9,FALSE))</f>
        <v>BD</v>
      </c>
      <c r="AA63" s="5" t="str">
        <f>IF(ISERROR(VLOOKUP($X63,Лист2!$A$2:$L$498,10,FALSE)),"",VLOOKUP($X63,Лист2!$A$2:$L$498,10,FALSE))</f>
        <v>00025637925</v>
      </c>
      <c r="AB63" s="5" t="str">
        <f>IF(ISERROR(VLOOKUP($X63,Лист2!$A$2:$M$498,13,FALSE)),"",VLOOKUP($X63,Лист2!$A$2:$M$498,13,FALSE))</f>
        <v>https://epvo.kz/#/verification_education_document?iin=041118651203&amp;diplomaSeries=BD&amp;diplomaNumber=00025637925</v>
      </c>
    </row>
    <row r="64" spans="1:28" x14ac:dyDescent="0.25">
      <c r="A64" s="5" t="str">
        <f>IF(ISBLANK(Лист1!A64),"",Лист1!A64)</f>
        <v>21</v>
      </c>
      <c r="B64" s="5" t="str">
        <f>IF(ISBLANK(Лист1!B64),"",Лист1!B64)</f>
        <v>маусымдағы</v>
      </c>
      <c r="C64" s="5" t="str">
        <f>IF(ISBLANK(Лист1!C64),"",Лист1!C64)</f>
        <v>26</v>
      </c>
      <c r="D64" s="5" t="str">
        <f>IF(ISBLANK(Лист1!D64),"",Лист1!D64)</f>
        <v>Ербосын  Фариза  Ерғалиқызына</v>
      </c>
      <c r="E64" s="5" t="str">
        <f>IF(ISBLANK(Лист1!E64),"",Лист1!E64)</f>
        <v>"6В01705 - Шетел тілі: екі шетел тілі (ағылшын)", В018-Шет тілі мұғалімдерін даярлау</v>
      </c>
      <c r="F64" s="5" t="str">
        <f>IF(ISBLANK(Лист1!F64),"",Лист1!F64)</f>
        <v>білім</v>
      </c>
      <c r="G64" s="5" t="str">
        <f>IF(ISBLANK(Лист1!G64),"",Лист1!G64)</f>
        <v>күндізгі</v>
      </c>
      <c r="H64" s="5" t="str">
        <f>IF(ISBLANK(Лист1!H64),"",Лист1!H64)</f>
        <v>Yerbossyn  Fariza</v>
      </c>
      <c r="I64" s="5" t="str">
        <f>IF(ISBLANK(Лист1!I64),"",Лист1!I64)</f>
        <v>Education</v>
      </c>
      <c r="J64" s="5" t="str">
        <f>IF(ISBLANK(Лист1!J64),"",Лист1!J64)</f>
        <v>"6B01705 - Foreign language: two foreign languages (English)", B018-Training of foreign language teachers</v>
      </c>
      <c r="K64" s="5" t="str">
        <f>IF(ISBLANK(Лист1!K64),"",Лист1!K64)</f>
        <v>full-time</v>
      </c>
      <c r="L64" s="5" t="str">
        <f>IF(ISBLANK(Лист1!L64),"",Лист1!L64)</f>
        <v>21</v>
      </c>
      <c r="M64" s="5" t="str">
        <f>IF(ISBLANK(Лист1!M64),"",Лист1!M64)</f>
        <v>June</v>
      </c>
      <c r="N64" s="5" t="str">
        <f>IF(ISBLANK(Лист1!N64),"",Лист1!N64)</f>
        <v>21</v>
      </c>
      <c r="O64" s="5" t="str">
        <f>IF(ISBLANK(Лист1!O64),"",Лист1!O64)</f>
        <v>июня</v>
      </c>
      <c r="P64" s="5" t="str">
        <f>IF(ISBLANK(Лист1!P64),"",Лист1!P64)</f>
        <v>26</v>
      </c>
      <c r="Q64" s="5" t="str">
        <f>IF(ISBLANK(Лист1!Q64),"",Лист1!Q64)</f>
        <v>Ербосын  Фариза  Ерғалиқызы</v>
      </c>
      <c r="R64" s="5" t="str">
        <f>IF(ISBLANK(Лист1!R64),"",Лист1!R64)</f>
        <v>образования</v>
      </c>
      <c r="S64" s="5" t="str">
        <f>IF(ISBLANK(Лист1!S64),"",Лист1!S64)</f>
        <v>"6B01705 - Иностранный язык: два иностранных языка (английский)", В018-Подготовка учителей иностранного языка</v>
      </c>
      <c r="T64" s="5" t="str">
        <f>IF(ISBLANK(Лист1!T64),"",Лист1!T64)</f>
        <v>очное</v>
      </c>
      <c r="U64" s="5" t="str">
        <f>IF(ISBLANK(Лист1!U64),"",Лист1!U64)</f>
        <v/>
      </c>
      <c r="V64" s="5" t="str">
        <f>IF(ISBLANK(Лист1!V64),"",Лист1!V64)</f>
        <v>28</v>
      </c>
      <c r="W64" s="5" t="str">
        <f>IF(ISBLANK(Лист1!W64),"",Лист1!W64)</f>
        <v>маусым</v>
      </c>
      <c r="X64" s="5" t="str">
        <f>IF(ISBLANK(Лист1!X64),"",Лист1!X64)</f>
        <v>040723600324</v>
      </c>
      <c r="Y64" s="5" t="str">
        <f>IF(ISERROR(VLOOKUP($X64,Лист2!$A$2:$G$498,1,FALSE)),"",VLOOKUP($X64,Лист2!$A$2:$G$498,1,FALSE))</f>
        <v>040723600324</v>
      </c>
      <c r="Z64" s="5" t="str">
        <f>IF(ISERROR(VLOOKUP($X64,Лист2!$A$2:$L$498,9,FALSE)),"",VLOOKUP($X64,Лист2!$A$2:$L$498,9,FALSE))</f>
        <v>BD</v>
      </c>
      <c r="AA64" s="5" t="str">
        <f>IF(ISERROR(VLOOKUP($X64,Лист2!$A$2:$L$498,10,FALSE)),"",VLOOKUP($X64,Лист2!$A$2:$L$498,10,FALSE))</f>
        <v>00025638125</v>
      </c>
      <c r="AB64" s="5" t="str">
        <f>IF(ISERROR(VLOOKUP($X64,Лист2!$A$2:$M$498,13,FALSE)),"",VLOOKUP($X64,Лист2!$A$2:$M$498,13,FALSE))</f>
        <v>https://epvo.kz/#/verification_education_document?iin=040723600324&amp;diplomaSeries=BD&amp;diplomaNumber=00025638125</v>
      </c>
    </row>
    <row r="65" spans="1:28" x14ac:dyDescent="0.25">
      <c r="A65" s="5" t="str">
        <f>IF(ISBLANK(Лист1!A65),"",Лист1!A65)</f>
        <v>21</v>
      </c>
      <c r="B65" s="5" t="str">
        <f>IF(ISBLANK(Лист1!B65),"",Лист1!B65)</f>
        <v>маусымдағы</v>
      </c>
      <c r="C65" s="5" t="str">
        <f>IF(ISBLANK(Лист1!C65),"",Лист1!C65)</f>
        <v>27</v>
      </c>
      <c r="D65" s="5" t="str">
        <f>IF(ISBLANK(Лист1!D65),"",Лист1!D65)</f>
        <v>Ергеш  Венера  Маратқызына</v>
      </c>
      <c r="E65" s="5" t="str">
        <f>IF(ISBLANK(Лист1!E65),"",Лист1!E65)</f>
        <v>"6В01705 - Шетел тілі: екі шетел тілі (ағылшын)", В018-Шет тілі мұғалімдерін даярлау</v>
      </c>
      <c r="F65" s="5" t="str">
        <f>IF(ISBLANK(Лист1!F65),"",Лист1!F65)</f>
        <v>білім</v>
      </c>
      <c r="G65" s="5" t="str">
        <f>IF(ISBLANK(Лист1!G65),"",Лист1!G65)</f>
        <v>күндізгі</v>
      </c>
      <c r="H65" s="5" t="str">
        <f>IF(ISBLANK(Лист1!H65),"",Лист1!H65)</f>
        <v>Yergesh  Venera</v>
      </c>
      <c r="I65" s="5" t="str">
        <f>IF(ISBLANK(Лист1!I65),"",Лист1!I65)</f>
        <v>Education</v>
      </c>
      <c r="J65" s="5" t="str">
        <f>IF(ISBLANK(Лист1!J65),"",Лист1!J65)</f>
        <v>"6B01705 - Foreign language: two foreign languages (English)", B018-Training of foreign language teachers</v>
      </c>
      <c r="K65" s="5" t="str">
        <f>IF(ISBLANK(Лист1!K65),"",Лист1!K65)</f>
        <v>full-time</v>
      </c>
      <c r="L65" s="5" t="str">
        <f>IF(ISBLANK(Лист1!L65),"",Лист1!L65)</f>
        <v>21</v>
      </c>
      <c r="M65" s="5" t="str">
        <f>IF(ISBLANK(Лист1!M65),"",Лист1!M65)</f>
        <v>June</v>
      </c>
      <c r="N65" s="5" t="str">
        <f>IF(ISBLANK(Лист1!N65),"",Лист1!N65)</f>
        <v>21</v>
      </c>
      <c r="O65" s="5" t="str">
        <f>IF(ISBLANK(Лист1!O65),"",Лист1!O65)</f>
        <v>июня</v>
      </c>
      <c r="P65" s="5" t="str">
        <f>IF(ISBLANK(Лист1!P65),"",Лист1!P65)</f>
        <v>27</v>
      </c>
      <c r="Q65" s="5" t="str">
        <f>IF(ISBLANK(Лист1!Q65),"",Лист1!Q65)</f>
        <v>Ергеш  Венера  Маратқызы</v>
      </c>
      <c r="R65" s="5" t="str">
        <f>IF(ISBLANK(Лист1!R65),"",Лист1!R65)</f>
        <v>образования</v>
      </c>
      <c r="S65" s="5" t="str">
        <f>IF(ISBLANK(Лист1!S65),"",Лист1!S65)</f>
        <v>"6B01705 - Иностранный язык: два иностранных языка (английский)", В018-Подготовка учителей иностранного языка</v>
      </c>
      <c r="T65" s="5" t="str">
        <f>IF(ISBLANK(Лист1!T65),"",Лист1!T65)</f>
        <v>очное</v>
      </c>
      <c r="U65" s="5" t="str">
        <f>IF(ISBLANK(Лист1!U65),"",Лист1!U65)</f>
        <v/>
      </c>
      <c r="V65" s="5" t="str">
        <f>IF(ISBLANK(Лист1!V65),"",Лист1!V65)</f>
        <v>28</v>
      </c>
      <c r="W65" s="5" t="str">
        <f>IF(ISBLANK(Лист1!W65),"",Лист1!W65)</f>
        <v>маусым</v>
      </c>
      <c r="X65" s="5" t="str">
        <f>IF(ISBLANK(Лист1!X65),"",Лист1!X65)</f>
        <v>040620600116</v>
      </c>
      <c r="Y65" s="5" t="str">
        <f>IF(ISERROR(VLOOKUP($X65,Лист2!$A$2:$G$498,1,FALSE)),"",VLOOKUP($X65,Лист2!$A$2:$G$498,1,FALSE))</f>
        <v>040620600116</v>
      </c>
      <c r="Z65" s="5" t="str">
        <f>IF(ISERROR(VLOOKUP($X65,Лист2!$A$2:$L$498,9,FALSE)),"",VLOOKUP($X65,Лист2!$A$2:$L$498,9,FALSE))</f>
        <v>BD</v>
      </c>
      <c r="AA65" s="5" t="str">
        <f>IF(ISERROR(VLOOKUP($X65,Лист2!$A$2:$L$498,10,FALSE)),"",VLOOKUP($X65,Лист2!$A$2:$L$498,10,FALSE))</f>
        <v>00025638825</v>
      </c>
      <c r="AB65" s="5" t="str">
        <f>IF(ISERROR(VLOOKUP($X65,Лист2!$A$2:$M$498,13,FALSE)),"",VLOOKUP($X65,Лист2!$A$2:$M$498,13,FALSE))</f>
        <v>https://epvo.kz/#/verification_education_document?iin=040620600116&amp;diplomaSeries=BD&amp;diplomaNumber=00025638825</v>
      </c>
    </row>
    <row r="66" spans="1:28" x14ac:dyDescent="0.25">
      <c r="A66" s="5" t="str">
        <f>IF(ISBLANK(Лист1!A66),"",Лист1!A66)</f>
        <v>21</v>
      </c>
      <c r="B66" s="5" t="str">
        <f>IF(ISBLANK(Лист1!B66),"",Лист1!B66)</f>
        <v>маусымдағы</v>
      </c>
      <c r="C66" s="5" t="str">
        <f>IF(ISBLANK(Лист1!C66),"",Лист1!C66)</f>
        <v>28</v>
      </c>
      <c r="D66" s="5" t="str">
        <f>IF(ISBLANK(Лист1!D66),"",Лист1!D66)</f>
        <v>Ерқасымова  Арайлым  Габидуллақызына</v>
      </c>
      <c r="E66" s="5" t="str">
        <f>IF(ISBLANK(Лист1!E66),"",Лист1!E66)</f>
        <v>"6В01705 - Шетел тілі: екі шетел тілі (ағылшын)", В018-Шет тілі мұғалімдерін даярлау</v>
      </c>
      <c r="F66" s="5" t="str">
        <f>IF(ISBLANK(Лист1!F66),"",Лист1!F66)</f>
        <v>білім</v>
      </c>
      <c r="G66" s="5" t="str">
        <f>IF(ISBLANK(Лист1!G66),"",Лист1!G66)</f>
        <v>күндізгі</v>
      </c>
      <c r="H66" s="5" t="str">
        <f>IF(ISBLANK(Лист1!H66),"",Лист1!H66)</f>
        <v>Yerkassymova  Arailym</v>
      </c>
      <c r="I66" s="5" t="str">
        <f>IF(ISBLANK(Лист1!I66),"",Лист1!I66)</f>
        <v>Education</v>
      </c>
      <c r="J66" s="5" t="str">
        <f>IF(ISBLANK(Лист1!J66),"",Лист1!J66)</f>
        <v>"6B01705 - Foreign language: two foreign languages (English)", B018-Training of foreign language teachers</v>
      </c>
      <c r="K66" s="5" t="str">
        <f>IF(ISBLANK(Лист1!K66),"",Лист1!K66)</f>
        <v>full-time</v>
      </c>
      <c r="L66" s="5" t="str">
        <f>IF(ISBLANK(Лист1!L66),"",Лист1!L66)</f>
        <v>21</v>
      </c>
      <c r="M66" s="5" t="str">
        <f>IF(ISBLANK(Лист1!M66),"",Лист1!M66)</f>
        <v>June</v>
      </c>
      <c r="N66" s="5" t="str">
        <f>IF(ISBLANK(Лист1!N66),"",Лист1!N66)</f>
        <v>21</v>
      </c>
      <c r="O66" s="5" t="str">
        <f>IF(ISBLANK(Лист1!O66),"",Лист1!O66)</f>
        <v>июня</v>
      </c>
      <c r="P66" s="5" t="str">
        <f>IF(ISBLANK(Лист1!P66),"",Лист1!P66)</f>
        <v>28</v>
      </c>
      <c r="Q66" s="5" t="str">
        <f>IF(ISBLANK(Лист1!Q66),"",Лист1!Q66)</f>
        <v>Ерқасымова  Арайлым  Габидуллақызы</v>
      </c>
      <c r="R66" s="5" t="str">
        <f>IF(ISBLANK(Лист1!R66),"",Лист1!R66)</f>
        <v>образования</v>
      </c>
      <c r="S66" s="5" t="str">
        <f>IF(ISBLANK(Лист1!S66),"",Лист1!S66)</f>
        <v>"6B01705 - Иностранный язык: два иностранных языка (английский)", В018-Подготовка учителей иностранного языка</v>
      </c>
      <c r="T66" s="5" t="str">
        <f>IF(ISBLANK(Лист1!T66),"",Лист1!T66)</f>
        <v>очное</v>
      </c>
      <c r="U66" s="5" t="str">
        <f>IF(ISBLANK(Лист1!U66),"",Лист1!U66)</f>
        <v/>
      </c>
      <c r="V66" s="5" t="str">
        <f>IF(ISBLANK(Лист1!V66),"",Лист1!V66)</f>
        <v>28</v>
      </c>
      <c r="W66" s="5" t="str">
        <f>IF(ISBLANK(Лист1!W66),"",Лист1!W66)</f>
        <v>маусым</v>
      </c>
      <c r="X66" s="5" t="str">
        <f>IF(ISBLANK(Лист1!X66),"",Лист1!X66)</f>
        <v>040615600218</v>
      </c>
      <c r="Y66" s="5" t="str">
        <f>IF(ISERROR(VLOOKUP($X66,Лист2!$A$2:$G$498,1,FALSE)),"",VLOOKUP($X66,Лист2!$A$2:$G$498,1,FALSE))</f>
        <v>040615600218</v>
      </c>
      <c r="Z66" s="5" t="str">
        <f>IF(ISERROR(VLOOKUP($X66,Лист2!$A$2:$L$498,9,FALSE)),"",VLOOKUP($X66,Лист2!$A$2:$L$498,9,FALSE))</f>
        <v>BD</v>
      </c>
      <c r="AA66" s="5" t="str">
        <f>IF(ISERROR(VLOOKUP($X66,Лист2!$A$2:$L$498,10,FALSE)),"",VLOOKUP($X66,Лист2!$A$2:$L$498,10,FALSE))</f>
        <v>00025641025</v>
      </c>
      <c r="AB66" s="5" t="str">
        <f>IF(ISERROR(VLOOKUP($X66,Лист2!$A$2:$M$498,13,FALSE)),"",VLOOKUP($X66,Лист2!$A$2:$M$498,13,FALSE))</f>
        <v>https://epvo.kz/#/verification_education_document?iin=040615600218&amp;diplomaSeries=BD&amp;diplomaNumber=00025641025</v>
      </c>
    </row>
    <row r="67" spans="1:28" x14ac:dyDescent="0.25">
      <c r="A67" s="5" t="str">
        <f>IF(ISBLANK(Лист1!A67),"",Лист1!A67)</f>
        <v>21</v>
      </c>
      <c r="B67" s="5" t="str">
        <f>IF(ISBLANK(Лист1!B67),"",Лист1!B67)</f>
        <v>маусымдағы</v>
      </c>
      <c r="C67" s="5" t="str">
        <f>IF(ISBLANK(Лист1!C67),"",Лист1!C67)</f>
        <v>36</v>
      </c>
      <c r="D67" s="5" t="str">
        <f>IF(ISBLANK(Лист1!D67),"",Лист1!D67)</f>
        <v>Ермекова  Аружан  Ержановнаға</v>
      </c>
      <c r="E67" s="5" t="str">
        <f>IF(ISBLANK(Лист1!E67),"",Лист1!E67)</f>
        <v>"6В01705 - Шетел тілі: екі шетел тілі (ағылшын)", В018-Шет тілі мұғалімдерін даярлау</v>
      </c>
      <c r="F67" s="5" t="str">
        <f>IF(ISBLANK(Лист1!F67),"",Лист1!F67)</f>
        <v>білім</v>
      </c>
      <c r="G67" s="5" t="str">
        <f>IF(ISBLANK(Лист1!G67),"",Лист1!G67)</f>
        <v>күндізгі</v>
      </c>
      <c r="H67" s="5" t="str">
        <f>IF(ISBLANK(Лист1!H67),"",Лист1!H67)</f>
        <v>Yermekova  Aruzhan</v>
      </c>
      <c r="I67" s="5" t="str">
        <f>IF(ISBLANK(Лист1!I67),"",Лист1!I67)</f>
        <v>Education</v>
      </c>
      <c r="J67" s="5" t="str">
        <f>IF(ISBLANK(Лист1!J67),"",Лист1!J67)</f>
        <v>"6B01705 - Foreign language: two foreign languages (English)", B018-Training of foreign language teachers</v>
      </c>
      <c r="K67" s="5" t="str">
        <f>IF(ISBLANK(Лист1!K67),"",Лист1!K67)</f>
        <v>full-time</v>
      </c>
      <c r="L67" s="5" t="str">
        <f>IF(ISBLANK(Лист1!L67),"",Лист1!L67)</f>
        <v>21</v>
      </c>
      <c r="M67" s="5" t="str">
        <f>IF(ISBLANK(Лист1!M67),"",Лист1!M67)</f>
        <v>June</v>
      </c>
      <c r="N67" s="5" t="str">
        <f>IF(ISBLANK(Лист1!N67),"",Лист1!N67)</f>
        <v>21</v>
      </c>
      <c r="O67" s="5" t="str">
        <f>IF(ISBLANK(Лист1!O67),"",Лист1!O67)</f>
        <v>июня</v>
      </c>
      <c r="P67" s="5" t="str">
        <f>IF(ISBLANK(Лист1!P67),"",Лист1!P67)</f>
        <v>36</v>
      </c>
      <c r="Q67" s="5" t="str">
        <f>IF(ISBLANK(Лист1!Q67),"",Лист1!Q67)</f>
        <v>Ермековой  Аружан  Ержановне</v>
      </c>
      <c r="R67" s="5" t="str">
        <f>IF(ISBLANK(Лист1!R67),"",Лист1!R67)</f>
        <v>образования</v>
      </c>
      <c r="S67" s="5" t="str">
        <f>IF(ISBLANK(Лист1!S67),"",Лист1!S67)</f>
        <v>"6B01705 - Иностранный язык: два иностранных языка (английский)", В018-Подготовка учителей иностранного языка</v>
      </c>
      <c r="T67" s="5" t="str">
        <f>IF(ISBLANK(Лист1!T67),"",Лист1!T67)</f>
        <v>очное</v>
      </c>
      <c r="U67" s="5" t="str">
        <f>IF(ISBLANK(Лист1!U67),"",Лист1!U67)</f>
        <v/>
      </c>
      <c r="V67" s="5" t="str">
        <f>IF(ISBLANK(Лист1!V67),"",Лист1!V67)</f>
        <v>28</v>
      </c>
      <c r="W67" s="5" t="str">
        <f>IF(ISBLANK(Лист1!W67),"",Лист1!W67)</f>
        <v>маусым</v>
      </c>
      <c r="X67" s="5" t="str">
        <f>IF(ISBLANK(Лист1!X67),"",Лист1!X67)</f>
        <v>040419651188</v>
      </c>
      <c r="Y67" s="5" t="str">
        <f>IF(ISERROR(VLOOKUP($X67,Лист2!$A$2:$G$498,1,FALSE)),"",VLOOKUP($X67,Лист2!$A$2:$G$498,1,FALSE))</f>
        <v>040419651188</v>
      </c>
      <c r="Z67" s="5" t="str">
        <f>IF(ISERROR(VLOOKUP($X67,Лист2!$A$2:$L$498,9,FALSE)),"",VLOOKUP($X67,Лист2!$A$2:$L$498,9,FALSE))</f>
        <v>BD</v>
      </c>
      <c r="AA67" s="5" t="str">
        <f>IF(ISERROR(VLOOKUP($X67,Лист2!$A$2:$L$498,10,FALSE)),"",VLOOKUP($X67,Лист2!$A$2:$L$498,10,FALSE))</f>
        <v>00025641125</v>
      </c>
      <c r="AB67" s="5" t="str">
        <f>IF(ISERROR(VLOOKUP($X67,Лист2!$A$2:$M$498,13,FALSE)),"",VLOOKUP($X67,Лист2!$A$2:$M$498,13,FALSE))</f>
        <v>https://epvo.kz/#/verification_education_document?iin=040419651188&amp;diplomaSeries=BD&amp;diplomaNumber=00025641125</v>
      </c>
    </row>
    <row r="68" spans="1:28" x14ac:dyDescent="0.25">
      <c r="A68" s="5" t="str">
        <f>IF(ISBLANK(Лист1!A68),"",Лист1!A68)</f>
        <v>21</v>
      </c>
      <c r="B68" s="5" t="str">
        <f>IF(ISBLANK(Лист1!B68),"",Лист1!B68)</f>
        <v>маусымдағы</v>
      </c>
      <c r="C68" s="5" t="str">
        <f>IF(ISBLANK(Лист1!C68),"",Лист1!C68)</f>
        <v>32</v>
      </c>
      <c r="D68" s="5" t="str">
        <f>IF(ISBLANK(Лист1!D68),"",Лист1!D68)</f>
        <v>Есжанова  Жасмин  Сапаровнаға</v>
      </c>
      <c r="E68" s="5" t="str">
        <f>IF(ISBLANK(Лист1!E68),"",Лист1!E68)</f>
        <v>"6В01705 - Шетел тілі: екі шетел тілі (ағылшын)", В018-Шет тілі мұғалімдерін даярлау</v>
      </c>
      <c r="F68" s="5" t="str">
        <f>IF(ISBLANK(Лист1!F68),"",Лист1!F68)</f>
        <v>білім</v>
      </c>
      <c r="G68" s="5" t="str">
        <f>IF(ISBLANK(Лист1!G68),"",Лист1!G68)</f>
        <v>күндізгі</v>
      </c>
      <c r="H68" s="5" t="str">
        <f>IF(ISBLANK(Лист1!H68),"",Лист1!H68)</f>
        <v>Yeszhanova  Zhasmin</v>
      </c>
      <c r="I68" s="5" t="str">
        <f>IF(ISBLANK(Лист1!I68),"",Лист1!I68)</f>
        <v>Education</v>
      </c>
      <c r="J68" s="5" t="str">
        <f>IF(ISBLANK(Лист1!J68),"",Лист1!J68)</f>
        <v>"6B01705 - Foreign language: two foreign languages (English)", B018-Training of foreign language teachers</v>
      </c>
      <c r="K68" s="5" t="str">
        <f>IF(ISBLANK(Лист1!K68),"",Лист1!K68)</f>
        <v>full-time</v>
      </c>
      <c r="L68" s="5" t="str">
        <f>IF(ISBLANK(Лист1!L68),"",Лист1!L68)</f>
        <v>21</v>
      </c>
      <c r="M68" s="5" t="str">
        <f>IF(ISBLANK(Лист1!M68),"",Лист1!M68)</f>
        <v>June</v>
      </c>
      <c r="N68" s="5" t="str">
        <f>IF(ISBLANK(Лист1!N68),"",Лист1!N68)</f>
        <v>21</v>
      </c>
      <c r="O68" s="5" t="str">
        <f>IF(ISBLANK(Лист1!O68),"",Лист1!O68)</f>
        <v>июня</v>
      </c>
      <c r="P68" s="5" t="str">
        <f>IF(ISBLANK(Лист1!P68),"",Лист1!P68)</f>
        <v>32</v>
      </c>
      <c r="Q68" s="5" t="str">
        <f>IF(ISBLANK(Лист1!Q68),"",Лист1!Q68)</f>
        <v>Есжановой  Жасмин  Сапаровне</v>
      </c>
      <c r="R68" s="5" t="str">
        <f>IF(ISBLANK(Лист1!R68),"",Лист1!R68)</f>
        <v>образования</v>
      </c>
      <c r="S68" s="5" t="str">
        <f>IF(ISBLANK(Лист1!S68),"",Лист1!S68)</f>
        <v>"6B01705 - Иностранный язык: два иностранных языка (английский)", В018-Подготовка учителей иностранного языка</v>
      </c>
      <c r="T68" s="5" t="str">
        <f>IF(ISBLANK(Лист1!T68),"",Лист1!T68)</f>
        <v>очное</v>
      </c>
      <c r="U68" s="5" t="str">
        <f>IF(ISBLANK(Лист1!U68),"",Лист1!U68)</f>
        <v/>
      </c>
      <c r="V68" s="5" t="str">
        <f>IF(ISBLANK(Лист1!V68),"",Лист1!V68)</f>
        <v>28</v>
      </c>
      <c r="W68" s="5" t="str">
        <f>IF(ISBLANK(Лист1!W68),"",Лист1!W68)</f>
        <v>маусым</v>
      </c>
      <c r="X68" s="5" t="str">
        <f>IF(ISBLANK(Лист1!X68),"",Лист1!X68)</f>
        <v>030615651230</v>
      </c>
      <c r="Y68" s="5" t="str">
        <f>IF(ISERROR(VLOOKUP($X68,Лист2!$A$2:$G$498,1,FALSE)),"",VLOOKUP($X68,Лист2!$A$2:$G$498,1,FALSE))</f>
        <v>030615651230</v>
      </c>
      <c r="Z68" s="5" t="str">
        <f>IF(ISERROR(VLOOKUP($X68,Лист2!$A$2:$L$498,9,FALSE)),"",VLOOKUP($X68,Лист2!$A$2:$L$498,9,FALSE))</f>
        <v>BD</v>
      </c>
      <c r="AA68" s="5" t="str">
        <f>IF(ISERROR(VLOOKUP($X68,Лист2!$A$2:$L$498,10,FALSE)),"",VLOOKUP($X68,Лист2!$A$2:$L$498,10,FALSE))</f>
        <v>00025641225</v>
      </c>
      <c r="AB68" s="5" t="str">
        <f>IF(ISERROR(VLOOKUP($X68,Лист2!$A$2:$M$498,13,FALSE)),"",VLOOKUP($X68,Лист2!$A$2:$M$498,13,FALSE))</f>
        <v>https://epvo.kz/#/verification_education_document?iin=030615651230&amp;diplomaSeries=BD&amp;diplomaNumber=00025641225</v>
      </c>
    </row>
    <row r="69" spans="1:28" x14ac:dyDescent="0.25">
      <c r="A69" s="5" t="str">
        <f>IF(ISBLANK(Лист1!A69),"",Лист1!A69)</f>
        <v>21</v>
      </c>
      <c r="B69" s="5" t="str">
        <f>IF(ISBLANK(Лист1!B69),"",Лист1!B69)</f>
        <v>маусымдағы</v>
      </c>
      <c r="C69" s="5" t="str">
        <f>IF(ISBLANK(Лист1!C69),"",Лист1!C69)</f>
        <v>33</v>
      </c>
      <c r="D69" s="5" t="str">
        <f>IF(ISBLANK(Лист1!D69),"",Лист1!D69)</f>
        <v>Есимхан  Айсұлу  Мырзаханқызына</v>
      </c>
      <c r="E69" s="5" t="str">
        <f>IF(ISBLANK(Лист1!E69),"",Лист1!E69)</f>
        <v>"6В01705 - Шетел тілі: екі шетел тілі (ағылшын)", В018-Шет тілі мұғалімдерін даярлау</v>
      </c>
      <c r="F69" s="5" t="str">
        <f>IF(ISBLANK(Лист1!F69),"",Лист1!F69)</f>
        <v>білім</v>
      </c>
      <c r="G69" s="5" t="str">
        <f>IF(ISBLANK(Лист1!G69),"",Лист1!G69)</f>
        <v>күндізгі</v>
      </c>
      <c r="H69" s="5" t="str">
        <f>IF(ISBLANK(Лист1!H69),"",Лист1!H69)</f>
        <v>Yessimkhan  Aisulu</v>
      </c>
      <c r="I69" s="5" t="str">
        <f>IF(ISBLANK(Лист1!I69),"",Лист1!I69)</f>
        <v>Education</v>
      </c>
      <c r="J69" s="5" t="str">
        <f>IF(ISBLANK(Лист1!J69),"",Лист1!J69)</f>
        <v>"6B01705 - Foreign language: two foreign languages (English)", B018-Training of foreign language teachers</v>
      </c>
      <c r="K69" s="5" t="str">
        <f>IF(ISBLANK(Лист1!K69),"",Лист1!K69)</f>
        <v>full-time</v>
      </c>
      <c r="L69" s="5" t="str">
        <f>IF(ISBLANK(Лист1!L69),"",Лист1!L69)</f>
        <v>21</v>
      </c>
      <c r="M69" s="5" t="str">
        <f>IF(ISBLANK(Лист1!M69),"",Лист1!M69)</f>
        <v>June</v>
      </c>
      <c r="N69" s="5" t="str">
        <f>IF(ISBLANK(Лист1!N69),"",Лист1!N69)</f>
        <v>21</v>
      </c>
      <c r="O69" s="5" t="str">
        <f>IF(ISBLANK(Лист1!O69),"",Лист1!O69)</f>
        <v>июня</v>
      </c>
      <c r="P69" s="5" t="str">
        <f>IF(ISBLANK(Лист1!P69),"",Лист1!P69)</f>
        <v>33</v>
      </c>
      <c r="Q69" s="5" t="str">
        <f>IF(ISBLANK(Лист1!Q69),"",Лист1!Q69)</f>
        <v>Есимхан  Айсұлу  Мырзаханқызы</v>
      </c>
      <c r="R69" s="5" t="str">
        <f>IF(ISBLANK(Лист1!R69),"",Лист1!R69)</f>
        <v>образования</v>
      </c>
      <c r="S69" s="5" t="str">
        <f>IF(ISBLANK(Лист1!S69),"",Лист1!S69)</f>
        <v>"6B01705 - Иностранный язык: два иностранных языка (английский)", В018-Подготовка учителей иностранного языка</v>
      </c>
      <c r="T69" s="5" t="str">
        <f>IF(ISBLANK(Лист1!T69),"",Лист1!T69)</f>
        <v>очное</v>
      </c>
      <c r="U69" s="5" t="str">
        <f>IF(ISBLANK(Лист1!U69),"",Лист1!U69)</f>
        <v/>
      </c>
      <c r="V69" s="5" t="str">
        <f>IF(ISBLANK(Лист1!V69),"",Лист1!V69)</f>
        <v>28</v>
      </c>
      <c r="W69" s="5" t="str">
        <f>IF(ISBLANK(Лист1!W69),"",Лист1!W69)</f>
        <v>маусым</v>
      </c>
      <c r="X69" s="5" t="str">
        <f>IF(ISBLANK(Лист1!X69),"",Лист1!X69)</f>
        <v>041017600943</v>
      </c>
      <c r="Y69" s="5" t="str">
        <f>IF(ISERROR(VLOOKUP($X69,Лист2!$A$2:$G$498,1,FALSE)),"",VLOOKUP($X69,Лист2!$A$2:$G$498,1,FALSE))</f>
        <v>041017600943</v>
      </c>
      <c r="Z69" s="5" t="str">
        <f>IF(ISERROR(VLOOKUP($X69,Лист2!$A$2:$L$498,9,FALSE)),"",VLOOKUP($X69,Лист2!$A$2:$L$498,9,FALSE))</f>
        <v>BD</v>
      </c>
      <c r="AA69" s="5" t="str">
        <f>IF(ISERROR(VLOOKUP($X69,Лист2!$A$2:$L$498,10,FALSE)),"",VLOOKUP($X69,Лист2!$A$2:$L$498,10,FALSE))</f>
        <v>00025641525</v>
      </c>
      <c r="AB69" s="5" t="str">
        <f>IF(ISERROR(VLOOKUP($X69,Лист2!$A$2:$M$498,13,FALSE)),"",VLOOKUP($X69,Лист2!$A$2:$M$498,13,FALSE))</f>
        <v>https://epvo.kz/#/verification_education_document?iin=041017600943&amp;diplomaSeries=BD&amp;diplomaNumber=00025641525</v>
      </c>
    </row>
    <row r="70" spans="1:28" x14ac:dyDescent="0.25">
      <c r="A70" s="5" t="str">
        <f>IF(ISBLANK(Лист1!A70),"",Лист1!A70)</f>
        <v>21</v>
      </c>
      <c r="B70" s="5" t="str">
        <f>IF(ISBLANK(Лист1!B70),"",Лист1!B70)</f>
        <v>маусымдағы</v>
      </c>
      <c r="C70" s="5" t="str">
        <f>IF(ISBLANK(Лист1!C70),"",Лист1!C70)</f>
        <v>34</v>
      </c>
      <c r="D70" s="5" t="str">
        <f>IF(ISBLANK(Лист1!D70),"",Лист1!D70)</f>
        <v>Есиркеп  Гулнар  Дарменайқызына</v>
      </c>
      <c r="E70" s="5" t="str">
        <f>IF(ISBLANK(Лист1!E70),"",Лист1!E70)</f>
        <v>"6В01705 - Шетел тілі: екі шетел тілі (ағылшын)", В018-Шет тілі мұғалімдерін даярлау</v>
      </c>
      <c r="F70" s="5" t="str">
        <f>IF(ISBLANK(Лист1!F70),"",Лист1!F70)</f>
        <v>білім</v>
      </c>
      <c r="G70" s="5" t="str">
        <f>IF(ISBLANK(Лист1!G70),"",Лист1!G70)</f>
        <v>күндізгі</v>
      </c>
      <c r="H70" s="5" t="str">
        <f>IF(ISBLANK(Лист1!H70),"",Лист1!H70)</f>
        <v>Yessirkep  Gulnar</v>
      </c>
      <c r="I70" s="5" t="str">
        <f>IF(ISBLANK(Лист1!I70),"",Лист1!I70)</f>
        <v>Education</v>
      </c>
      <c r="J70" s="5" t="str">
        <f>IF(ISBLANK(Лист1!J70),"",Лист1!J70)</f>
        <v>"6B01705 - Foreign language: two foreign languages (English)", B018-Training of foreign language teachers</v>
      </c>
      <c r="K70" s="5" t="str">
        <f>IF(ISBLANK(Лист1!K70),"",Лист1!K70)</f>
        <v>full-time</v>
      </c>
      <c r="L70" s="5" t="str">
        <f>IF(ISBLANK(Лист1!L70),"",Лист1!L70)</f>
        <v>21</v>
      </c>
      <c r="M70" s="5" t="str">
        <f>IF(ISBLANK(Лист1!M70),"",Лист1!M70)</f>
        <v>June</v>
      </c>
      <c r="N70" s="5" t="str">
        <f>IF(ISBLANK(Лист1!N70),"",Лист1!N70)</f>
        <v>21</v>
      </c>
      <c r="O70" s="5" t="str">
        <f>IF(ISBLANK(Лист1!O70),"",Лист1!O70)</f>
        <v>июня</v>
      </c>
      <c r="P70" s="5" t="str">
        <f>IF(ISBLANK(Лист1!P70),"",Лист1!P70)</f>
        <v>34</v>
      </c>
      <c r="Q70" s="5" t="str">
        <f>IF(ISBLANK(Лист1!Q70),"",Лист1!Q70)</f>
        <v>Есиркеп  Гулнар  Дарменайқызы</v>
      </c>
      <c r="R70" s="5" t="str">
        <f>IF(ISBLANK(Лист1!R70),"",Лист1!R70)</f>
        <v>образования</v>
      </c>
      <c r="S70" s="5" t="str">
        <f>IF(ISBLANK(Лист1!S70),"",Лист1!S70)</f>
        <v>"6B01705 - Иностранный язык: два иностранных языка (английский)", В018-Подготовка учителей иностранного языка</v>
      </c>
      <c r="T70" s="5" t="str">
        <f>IF(ISBLANK(Лист1!T70),"",Лист1!T70)</f>
        <v>очное</v>
      </c>
      <c r="U70" s="5" t="str">
        <f>IF(ISBLANK(Лист1!U70),"",Лист1!U70)</f>
        <v/>
      </c>
      <c r="V70" s="5" t="str">
        <f>IF(ISBLANK(Лист1!V70),"",Лист1!V70)</f>
        <v>28</v>
      </c>
      <c r="W70" s="5" t="str">
        <f>IF(ISBLANK(Лист1!W70),"",Лист1!W70)</f>
        <v>маусым</v>
      </c>
      <c r="X70" s="5" t="str">
        <f>IF(ISBLANK(Лист1!X70),"",Лист1!X70)</f>
        <v>040229600755</v>
      </c>
      <c r="Y70" s="5" t="str">
        <f>IF(ISERROR(VLOOKUP($X70,Лист2!$A$2:$G$498,1,FALSE)),"",VLOOKUP($X70,Лист2!$A$2:$G$498,1,FALSE))</f>
        <v>040229600755</v>
      </c>
      <c r="Z70" s="5" t="str">
        <f>IF(ISERROR(VLOOKUP($X70,Лист2!$A$2:$L$498,9,FALSE)),"",VLOOKUP($X70,Лист2!$A$2:$L$498,9,FALSE))</f>
        <v>BD</v>
      </c>
      <c r="AA70" s="5" t="str">
        <f>IF(ISERROR(VLOOKUP($X70,Лист2!$A$2:$L$498,10,FALSE)),"",VLOOKUP($X70,Лист2!$A$2:$L$498,10,FALSE))</f>
        <v>00025641725</v>
      </c>
      <c r="AB70" s="5" t="str">
        <f>IF(ISERROR(VLOOKUP($X70,Лист2!$A$2:$M$498,13,FALSE)),"",VLOOKUP($X70,Лист2!$A$2:$M$498,13,FALSE))</f>
        <v>https://epvo.kz/#/verification_education_document?iin=040229600755&amp;diplomaSeries=BD&amp;diplomaNumber=00025641725</v>
      </c>
    </row>
    <row r="71" spans="1:28" x14ac:dyDescent="0.25">
      <c r="A71" s="5" t="str">
        <f>IF(ISBLANK(Лист1!A71),"",Лист1!A71)</f>
        <v>21</v>
      </c>
      <c r="B71" s="5" t="str">
        <f>IF(ISBLANK(Лист1!B71),"",Лист1!B71)</f>
        <v>маусымдағы</v>
      </c>
      <c r="C71" s="5" t="str">
        <f>IF(ISBLANK(Лист1!C71),"",Лист1!C71)</f>
        <v>35</v>
      </c>
      <c r="D71" s="5" t="str">
        <f>IF(ISBLANK(Лист1!D71),"",Лист1!D71)</f>
        <v>Есиркеп  Меруерт  Арманқызына</v>
      </c>
      <c r="E71" s="5" t="str">
        <f>IF(ISBLANK(Лист1!E71),"",Лист1!E71)</f>
        <v>"6В01705 - Шетел тілі: екі шетел тілі (ағылшын)", В018-Шет тілі мұғалімдерін даярлау</v>
      </c>
      <c r="F71" s="5" t="str">
        <f>IF(ISBLANK(Лист1!F71),"",Лист1!F71)</f>
        <v>білім</v>
      </c>
      <c r="G71" s="5" t="str">
        <f>IF(ISBLANK(Лист1!G71),"",Лист1!G71)</f>
        <v>күндізгі</v>
      </c>
      <c r="H71" s="5" t="str">
        <f>IF(ISBLANK(Лист1!H71),"",Лист1!H71)</f>
        <v>Yessirkep  Meruyert</v>
      </c>
      <c r="I71" s="5" t="str">
        <f>IF(ISBLANK(Лист1!I71),"",Лист1!I71)</f>
        <v>Education</v>
      </c>
      <c r="J71" s="5" t="str">
        <f>IF(ISBLANK(Лист1!J71),"",Лист1!J71)</f>
        <v>"6B01705 - Foreign language: two foreign languages (English)", B018-Training of foreign language teachers</v>
      </c>
      <c r="K71" s="5" t="str">
        <f>IF(ISBLANK(Лист1!K71),"",Лист1!K71)</f>
        <v>full-time</v>
      </c>
      <c r="L71" s="5" t="str">
        <f>IF(ISBLANK(Лист1!L71),"",Лист1!L71)</f>
        <v>21</v>
      </c>
      <c r="M71" s="5" t="str">
        <f>IF(ISBLANK(Лист1!M71),"",Лист1!M71)</f>
        <v>June</v>
      </c>
      <c r="N71" s="5" t="str">
        <f>IF(ISBLANK(Лист1!N71),"",Лист1!N71)</f>
        <v>21</v>
      </c>
      <c r="O71" s="5" t="str">
        <f>IF(ISBLANK(Лист1!O71),"",Лист1!O71)</f>
        <v>июня</v>
      </c>
      <c r="P71" s="5" t="str">
        <f>IF(ISBLANK(Лист1!P71),"",Лист1!P71)</f>
        <v>35</v>
      </c>
      <c r="Q71" s="5" t="str">
        <f>IF(ISBLANK(Лист1!Q71),"",Лист1!Q71)</f>
        <v>Есиркеп  Меруерт  Арманқызы</v>
      </c>
      <c r="R71" s="5" t="str">
        <f>IF(ISBLANK(Лист1!R71),"",Лист1!R71)</f>
        <v>образования</v>
      </c>
      <c r="S71" s="5" t="str">
        <f>IF(ISBLANK(Лист1!S71),"",Лист1!S71)</f>
        <v>"6B01705 - Иностранный язык: два иностранных языка (английский)", В018-Подготовка учителей иностранного языка</v>
      </c>
      <c r="T71" s="5" t="str">
        <f>IF(ISBLANK(Лист1!T71),"",Лист1!T71)</f>
        <v>очное</v>
      </c>
      <c r="U71" s="5" t="str">
        <f>IF(ISBLANK(Лист1!U71),"",Лист1!U71)</f>
        <v/>
      </c>
      <c r="V71" s="5" t="str">
        <f>IF(ISBLANK(Лист1!V71),"",Лист1!V71)</f>
        <v>28</v>
      </c>
      <c r="W71" s="5" t="str">
        <f>IF(ISBLANK(Лист1!W71),"",Лист1!W71)</f>
        <v>маусым</v>
      </c>
      <c r="X71" s="5" t="str">
        <f>IF(ISBLANK(Лист1!X71),"",Лист1!X71)</f>
        <v>040321600587</v>
      </c>
      <c r="Y71" s="5" t="str">
        <f>IF(ISERROR(VLOOKUP($X71,Лист2!$A$2:$G$498,1,FALSE)),"",VLOOKUP($X71,Лист2!$A$2:$G$498,1,FALSE))</f>
        <v>040321600587</v>
      </c>
      <c r="Z71" s="5" t="str">
        <f>IF(ISERROR(VLOOKUP($X71,Лист2!$A$2:$L$498,9,FALSE)),"",VLOOKUP($X71,Лист2!$A$2:$L$498,9,FALSE))</f>
        <v>BD</v>
      </c>
      <c r="AA71" s="5" t="str">
        <f>IF(ISERROR(VLOOKUP($X71,Лист2!$A$2:$L$498,10,FALSE)),"",VLOOKUP($X71,Лист2!$A$2:$L$498,10,FALSE))</f>
        <v>00025641825</v>
      </c>
      <c r="AB71" s="5" t="str">
        <f>IF(ISERROR(VLOOKUP($X71,Лист2!$A$2:$M$498,13,FALSE)),"",VLOOKUP($X71,Лист2!$A$2:$M$498,13,FALSE))</f>
        <v>https://epvo.kz/#/verification_education_document?iin=040321600587&amp;diplomaSeries=BD&amp;diplomaNumber=00025641825</v>
      </c>
    </row>
    <row r="72" spans="1:28" x14ac:dyDescent="0.25">
      <c r="A72" s="5" t="str">
        <f>IF(ISBLANK(Лист1!A72),"",Лист1!A72)</f>
        <v>21</v>
      </c>
      <c r="B72" s="5" t="str">
        <f>IF(ISBLANK(Лист1!B72),"",Лист1!B72)</f>
        <v>маусымдағы</v>
      </c>
      <c r="C72" s="5" t="str">
        <f>IF(ISBLANK(Лист1!C72),"",Лист1!C72)</f>
        <v>143</v>
      </c>
      <c r="D72" s="5" t="str">
        <f>IF(ISBLANK(Лист1!D72),"",Лист1!D72)</f>
        <v>Есімкеева  Аида  Алтынбекқызына</v>
      </c>
      <c r="E72" s="5" t="str">
        <f>IF(ISBLANK(Лист1!E72),"",Лист1!E72)</f>
        <v>"6В01705 - Шетел тілі: екі шетел тілі (ағылшын)", В018-Шет тілі мұғалімдерін даярлау</v>
      </c>
      <c r="F72" s="5" t="str">
        <f>IF(ISBLANK(Лист1!F72),"",Лист1!F72)</f>
        <v>білім</v>
      </c>
      <c r="G72" s="5" t="str">
        <f>IF(ISBLANK(Лист1!G72),"",Лист1!G72)</f>
        <v>күндізгі</v>
      </c>
      <c r="H72" s="5" t="str">
        <f>IF(ISBLANK(Лист1!H72),"",Лист1!H72)</f>
        <v>Yessimkeyeva  Aida</v>
      </c>
      <c r="I72" s="5" t="str">
        <f>IF(ISBLANK(Лист1!I72),"",Лист1!I72)</f>
        <v>Education</v>
      </c>
      <c r="J72" s="5" t="str">
        <f>IF(ISBLANK(Лист1!J72),"",Лист1!J72)</f>
        <v>"6B01705 - Foreign language: two foreign languages (English)", B018-Training of foreign language teachers</v>
      </c>
      <c r="K72" s="5" t="str">
        <f>IF(ISBLANK(Лист1!K72),"",Лист1!K72)</f>
        <v>full-time</v>
      </c>
      <c r="L72" s="5" t="str">
        <f>IF(ISBLANK(Лист1!L72),"",Лист1!L72)</f>
        <v>21</v>
      </c>
      <c r="M72" s="5" t="str">
        <f>IF(ISBLANK(Лист1!M72),"",Лист1!M72)</f>
        <v>June</v>
      </c>
      <c r="N72" s="5" t="str">
        <f>IF(ISBLANK(Лист1!N72),"",Лист1!N72)</f>
        <v>21</v>
      </c>
      <c r="O72" s="5" t="str">
        <f>IF(ISBLANK(Лист1!O72),"",Лист1!O72)</f>
        <v>июня</v>
      </c>
      <c r="P72" s="5" t="str">
        <f>IF(ISBLANK(Лист1!P72),"",Лист1!P72)</f>
        <v>143</v>
      </c>
      <c r="Q72" s="5" t="str">
        <f>IF(ISBLANK(Лист1!Q72),"",Лист1!Q72)</f>
        <v>Есімкеева  Аида  Алтынбекқызы</v>
      </c>
      <c r="R72" s="5" t="str">
        <f>IF(ISBLANK(Лист1!R72),"",Лист1!R72)</f>
        <v>образования</v>
      </c>
      <c r="S72" s="5" t="str">
        <f>IF(ISBLANK(Лист1!S72),"",Лист1!S72)</f>
        <v>"6B01705 - Иностранный язык: два иностранных языка (английский)", В018-Подготовка учителей иностранного языка</v>
      </c>
      <c r="T72" s="5" t="str">
        <f>IF(ISBLANK(Лист1!T72),"",Лист1!T72)</f>
        <v>очное</v>
      </c>
      <c r="U72" s="5" t="str">
        <f>IF(ISBLANK(Лист1!U72),"",Лист1!U72)</f>
        <v/>
      </c>
      <c r="V72" s="5" t="str">
        <f>IF(ISBLANK(Лист1!V72),"",Лист1!V72)</f>
        <v>28</v>
      </c>
      <c r="W72" s="5" t="str">
        <f>IF(ISBLANK(Лист1!W72),"",Лист1!W72)</f>
        <v>маусым</v>
      </c>
      <c r="X72" s="5" t="str">
        <f>IF(ISBLANK(Лист1!X72),"",Лист1!X72)</f>
        <v>030613600176</v>
      </c>
      <c r="Y72" s="5" t="str">
        <f>IF(ISERROR(VLOOKUP($X72,Лист2!$A$2:$G$498,1,FALSE)),"",VLOOKUP($X72,Лист2!$A$2:$G$498,1,FALSE))</f>
        <v>030613600176</v>
      </c>
      <c r="Z72" s="5" t="str">
        <f>IF(ISERROR(VLOOKUP($X72,Лист2!$A$2:$L$498,9,FALSE)),"",VLOOKUP($X72,Лист2!$A$2:$L$498,9,FALSE))</f>
        <v>BD</v>
      </c>
      <c r="AA72" s="5" t="str">
        <f>IF(ISERROR(VLOOKUP($X72,Лист2!$A$2:$L$498,10,FALSE)),"",VLOOKUP($X72,Лист2!$A$2:$L$498,10,FALSE))</f>
        <v>00025642025</v>
      </c>
      <c r="AB72" s="5" t="str">
        <f>IF(ISERROR(VLOOKUP($X72,Лист2!$A$2:$M$498,13,FALSE)),"",VLOOKUP($X72,Лист2!$A$2:$M$498,13,FALSE))</f>
        <v>https://epvo.kz/#/verification_education_document?iin=030613600176&amp;diplomaSeries=BD&amp;diplomaNumber=00025642025</v>
      </c>
    </row>
    <row r="73" spans="1:28" x14ac:dyDescent="0.25">
      <c r="A73" s="5" t="str">
        <f>IF(ISBLANK(Лист1!A73),"",Лист1!A73)</f>
        <v>21</v>
      </c>
      <c r="B73" s="5" t="str">
        <f>IF(ISBLANK(Лист1!B73),"",Лист1!B73)</f>
        <v>маусымдағы</v>
      </c>
      <c r="C73" s="5" t="str">
        <f>IF(ISBLANK(Лист1!C73),"",Лист1!C73)</f>
        <v>36</v>
      </c>
      <c r="D73" s="5" t="str">
        <f>IF(ISBLANK(Лист1!D73),"",Лист1!D73)</f>
        <v>Еспенбет  Ақтоты  Муратбекқызына</v>
      </c>
      <c r="E73" s="5" t="str">
        <f>IF(ISBLANK(Лист1!E73),"",Лист1!E73)</f>
        <v>"6В01705 - Шетел тілі: екі шетел тілі (ағылшын)", В018-Шет тілі мұғалімдерін даярлау</v>
      </c>
      <c r="F73" s="5" t="str">
        <f>IF(ISBLANK(Лист1!F73),"",Лист1!F73)</f>
        <v>білім</v>
      </c>
      <c r="G73" s="5" t="str">
        <f>IF(ISBLANK(Лист1!G73),"",Лист1!G73)</f>
        <v>күндізгі</v>
      </c>
      <c r="H73" s="5" t="str">
        <f>IF(ISBLANK(Лист1!H73),"",Лист1!H73)</f>
        <v>Yespenbet Aktoty</v>
      </c>
      <c r="I73" s="5" t="str">
        <f>IF(ISBLANK(Лист1!I73),"",Лист1!I73)</f>
        <v>Education</v>
      </c>
      <c r="J73" s="5" t="str">
        <f>IF(ISBLANK(Лист1!J73),"",Лист1!J73)</f>
        <v>"6B01705 - Foreign language: two foreign languages (English)", B018-Training of foreign language teachers</v>
      </c>
      <c r="K73" s="5" t="str">
        <f>IF(ISBLANK(Лист1!K73),"",Лист1!K73)</f>
        <v>full-time</v>
      </c>
      <c r="L73" s="5" t="str">
        <f>IF(ISBLANK(Лист1!L73),"",Лист1!L73)</f>
        <v>21</v>
      </c>
      <c r="M73" s="5" t="str">
        <f>IF(ISBLANK(Лист1!M73),"",Лист1!M73)</f>
        <v>June</v>
      </c>
      <c r="N73" s="5" t="str">
        <f>IF(ISBLANK(Лист1!N73),"",Лист1!N73)</f>
        <v>21</v>
      </c>
      <c r="O73" s="5" t="str">
        <f>IF(ISBLANK(Лист1!O73),"",Лист1!O73)</f>
        <v>июня</v>
      </c>
      <c r="P73" s="5" t="str">
        <f>IF(ISBLANK(Лист1!P73),"",Лист1!P73)</f>
        <v>36</v>
      </c>
      <c r="Q73" s="5" t="str">
        <f>IF(ISBLANK(Лист1!Q73),"",Лист1!Q73)</f>
        <v>Еспенбет  Ақтоты  Муратбекқызы</v>
      </c>
      <c r="R73" s="5" t="str">
        <f>IF(ISBLANK(Лист1!R73),"",Лист1!R73)</f>
        <v>образования</v>
      </c>
      <c r="S73" s="5" t="str">
        <f>IF(ISBLANK(Лист1!S73),"",Лист1!S73)</f>
        <v>"6B01705 - Иностранный язык: два иностранных языка (английский)", В018-Подготовка учителей иностранного языка</v>
      </c>
      <c r="T73" s="5" t="str">
        <f>IF(ISBLANK(Лист1!T73),"",Лист1!T73)</f>
        <v>очное</v>
      </c>
      <c r="U73" s="5" t="str">
        <f>IF(ISBLANK(Лист1!U73),"",Лист1!U73)</f>
        <v/>
      </c>
      <c r="V73" s="5" t="str">
        <f>IF(ISBLANK(Лист1!V73),"",Лист1!V73)</f>
        <v>28</v>
      </c>
      <c r="W73" s="5" t="str">
        <f>IF(ISBLANK(Лист1!W73),"",Лист1!W73)</f>
        <v>маусым</v>
      </c>
      <c r="X73" s="5" t="str">
        <f>IF(ISBLANK(Лист1!X73),"",Лист1!X73)</f>
        <v>031120600288</v>
      </c>
      <c r="Y73" s="5" t="str">
        <f>IF(ISERROR(VLOOKUP($X73,Лист2!$A$2:$G$498,1,FALSE)),"",VLOOKUP($X73,Лист2!$A$2:$G$498,1,FALSE))</f>
        <v>031120600288</v>
      </c>
      <c r="Z73" s="5" t="str">
        <f>IF(ISERROR(VLOOKUP($X73,Лист2!$A$2:$L$498,9,FALSE)),"",VLOOKUP($X73,Лист2!$A$2:$L$498,9,FALSE))</f>
        <v>BD</v>
      </c>
      <c r="AA73" s="5" t="str">
        <f>IF(ISERROR(VLOOKUP($X73,Лист2!$A$2:$L$498,10,FALSE)),"",VLOOKUP($X73,Лист2!$A$2:$L$498,10,FALSE))</f>
        <v>00025642125</v>
      </c>
      <c r="AB73" s="5" t="str">
        <f>IF(ISERROR(VLOOKUP($X73,Лист2!$A$2:$M$498,13,FALSE)),"",VLOOKUP($X73,Лист2!$A$2:$M$498,13,FALSE))</f>
        <v>https://epvo.kz/#/verification_education_document?iin=031120600288&amp;diplomaSeries=BD&amp;diplomaNumber=00025642125</v>
      </c>
    </row>
    <row r="74" spans="1:28" x14ac:dyDescent="0.25">
      <c r="A74" s="5" t="str">
        <f>IF(ISBLANK(Лист1!A74),"",Лист1!A74)</f>
        <v>21</v>
      </c>
      <c r="B74" s="5" t="str">
        <f>IF(ISBLANK(Лист1!B74),"",Лист1!B74)</f>
        <v>маусымдағы</v>
      </c>
      <c r="C74" s="5" t="str">
        <f>IF(ISBLANK(Лист1!C74),"",Лист1!C74)</f>
        <v>37</v>
      </c>
      <c r="D74" s="5" t="str">
        <f>IF(ISBLANK(Лист1!D74),"",Лист1!D74)</f>
        <v>Естибай  Аружан  Каржаубайқызына</v>
      </c>
      <c r="E74" s="5" t="str">
        <f>IF(ISBLANK(Лист1!E74),"",Лист1!E74)</f>
        <v>"6В01705 - Шетел тілі: екі шетел тілі (ағылшын)", В018-Шет тілі мұғалімдерін даярлау</v>
      </c>
      <c r="F74" s="5" t="str">
        <f>IF(ISBLANK(Лист1!F74),"",Лист1!F74)</f>
        <v>білім</v>
      </c>
      <c r="G74" s="5" t="str">
        <f>IF(ISBLANK(Лист1!G74),"",Лист1!G74)</f>
        <v>күндізгі</v>
      </c>
      <c r="H74" s="5" t="str">
        <f>IF(ISBLANK(Лист1!H74),"",Лист1!H74)</f>
        <v>Yestibay  Aruzhan</v>
      </c>
      <c r="I74" s="5" t="str">
        <f>IF(ISBLANK(Лист1!I74),"",Лист1!I74)</f>
        <v>Education</v>
      </c>
      <c r="J74" s="5" t="str">
        <f>IF(ISBLANK(Лист1!J74),"",Лист1!J74)</f>
        <v>"6B01705 - Foreign language: two foreign languages (English)", B018-Training of foreign language teachers</v>
      </c>
      <c r="K74" s="5" t="str">
        <f>IF(ISBLANK(Лист1!K74),"",Лист1!K74)</f>
        <v>full-time</v>
      </c>
      <c r="L74" s="5" t="str">
        <f>IF(ISBLANK(Лист1!L74),"",Лист1!L74)</f>
        <v>21</v>
      </c>
      <c r="M74" s="5" t="str">
        <f>IF(ISBLANK(Лист1!M74),"",Лист1!M74)</f>
        <v>June</v>
      </c>
      <c r="N74" s="5" t="str">
        <f>IF(ISBLANK(Лист1!N74),"",Лист1!N74)</f>
        <v>21</v>
      </c>
      <c r="O74" s="5" t="str">
        <f>IF(ISBLANK(Лист1!O74),"",Лист1!O74)</f>
        <v>июня</v>
      </c>
      <c r="P74" s="5" t="str">
        <f>IF(ISBLANK(Лист1!P74),"",Лист1!P74)</f>
        <v>37</v>
      </c>
      <c r="Q74" s="5" t="str">
        <f>IF(ISBLANK(Лист1!Q74),"",Лист1!Q74)</f>
        <v>Естибай  Аружан  Каржаубайқызы</v>
      </c>
      <c r="R74" s="5" t="str">
        <f>IF(ISBLANK(Лист1!R74),"",Лист1!R74)</f>
        <v>образования</v>
      </c>
      <c r="S74" s="5" t="str">
        <f>IF(ISBLANK(Лист1!S74),"",Лист1!S74)</f>
        <v>"6B01705 - Иностранный язык: два иностранных языка (английский)", В018-Подготовка учителей иностранного языка</v>
      </c>
      <c r="T74" s="5" t="str">
        <f>IF(ISBLANK(Лист1!T74),"",Лист1!T74)</f>
        <v>очное</v>
      </c>
      <c r="U74" s="5" t="str">
        <f>IF(ISBLANK(Лист1!U74),"",Лист1!U74)</f>
        <v/>
      </c>
      <c r="V74" s="5" t="str">
        <f>IF(ISBLANK(Лист1!V74),"",Лист1!V74)</f>
        <v>28</v>
      </c>
      <c r="W74" s="5" t="str">
        <f>IF(ISBLANK(Лист1!W74),"",Лист1!W74)</f>
        <v>маусым</v>
      </c>
      <c r="X74" s="5" t="str">
        <f>IF(ISBLANK(Лист1!X74),"",Лист1!X74)</f>
        <v>031208601482</v>
      </c>
      <c r="Y74" s="5" t="str">
        <f>IF(ISERROR(VLOOKUP($X74,Лист2!$A$2:$G$498,1,FALSE)),"",VLOOKUP($X74,Лист2!$A$2:$G$498,1,FALSE))</f>
        <v>031208601482</v>
      </c>
      <c r="Z74" s="5" t="str">
        <f>IF(ISERROR(VLOOKUP($X74,Лист2!$A$2:$L$498,9,FALSE)),"",VLOOKUP($X74,Лист2!$A$2:$L$498,9,FALSE))</f>
        <v>BD</v>
      </c>
      <c r="AA74" s="5" t="str">
        <f>IF(ISERROR(VLOOKUP($X74,Лист2!$A$2:$L$498,10,FALSE)),"",VLOOKUP($X74,Лист2!$A$2:$L$498,10,FALSE))</f>
        <v>00025642225</v>
      </c>
      <c r="AB74" s="5" t="str">
        <f>IF(ISERROR(VLOOKUP($X74,Лист2!$A$2:$M$498,13,FALSE)),"",VLOOKUP($X74,Лист2!$A$2:$M$498,13,FALSE))</f>
        <v>https://epvo.kz/#/verification_education_document?iin=031208601482&amp;diplomaSeries=BD&amp;diplomaNumber=00025642225</v>
      </c>
    </row>
    <row r="75" spans="1:28" x14ac:dyDescent="0.25">
      <c r="A75" s="5" t="str">
        <f>IF(ISBLANK(Лист1!A75),"",Лист1!A75)</f>
        <v>21</v>
      </c>
      <c r="B75" s="5" t="str">
        <f>IF(ISBLANK(Лист1!B75),"",Лист1!B75)</f>
        <v>маусымдағы</v>
      </c>
      <c r="C75" s="5" t="str">
        <f>IF(ISBLANK(Лист1!C75),"",Лист1!C75)</f>
        <v>227</v>
      </c>
      <c r="D75" s="5" t="str">
        <f>IF(ISBLANK(Лист1!D75),"",Лист1!D75)</f>
        <v>Әшірбек  Әзізби  Қуанышұлына</v>
      </c>
      <c r="E75" s="5" t="str">
        <f>IF(ISBLANK(Лист1!E75),"",Лист1!E75)</f>
        <v>"6В01705 - Шетел тілі: екі шетел тілі (ағылшын)", В018-Шет тілі мұғалімдерін даярлау</v>
      </c>
      <c r="F75" s="5" t="str">
        <f>IF(ISBLANK(Лист1!F75),"",Лист1!F75)</f>
        <v>білім</v>
      </c>
      <c r="G75" s="5" t="str">
        <f>IF(ISBLANK(Лист1!G75),"",Лист1!G75)</f>
        <v>күндізгі</v>
      </c>
      <c r="H75" s="5" t="str">
        <f>IF(ISBLANK(Лист1!H75),"",Лист1!H75)</f>
        <v>Ashirbek  Azizbi</v>
      </c>
      <c r="I75" s="5" t="str">
        <f>IF(ISBLANK(Лист1!I75),"",Лист1!I75)</f>
        <v>Education</v>
      </c>
      <c r="J75" s="5" t="str">
        <f>IF(ISBLANK(Лист1!J75),"",Лист1!J75)</f>
        <v>"6B01705 - Foreign language: two foreign languages (English)", B018-Training of foreign language teachers</v>
      </c>
      <c r="K75" s="5" t="str">
        <f>IF(ISBLANK(Лист1!K75),"",Лист1!K75)</f>
        <v>full-time</v>
      </c>
      <c r="L75" s="5" t="str">
        <f>IF(ISBLANK(Лист1!L75),"",Лист1!L75)</f>
        <v>21</v>
      </c>
      <c r="M75" s="5" t="str">
        <f>IF(ISBLANK(Лист1!M75),"",Лист1!M75)</f>
        <v>June</v>
      </c>
      <c r="N75" s="5" t="str">
        <f>IF(ISBLANK(Лист1!N75),"",Лист1!N75)</f>
        <v>21</v>
      </c>
      <c r="O75" s="5" t="str">
        <f>IF(ISBLANK(Лист1!O75),"",Лист1!O75)</f>
        <v>июня</v>
      </c>
      <c r="P75" s="5" t="str">
        <f>IF(ISBLANK(Лист1!P75),"",Лист1!P75)</f>
        <v>227</v>
      </c>
      <c r="Q75" s="5" t="str">
        <f>IF(ISBLANK(Лист1!Q75),"",Лист1!Q75)</f>
        <v>Әшірбек  Әзізби  Қуанышұлы</v>
      </c>
      <c r="R75" s="5" t="str">
        <f>IF(ISBLANK(Лист1!R75),"",Лист1!R75)</f>
        <v>образования</v>
      </c>
      <c r="S75" s="5" t="str">
        <f>IF(ISBLANK(Лист1!S75),"",Лист1!S75)</f>
        <v>"6B01705 - Иностранный язык: два иностранных языка (английский)", В018-Подготовка учителей иностранного языка</v>
      </c>
      <c r="T75" s="5" t="str">
        <f>IF(ISBLANK(Лист1!T75),"",Лист1!T75)</f>
        <v>очное</v>
      </c>
      <c r="U75" s="5" t="str">
        <f>IF(ISBLANK(Лист1!U75),"",Лист1!U75)</f>
        <v/>
      </c>
      <c r="V75" s="5" t="str">
        <f>IF(ISBLANK(Лист1!V75),"",Лист1!V75)</f>
        <v>28</v>
      </c>
      <c r="W75" s="5" t="str">
        <f>IF(ISBLANK(Лист1!W75),"",Лист1!W75)</f>
        <v>маусым</v>
      </c>
      <c r="X75" s="5" t="str">
        <f>IF(ISBLANK(Лист1!X75),"",Лист1!X75)</f>
        <v>040920551680</v>
      </c>
      <c r="Y75" s="5" t="str">
        <f>IF(ISERROR(VLOOKUP($X75,Лист2!$A$2:$G$498,1,FALSE)),"",VLOOKUP($X75,Лист2!$A$2:$G$498,1,FALSE))</f>
        <v>040920551680</v>
      </c>
      <c r="Z75" s="5" t="str">
        <f>IF(ISERROR(VLOOKUP($X75,Лист2!$A$2:$L$498,9,FALSE)),"",VLOOKUP($X75,Лист2!$A$2:$L$498,9,FALSE))</f>
        <v>BD</v>
      </c>
      <c r="AA75" s="5" t="str">
        <f>IF(ISERROR(VLOOKUP($X75,Лист2!$A$2:$L$498,10,FALSE)),"",VLOOKUP($X75,Лист2!$A$2:$L$498,10,FALSE))</f>
        <v>00025684725</v>
      </c>
      <c r="AB75" s="5" t="str">
        <f>IF(ISERROR(VLOOKUP($X75,Лист2!$A$2:$M$498,13,FALSE)),"",VLOOKUP($X75,Лист2!$A$2:$M$498,13,FALSE))</f>
        <v>https://epvo.kz/#/verification_education_document?iin=040920551680&amp;diplomaSeries=BD&amp;diplomaNumber=00025684725</v>
      </c>
    </row>
    <row r="76" spans="1:28" x14ac:dyDescent="0.25">
      <c r="A76" s="5" t="str">
        <f>IF(ISBLANK(Лист1!A76),"",Лист1!A76)</f>
        <v>21</v>
      </c>
      <c r="B76" s="5" t="str">
        <f>IF(ISBLANK(Лист1!B76),"",Лист1!B76)</f>
        <v>маусымдағы</v>
      </c>
      <c r="C76" s="5" t="str">
        <f>IF(ISBLANK(Лист1!C76),"",Лист1!C76)</f>
        <v>38</v>
      </c>
      <c r="D76" s="5" t="str">
        <f>IF(ISBLANK(Лист1!D76),"",Лист1!D76)</f>
        <v>Жалгасбаева  Улдай  Оңдасынкызына</v>
      </c>
      <c r="E76" s="5" t="str">
        <f>IF(ISBLANK(Лист1!E76),"",Лист1!E76)</f>
        <v>"6В01705 - Шетел тілі: екі шетел тілі (ағылшын)", В018-Шет тілі мұғалімдерін даярлау</v>
      </c>
      <c r="F76" s="5" t="str">
        <f>IF(ISBLANK(Лист1!F76),"",Лист1!F76)</f>
        <v>білім</v>
      </c>
      <c r="G76" s="5" t="str">
        <f>IF(ISBLANK(Лист1!G76),"",Лист1!G76)</f>
        <v>күндізгі</v>
      </c>
      <c r="H76" s="5" t="str">
        <f>IF(ISBLANK(Лист1!H76),"",Лист1!H76)</f>
        <v>Zhalgasbayeva  Ulday</v>
      </c>
      <c r="I76" s="5" t="str">
        <f>IF(ISBLANK(Лист1!I76),"",Лист1!I76)</f>
        <v>Education</v>
      </c>
      <c r="J76" s="5" t="str">
        <f>IF(ISBLANK(Лист1!J76),"",Лист1!J76)</f>
        <v>"6B01705 - Foreign language: two foreign languages (English)", B018-Training of foreign language teachers</v>
      </c>
      <c r="K76" s="5" t="str">
        <f>IF(ISBLANK(Лист1!K76),"",Лист1!K76)</f>
        <v>full-time</v>
      </c>
      <c r="L76" s="5" t="str">
        <f>IF(ISBLANK(Лист1!L76),"",Лист1!L76)</f>
        <v>21</v>
      </c>
      <c r="M76" s="5" t="str">
        <f>IF(ISBLANK(Лист1!M76),"",Лист1!M76)</f>
        <v>June</v>
      </c>
      <c r="N76" s="5" t="str">
        <f>IF(ISBLANK(Лист1!N76),"",Лист1!N76)</f>
        <v>21</v>
      </c>
      <c r="O76" s="5" t="str">
        <f>IF(ISBLANK(Лист1!O76),"",Лист1!O76)</f>
        <v>июня</v>
      </c>
      <c r="P76" s="5" t="str">
        <f>IF(ISBLANK(Лист1!P76),"",Лист1!P76)</f>
        <v>38</v>
      </c>
      <c r="Q76" s="5" t="str">
        <f>IF(ISBLANK(Лист1!Q76),"",Лист1!Q76)</f>
        <v>Жалгасбаевой  Улдай  Оңдасынкызы</v>
      </c>
      <c r="R76" s="5" t="str">
        <f>IF(ISBLANK(Лист1!R76),"",Лист1!R76)</f>
        <v>образования</v>
      </c>
      <c r="S76" s="5" t="str">
        <f>IF(ISBLANK(Лист1!S76),"",Лист1!S76)</f>
        <v>"6B01705 - Иностранный язык: два иностранных языка (английский)", В018-Подготовка учителей иностранного языка</v>
      </c>
      <c r="T76" s="5" t="str">
        <f>IF(ISBLANK(Лист1!T76),"",Лист1!T76)</f>
        <v>очное</v>
      </c>
      <c r="U76" s="5" t="str">
        <f>IF(ISBLANK(Лист1!U76),"",Лист1!U76)</f>
        <v/>
      </c>
      <c r="V76" s="5" t="str">
        <f>IF(ISBLANK(Лист1!V76),"",Лист1!V76)</f>
        <v>28</v>
      </c>
      <c r="W76" s="5" t="str">
        <f>IF(ISBLANK(Лист1!W76),"",Лист1!W76)</f>
        <v>маусым</v>
      </c>
      <c r="X76" s="5" t="str">
        <f>IF(ISBLANK(Лист1!X76),"",Лист1!X76)</f>
        <v>040907600483</v>
      </c>
      <c r="Y76" s="5" t="str">
        <f>IF(ISERROR(VLOOKUP($X76,Лист2!$A$2:$G$498,1,FALSE)),"",VLOOKUP($X76,Лист2!$A$2:$G$498,1,FALSE))</f>
        <v>040907600483</v>
      </c>
      <c r="Z76" s="5" t="str">
        <f>IF(ISERROR(VLOOKUP($X76,Лист2!$A$2:$L$498,9,FALSE)),"",VLOOKUP($X76,Лист2!$A$2:$L$498,9,FALSE))</f>
        <v>BD</v>
      </c>
      <c r="AA76" s="5" t="str">
        <f>IF(ISERROR(VLOOKUP($X76,Лист2!$A$2:$L$498,10,FALSE)),"",VLOOKUP($X76,Лист2!$A$2:$L$498,10,FALSE))</f>
        <v>00025721425</v>
      </c>
      <c r="AB76" s="5" t="str">
        <f>IF(ISERROR(VLOOKUP($X76,Лист2!$A$2:$M$498,13,FALSE)),"",VLOOKUP($X76,Лист2!$A$2:$M$498,13,FALSE))</f>
        <v>https://epvo.kz/#/verification_education_document?iin=040907600483&amp;diplomaSeries=BD&amp;diplomaNumber=00025721425</v>
      </c>
    </row>
    <row r="77" spans="1:28" x14ac:dyDescent="0.25">
      <c r="A77" s="5" t="str">
        <f>IF(ISBLANK(Лист1!A77),"",Лист1!A77)</f>
        <v>21</v>
      </c>
      <c r="B77" s="5" t="str">
        <f>IF(ISBLANK(Лист1!B77),"",Лист1!B77)</f>
        <v>маусымдағы</v>
      </c>
      <c r="C77" s="5" t="str">
        <f>IF(ISBLANK(Лист1!C77),"",Лист1!C77)</f>
        <v>39</v>
      </c>
      <c r="D77" s="5" t="str">
        <f>IF(ISBLANK(Лист1!D77),"",Лист1!D77)</f>
        <v>Жанабек  Аружан  Ерболқызына</v>
      </c>
      <c r="E77" s="5" t="str">
        <f>IF(ISBLANK(Лист1!E77),"",Лист1!E77)</f>
        <v>"6В01705 - Шетел тілі: екі шетел тілі (ағылшын)", В018-Шет тілі мұғалімдерін даярлау</v>
      </c>
      <c r="F77" s="5" t="str">
        <f>IF(ISBLANK(Лист1!F77),"",Лист1!F77)</f>
        <v>білім</v>
      </c>
      <c r="G77" s="5" t="str">
        <f>IF(ISBLANK(Лист1!G77),"",Лист1!G77)</f>
        <v>күндізгі</v>
      </c>
      <c r="H77" s="5" t="str">
        <f>IF(ISBLANK(Лист1!H77),"",Лист1!H77)</f>
        <v>Zhanabek  Aruzhan</v>
      </c>
      <c r="I77" s="5" t="str">
        <f>IF(ISBLANK(Лист1!I77),"",Лист1!I77)</f>
        <v>Education</v>
      </c>
      <c r="J77" s="5" t="str">
        <f>IF(ISBLANK(Лист1!J77),"",Лист1!J77)</f>
        <v>"6B01705 - Foreign language: two foreign languages (English)", B018-Training of foreign language teachers</v>
      </c>
      <c r="K77" s="5" t="str">
        <f>IF(ISBLANK(Лист1!K77),"",Лист1!K77)</f>
        <v>full-time</v>
      </c>
      <c r="L77" s="5" t="str">
        <f>IF(ISBLANK(Лист1!L77),"",Лист1!L77)</f>
        <v>21</v>
      </c>
      <c r="M77" s="5" t="str">
        <f>IF(ISBLANK(Лист1!M77),"",Лист1!M77)</f>
        <v>June</v>
      </c>
      <c r="N77" s="5" t="str">
        <f>IF(ISBLANK(Лист1!N77),"",Лист1!N77)</f>
        <v>21</v>
      </c>
      <c r="O77" s="5" t="str">
        <f>IF(ISBLANK(Лист1!O77),"",Лист1!O77)</f>
        <v>июня</v>
      </c>
      <c r="P77" s="5" t="str">
        <f>IF(ISBLANK(Лист1!P77),"",Лист1!P77)</f>
        <v>39</v>
      </c>
      <c r="Q77" s="5" t="str">
        <f>IF(ISBLANK(Лист1!Q77),"",Лист1!Q77)</f>
        <v>Жанабек  Аружан  Ерболқызы</v>
      </c>
      <c r="R77" s="5" t="str">
        <f>IF(ISBLANK(Лист1!R77),"",Лист1!R77)</f>
        <v>образования</v>
      </c>
      <c r="S77" s="5" t="str">
        <f>IF(ISBLANK(Лист1!S77),"",Лист1!S77)</f>
        <v>"6B01705 - Иностранный язык: два иностранных языка (английский)", В018-Подготовка учителей иностранного языка</v>
      </c>
      <c r="T77" s="5" t="str">
        <f>IF(ISBLANK(Лист1!T77),"",Лист1!T77)</f>
        <v>очное</v>
      </c>
      <c r="U77" s="5" t="str">
        <f>IF(ISBLANK(Лист1!U77),"",Лист1!U77)</f>
        <v/>
      </c>
      <c r="V77" s="5" t="str">
        <f>IF(ISBLANK(Лист1!V77),"",Лист1!V77)</f>
        <v>28</v>
      </c>
      <c r="W77" s="5" t="str">
        <f>IF(ISBLANK(Лист1!W77),"",Лист1!W77)</f>
        <v>маусым</v>
      </c>
      <c r="X77" s="5" t="str">
        <f>IF(ISBLANK(Лист1!X77),"",Лист1!X77)</f>
        <v>040507602009</v>
      </c>
      <c r="Y77" s="5" t="str">
        <f>IF(ISERROR(VLOOKUP($X77,Лист2!$A$2:$G$498,1,FALSE)),"",VLOOKUP($X77,Лист2!$A$2:$G$498,1,FALSE))</f>
        <v>040507602009</v>
      </c>
      <c r="Z77" s="5" t="str">
        <f>IF(ISERROR(VLOOKUP($X77,Лист2!$A$2:$L$498,9,FALSE)),"",VLOOKUP($X77,Лист2!$A$2:$L$498,9,FALSE))</f>
        <v>BD</v>
      </c>
      <c r="AA77" s="5" t="str">
        <f>IF(ISERROR(VLOOKUP($X77,Лист2!$A$2:$L$498,10,FALSE)),"",VLOOKUP($X77,Лист2!$A$2:$L$498,10,FALSE))</f>
        <v>00025642325</v>
      </c>
      <c r="AB77" s="5" t="str">
        <f>IF(ISERROR(VLOOKUP($X77,Лист2!$A$2:$M$498,13,FALSE)),"",VLOOKUP($X77,Лист2!$A$2:$M$498,13,FALSE))</f>
        <v>https://epvo.kz/#/verification_education_document?iin=040507602009&amp;diplomaSeries=BD&amp;diplomaNumber=00025642325</v>
      </c>
    </row>
    <row r="78" spans="1:28" x14ac:dyDescent="0.25">
      <c r="A78" s="5" t="str">
        <f>IF(ISBLANK(Лист1!A78),"",Лист1!A78)</f>
        <v>21</v>
      </c>
      <c r="B78" s="5" t="str">
        <f>IF(ISBLANK(Лист1!B78),"",Лист1!B78)</f>
        <v>маусымдағы</v>
      </c>
      <c r="C78" s="5" t="str">
        <f>IF(ISBLANK(Лист1!C78),"",Лист1!C78)</f>
        <v>40</v>
      </c>
      <c r="D78" s="5" t="str">
        <f>IF(ISBLANK(Лист1!D78),"",Лист1!D78)</f>
        <v>Жанжигитова  Жазира  Тынысбеккызына</v>
      </c>
      <c r="E78" s="5" t="str">
        <f>IF(ISBLANK(Лист1!E78),"",Лист1!E78)</f>
        <v>"6В01705 - Шетел тілі: екі шетел тілі (ағылшын)", В018-Шет тілі мұғалімдерін даярлау</v>
      </c>
      <c r="F78" s="5" t="str">
        <f>IF(ISBLANK(Лист1!F78),"",Лист1!F78)</f>
        <v>білім</v>
      </c>
      <c r="G78" s="5" t="str">
        <f>IF(ISBLANK(Лист1!G78),"",Лист1!G78)</f>
        <v>күндізгі</v>
      </c>
      <c r="H78" s="5" t="str">
        <f>IF(ISBLANK(Лист1!H78),"",Лист1!H78)</f>
        <v>Zhanzhigitova  Zhazira</v>
      </c>
      <c r="I78" s="5" t="str">
        <f>IF(ISBLANK(Лист1!I78),"",Лист1!I78)</f>
        <v>Education</v>
      </c>
      <c r="J78" s="5" t="str">
        <f>IF(ISBLANK(Лист1!J78),"",Лист1!J78)</f>
        <v>"6B01705 - Foreign language: two foreign languages (English)", B018-Training of foreign language teachers</v>
      </c>
      <c r="K78" s="5" t="str">
        <f>IF(ISBLANK(Лист1!K78),"",Лист1!K78)</f>
        <v>full-time</v>
      </c>
      <c r="L78" s="5" t="str">
        <f>IF(ISBLANK(Лист1!L78),"",Лист1!L78)</f>
        <v>21</v>
      </c>
      <c r="M78" s="5" t="str">
        <f>IF(ISBLANK(Лист1!M78),"",Лист1!M78)</f>
        <v>June</v>
      </c>
      <c r="N78" s="5" t="str">
        <f>IF(ISBLANK(Лист1!N78),"",Лист1!N78)</f>
        <v>21</v>
      </c>
      <c r="O78" s="5" t="str">
        <f>IF(ISBLANK(Лист1!O78),"",Лист1!O78)</f>
        <v>июня</v>
      </c>
      <c r="P78" s="5" t="str">
        <f>IF(ISBLANK(Лист1!P78),"",Лист1!P78)</f>
        <v>40</v>
      </c>
      <c r="Q78" s="5" t="str">
        <f>IF(ISBLANK(Лист1!Q78),"",Лист1!Q78)</f>
        <v>Жанжигитовой  Жазире  Тынысбеккызы</v>
      </c>
      <c r="R78" s="5" t="str">
        <f>IF(ISBLANK(Лист1!R78),"",Лист1!R78)</f>
        <v>образования</v>
      </c>
      <c r="S78" s="5" t="str">
        <f>IF(ISBLANK(Лист1!S78),"",Лист1!S78)</f>
        <v>"6B01705 - Иностранный язык: два иностранных языка (английский)", В018-Подготовка учителей иностранного языка</v>
      </c>
      <c r="T78" s="5" t="str">
        <f>IF(ISBLANK(Лист1!T78),"",Лист1!T78)</f>
        <v>очное</v>
      </c>
      <c r="U78" s="5" t="str">
        <f>IF(ISBLANK(Лист1!U78),"",Лист1!U78)</f>
        <v/>
      </c>
      <c r="V78" s="5" t="str">
        <f>IF(ISBLANK(Лист1!V78),"",Лист1!V78)</f>
        <v>28</v>
      </c>
      <c r="W78" s="5" t="str">
        <f>IF(ISBLANK(Лист1!W78),"",Лист1!W78)</f>
        <v>маусым</v>
      </c>
      <c r="X78" s="5" t="str">
        <f>IF(ISBLANK(Лист1!X78),"",Лист1!X78)</f>
        <v>040115650642</v>
      </c>
      <c r="Y78" s="5" t="str">
        <f>IF(ISERROR(VLOOKUP($X78,Лист2!$A$2:$G$498,1,FALSE)),"",VLOOKUP($X78,Лист2!$A$2:$G$498,1,FALSE))</f>
        <v>040115650642</v>
      </c>
      <c r="Z78" s="5" t="str">
        <f>IF(ISERROR(VLOOKUP($X78,Лист2!$A$2:$L$498,9,FALSE)),"",VLOOKUP($X78,Лист2!$A$2:$L$498,9,FALSE))</f>
        <v>BD</v>
      </c>
      <c r="AA78" s="5" t="str">
        <f>IF(ISERROR(VLOOKUP($X78,Лист2!$A$2:$L$498,10,FALSE)),"",VLOOKUP($X78,Лист2!$A$2:$L$498,10,FALSE))</f>
        <v>00025642725</v>
      </c>
      <c r="AB78" s="5" t="str">
        <f>IF(ISERROR(VLOOKUP($X78,Лист2!$A$2:$M$498,13,FALSE)),"",VLOOKUP($X78,Лист2!$A$2:$M$498,13,FALSE))</f>
        <v>https://epvo.kz/#/verification_education_document?iin=040115650642&amp;diplomaSeries=BD&amp;diplomaNumber=00025642725</v>
      </c>
    </row>
    <row r="79" spans="1:28" x14ac:dyDescent="0.25">
      <c r="A79" s="5" t="str">
        <f>IF(ISBLANK(Лист1!A79),"",Лист1!A79)</f>
        <v>21</v>
      </c>
      <c r="B79" s="5" t="str">
        <f>IF(ISBLANK(Лист1!B79),"",Лист1!B79)</f>
        <v>маусымдағы</v>
      </c>
      <c r="C79" s="5" t="str">
        <f>IF(ISBLANK(Лист1!C79),"",Лист1!C79)</f>
        <v>68</v>
      </c>
      <c r="D79" s="5" t="str">
        <f>IF(ISBLANK(Лист1!D79),"",Лист1!D79)</f>
        <v>Жолдасбекова  Дильназ  Қанатқызына</v>
      </c>
      <c r="E79" s="5" t="str">
        <f>IF(ISBLANK(Лист1!E79),"",Лист1!E79)</f>
        <v>"6В01705 - Шетел тілі: екі шетел тілі (ағылшын)", В018-Шет тілі мұғалімдерін даярлау</v>
      </c>
      <c r="F79" s="5" t="str">
        <f>IF(ISBLANK(Лист1!F79),"",Лист1!F79)</f>
        <v>білім</v>
      </c>
      <c r="G79" s="5" t="str">
        <f>IF(ISBLANK(Лист1!G79),"",Лист1!G79)</f>
        <v>күндізгі</v>
      </c>
      <c r="H79" s="5" t="str">
        <f>IF(ISBLANK(Лист1!H79),"",Лист1!H79)</f>
        <v>Zholdasbekova  Dilnaz</v>
      </c>
      <c r="I79" s="5" t="str">
        <f>IF(ISBLANK(Лист1!I79),"",Лист1!I79)</f>
        <v>Education</v>
      </c>
      <c r="J79" s="5" t="str">
        <f>IF(ISBLANK(Лист1!J79),"",Лист1!J79)</f>
        <v>"6B01705 - Foreign language: two foreign languages (English)", B018-Training of foreign language teachers</v>
      </c>
      <c r="K79" s="5" t="str">
        <f>IF(ISBLANK(Лист1!K79),"",Лист1!K79)</f>
        <v>full-time</v>
      </c>
      <c r="L79" s="5" t="str">
        <f>IF(ISBLANK(Лист1!L79),"",Лист1!L79)</f>
        <v>21</v>
      </c>
      <c r="M79" s="5" t="str">
        <f>IF(ISBLANK(Лист1!M79),"",Лист1!M79)</f>
        <v>June</v>
      </c>
      <c r="N79" s="5" t="str">
        <f>IF(ISBLANK(Лист1!N79),"",Лист1!N79)</f>
        <v>21</v>
      </c>
      <c r="O79" s="5" t="str">
        <f>IF(ISBLANK(Лист1!O79),"",Лист1!O79)</f>
        <v>июня</v>
      </c>
      <c r="P79" s="5" t="str">
        <f>IF(ISBLANK(Лист1!P79),"",Лист1!P79)</f>
        <v>68</v>
      </c>
      <c r="Q79" s="5" t="str">
        <f>IF(ISBLANK(Лист1!Q79),"",Лист1!Q79)</f>
        <v>Жолдасбекова  Дильназ  Қанатқызы</v>
      </c>
      <c r="R79" s="5" t="str">
        <f>IF(ISBLANK(Лист1!R79),"",Лист1!R79)</f>
        <v>образования</v>
      </c>
      <c r="S79" s="5" t="str">
        <f>IF(ISBLANK(Лист1!S79),"",Лист1!S79)</f>
        <v>"6B01705 - Иностранный язык: два иностранных языка (английский)", В018-Подготовка учителей иностранного языка</v>
      </c>
      <c r="T79" s="5" t="str">
        <f>IF(ISBLANK(Лист1!T79),"",Лист1!T79)</f>
        <v>очное</v>
      </c>
      <c r="U79" s="5" t="str">
        <f>IF(ISBLANK(Лист1!U79),"",Лист1!U79)</f>
        <v/>
      </c>
      <c r="V79" s="5" t="str">
        <f>IF(ISBLANK(Лист1!V79),"",Лист1!V79)</f>
        <v>28</v>
      </c>
      <c r="W79" s="5" t="str">
        <f>IF(ISBLANK(Лист1!W79),"",Лист1!W79)</f>
        <v>маусым</v>
      </c>
      <c r="X79" s="5" t="str">
        <f>IF(ISBLANK(Лист1!X79),"",Лист1!X79)</f>
        <v>040614601469</v>
      </c>
      <c r="Y79" s="5" t="str">
        <f>IF(ISERROR(VLOOKUP($X79,Лист2!$A$2:$G$498,1,FALSE)),"",VLOOKUP($X79,Лист2!$A$2:$G$498,1,FALSE))</f>
        <v>040614601469</v>
      </c>
      <c r="Z79" s="5" t="str">
        <f>IF(ISERROR(VLOOKUP($X79,Лист2!$A$2:$L$498,9,FALSE)),"",VLOOKUP($X79,Лист2!$A$2:$L$498,9,FALSE))</f>
        <v>BD</v>
      </c>
      <c r="AA79" s="5" t="str">
        <f>IF(ISERROR(VLOOKUP($X79,Лист2!$A$2:$L$498,10,FALSE)),"",VLOOKUP($X79,Лист2!$A$2:$L$498,10,FALSE))</f>
        <v>00025645725</v>
      </c>
      <c r="AB79" s="5" t="str">
        <f>IF(ISERROR(VLOOKUP($X79,Лист2!$A$2:$M$498,13,FALSE)),"",VLOOKUP($X79,Лист2!$A$2:$M$498,13,FALSE))</f>
        <v>https://epvo.kz/#/verification_education_document?iin=040614601469&amp;diplomaSeries=BD&amp;diplomaNumber=00025645725</v>
      </c>
    </row>
    <row r="80" spans="1:28" x14ac:dyDescent="0.25">
      <c r="A80" s="5" t="str">
        <f>IF(ISBLANK(Лист1!A80),"",Лист1!A80)</f>
        <v>21</v>
      </c>
      <c r="B80" s="5" t="str">
        <f>IF(ISBLANK(Лист1!B80),"",Лист1!B80)</f>
        <v>маусымдағы</v>
      </c>
      <c r="C80" s="5" t="str">
        <f>IF(ISBLANK(Лист1!C80),"",Лист1!C80)</f>
        <v>161</v>
      </c>
      <c r="D80" s="5" t="str">
        <f>IF(ISBLANK(Лист1!D80),"",Лист1!D80)</f>
        <v>Жорақұл  Сымбат  Бекмырзақызына</v>
      </c>
      <c r="E80" s="5" t="str">
        <f>IF(ISBLANK(Лист1!E80),"",Лист1!E80)</f>
        <v>"6В01705 - Шетел тілі: екі шетел тілі (ағылшын)", В018-Шет тілі мұғалімдерін даярлау</v>
      </c>
      <c r="F80" s="5" t="str">
        <f>IF(ISBLANK(Лист1!F80),"",Лист1!F80)</f>
        <v>білім</v>
      </c>
      <c r="G80" s="5" t="str">
        <f>IF(ISBLANK(Лист1!G80),"",Лист1!G80)</f>
        <v>күндізгі</v>
      </c>
      <c r="H80" s="5" t="str">
        <f>IF(ISBLANK(Лист1!H80),"",Лист1!H80)</f>
        <v>Zhorakul  Symbat</v>
      </c>
      <c r="I80" s="5" t="str">
        <f>IF(ISBLANK(Лист1!I80),"",Лист1!I80)</f>
        <v>Education</v>
      </c>
      <c r="J80" s="5" t="str">
        <f>IF(ISBLANK(Лист1!J80),"",Лист1!J80)</f>
        <v>"6B01705 - Foreign language: two foreign languages (English)", B018-Training of foreign language teachers</v>
      </c>
      <c r="K80" s="5" t="str">
        <f>IF(ISBLANK(Лист1!K80),"",Лист1!K80)</f>
        <v>full-time</v>
      </c>
      <c r="L80" s="5" t="str">
        <f>IF(ISBLANK(Лист1!L80),"",Лист1!L80)</f>
        <v>21</v>
      </c>
      <c r="M80" s="5" t="str">
        <f>IF(ISBLANK(Лист1!M80),"",Лист1!M80)</f>
        <v>June</v>
      </c>
      <c r="N80" s="5" t="str">
        <f>IF(ISBLANK(Лист1!N80),"",Лист1!N80)</f>
        <v>21</v>
      </c>
      <c r="O80" s="5" t="str">
        <f>IF(ISBLANK(Лист1!O80),"",Лист1!O80)</f>
        <v>июня</v>
      </c>
      <c r="P80" s="5" t="str">
        <f>IF(ISBLANK(Лист1!P80),"",Лист1!P80)</f>
        <v>161</v>
      </c>
      <c r="Q80" s="5" t="str">
        <f>IF(ISBLANK(Лист1!Q80),"",Лист1!Q80)</f>
        <v>Жорақұл  Сымбат  Бекмырзақызы</v>
      </c>
      <c r="R80" s="5" t="str">
        <f>IF(ISBLANK(Лист1!R80),"",Лист1!R80)</f>
        <v>образования</v>
      </c>
      <c r="S80" s="5" t="str">
        <f>IF(ISBLANK(Лист1!S80),"",Лист1!S80)</f>
        <v>"6B01705 - Иностранный язык: два иностранных языка (английский)", В018-Подготовка учителей иностранного языка</v>
      </c>
      <c r="T80" s="5" t="str">
        <f>IF(ISBLANK(Лист1!T80),"",Лист1!T80)</f>
        <v>очное</v>
      </c>
      <c r="U80" s="5" t="str">
        <f>IF(ISBLANK(Лист1!U80),"",Лист1!U80)</f>
        <v/>
      </c>
      <c r="V80" s="5" t="str">
        <f>IF(ISBLANK(Лист1!V80),"",Лист1!V80)</f>
        <v>28</v>
      </c>
      <c r="W80" s="5" t="str">
        <f>IF(ISBLANK(Лист1!W80),"",Лист1!W80)</f>
        <v>маусым</v>
      </c>
      <c r="X80" s="5" t="str">
        <f>IF(ISBLANK(Лист1!X80),"",Лист1!X80)</f>
        <v>031002600711</v>
      </c>
      <c r="Y80" s="5" t="str">
        <f>IF(ISERROR(VLOOKUP($X80,Лист2!$A$2:$G$498,1,FALSE)),"",VLOOKUP($X80,Лист2!$A$2:$G$498,1,FALSE))</f>
        <v>031002600711</v>
      </c>
      <c r="Z80" s="5" t="str">
        <f>IF(ISERROR(VLOOKUP($X80,Лист2!$A$2:$L$498,9,FALSE)),"",VLOOKUP($X80,Лист2!$A$2:$L$498,9,FALSE))</f>
        <v>BD</v>
      </c>
      <c r="AA80" s="5" t="str">
        <f>IF(ISERROR(VLOOKUP($X80,Лист2!$A$2:$L$498,10,FALSE)),"",VLOOKUP($X80,Лист2!$A$2:$L$498,10,FALSE))</f>
        <v>00025645925</v>
      </c>
      <c r="AB80" s="5" t="str">
        <f>IF(ISERROR(VLOOKUP($X80,Лист2!$A$2:$M$498,13,FALSE)),"",VLOOKUP($X80,Лист2!$A$2:$M$498,13,FALSE))</f>
        <v>https://epvo.kz/#/verification_education_document?iin=031002600711&amp;diplomaSeries=BD&amp;diplomaNumber=00025645925</v>
      </c>
    </row>
    <row r="81" spans="1:28" x14ac:dyDescent="0.25">
      <c r="A81" s="5" t="str">
        <f>IF(ISBLANK(Лист1!A81),"",Лист1!A81)</f>
        <v>21</v>
      </c>
      <c r="B81" s="5" t="str">
        <f>IF(ISBLANK(Лист1!B81),"",Лист1!B81)</f>
        <v>маусымдағы</v>
      </c>
      <c r="C81" s="5" t="str">
        <f>IF(ISBLANK(Лист1!C81),"",Лист1!C81)</f>
        <v>162</v>
      </c>
      <c r="D81" s="5" t="str">
        <f>IF(ISBLANK(Лист1!D81),"",Лист1!D81)</f>
        <v>Жулдызбек  Нұрайға</v>
      </c>
      <c r="E81" s="5" t="str">
        <f>IF(ISBLANK(Лист1!E81),"",Лист1!E81)</f>
        <v>"6В01705 - Шетел тілі: екі шетел тілі (ағылшын)", В018-Шет тілі мұғалімдерін даярлау</v>
      </c>
      <c r="F81" s="5" t="str">
        <f>IF(ISBLANK(Лист1!F81),"",Лист1!F81)</f>
        <v>білім</v>
      </c>
      <c r="G81" s="5" t="str">
        <f>IF(ISBLANK(Лист1!G81),"",Лист1!G81)</f>
        <v>күндізгі</v>
      </c>
      <c r="H81" s="5" t="str">
        <f>IF(ISBLANK(Лист1!H81),"",Лист1!H81)</f>
        <v>Zhuldyzbek  Nuray</v>
      </c>
      <c r="I81" s="5" t="str">
        <f>IF(ISBLANK(Лист1!I81),"",Лист1!I81)</f>
        <v>Education</v>
      </c>
      <c r="J81" s="5" t="str">
        <f>IF(ISBLANK(Лист1!J81),"",Лист1!J81)</f>
        <v>"6B01705 - Foreign language: two foreign languages (English)", B018-Training of foreign language teachers</v>
      </c>
      <c r="K81" s="5" t="str">
        <f>IF(ISBLANK(Лист1!K81),"",Лист1!K81)</f>
        <v>full-time</v>
      </c>
      <c r="L81" s="5" t="str">
        <f>IF(ISBLANK(Лист1!L81),"",Лист1!L81)</f>
        <v>21</v>
      </c>
      <c r="M81" s="5" t="str">
        <f>IF(ISBLANK(Лист1!M81),"",Лист1!M81)</f>
        <v>June</v>
      </c>
      <c r="N81" s="5" t="str">
        <f>IF(ISBLANK(Лист1!N81),"",Лист1!N81)</f>
        <v>21</v>
      </c>
      <c r="O81" s="5" t="str">
        <f>IF(ISBLANK(Лист1!O81),"",Лист1!O81)</f>
        <v>июня</v>
      </c>
      <c r="P81" s="5" t="str">
        <f>IF(ISBLANK(Лист1!P81),"",Лист1!P81)</f>
        <v>162</v>
      </c>
      <c r="Q81" s="5" t="str">
        <f>IF(ISBLANK(Лист1!Q81),"",Лист1!Q81)</f>
        <v xml:space="preserve">Жулдызбек  Нұрай  </v>
      </c>
      <c r="R81" s="5" t="str">
        <f>IF(ISBLANK(Лист1!R81),"",Лист1!R81)</f>
        <v>образования</v>
      </c>
      <c r="S81" s="5" t="str">
        <f>IF(ISBLANK(Лист1!S81),"",Лист1!S81)</f>
        <v>"6B01705 - Иностранный язык: два иностранных языка (английский)", В018-Подготовка учителей иностранного языка</v>
      </c>
      <c r="T81" s="5" t="str">
        <f>IF(ISBLANK(Лист1!T81),"",Лист1!T81)</f>
        <v>очное</v>
      </c>
      <c r="U81" s="5" t="str">
        <f>IF(ISBLANK(Лист1!U81),"",Лист1!U81)</f>
        <v/>
      </c>
      <c r="V81" s="5" t="str">
        <f>IF(ISBLANK(Лист1!V81),"",Лист1!V81)</f>
        <v>28</v>
      </c>
      <c r="W81" s="5" t="str">
        <f>IF(ISBLANK(Лист1!W81),"",Лист1!W81)</f>
        <v>маусым</v>
      </c>
      <c r="X81" s="5" t="str">
        <f>IF(ISBLANK(Лист1!X81),"",Лист1!X81)</f>
        <v>040117601328</v>
      </c>
      <c r="Y81" s="5" t="str">
        <f>IF(ISERROR(VLOOKUP($X81,Лист2!$A$2:$G$498,1,FALSE)),"",VLOOKUP($X81,Лист2!$A$2:$G$498,1,FALSE))</f>
        <v>040117601328</v>
      </c>
      <c r="Z81" s="5" t="str">
        <f>IF(ISERROR(VLOOKUP($X81,Лист2!$A$2:$L$498,9,FALSE)),"",VLOOKUP($X81,Лист2!$A$2:$L$498,9,FALSE))</f>
        <v>BD</v>
      </c>
      <c r="AA81" s="5" t="str">
        <f>IF(ISERROR(VLOOKUP($X81,Лист2!$A$2:$L$498,10,FALSE)),"",VLOOKUP($X81,Лист2!$A$2:$L$498,10,FALSE))</f>
        <v>00025646025</v>
      </c>
      <c r="AB81" s="5" t="str">
        <f>IF(ISERROR(VLOOKUP($X81,Лист2!$A$2:$M$498,13,FALSE)),"",VLOOKUP($X81,Лист2!$A$2:$M$498,13,FALSE))</f>
        <v>https://epvo.kz/#/verification_education_document?iin=040117601328&amp;diplomaSeries=BD&amp;diplomaNumber=00025646025</v>
      </c>
    </row>
    <row r="82" spans="1:28" x14ac:dyDescent="0.25">
      <c r="A82" s="5" t="str">
        <f>IF(ISBLANK(Лист1!A82),"",Лист1!A82)</f>
        <v>21</v>
      </c>
      <c r="B82" s="5" t="str">
        <f>IF(ISBLANK(Лист1!B82),"",Лист1!B82)</f>
        <v>маусымдағы</v>
      </c>
      <c r="C82" s="5" t="str">
        <f>IF(ISBLANK(Лист1!C82),"",Лист1!C82)</f>
        <v>164</v>
      </c>
      <c r="D82" s="5" t="str">
        <f>IF(ISBLANK(Лист1!D82),"",Лист1!D82)</f>
        <v>Жылқаман  Зайна  Алтынбекқызына</v>
      </c>
      <c r="E82" s="5" t="str">
        <f>IF(ISBLANK(Лист1!E82),"",Лист1!E82)</f>
        <v>"6В01705 - Шетел тілі: екі шетел тілі (ағылшын)", В018-Шет тілі мұғалімдерін даярлау</v>
      </c>
      <c r="F82" s="5" t="str">
        <f>IF(ISBLANK(Лист1!F82),"",Лист1!F82)</f>
        <v>білім</v>
      </c>
      <c r="G82" s="5" t="str">
        <f>IF(ISBLANK(Лист1!G82),"",Лист1!G82)</f>
        <v>күндізгі</v>
      </c>
      <c r="H82" s="5" t="str">
        <f>IF(ISBLANK(Лист1!H82),"",Лист1!H82)</f>
        <v>Zhylkaman  Zaina</v>
      </c>
      <c r="I82" s="5" t="str">
        <f>IF(ISBLANK(Лист1!I82),"",Лист1!I82)</f>
        <v>Education</v>
      </c>
      <c r="J82" s="5" t="str">
        <f>IF(ISBLANK(Лист1!J82),"",Лист1!J82)</f>
        <v>"6B01705 - Foreign language: two foreign languages (English)", B018-Training of foreign language teachers</v>
      </c>
      <c r="K82" s="5" t="str">
        <f>IF(ISBLANK(Лист1!K82),"",Лист1!K82)</f>
        <v>full-time</v>
      </c>
      <c r="L82" s="5" t="str">
        <f>IF(ISBLANK(Лист1!L82),"",Лист1!L82)</f>
        <v>21</v>
      </c>
      <c r="M82" s="5" t="str">
        <f>IF(ISBLANK(Лист1!M82),"",Лист1!M82)</f>
        <v>June</v>
      </c>
      <c r="N82" s="5" t="str">
        <f>IF(ISBLANK(Лист1!N82),"",Лист1!N82)</f>
        <v>21</v>
      </c>
      <c r="O82" s="5" t="str">
        <f>IF(ISBLANK(Лист1!O82),"",Лист1!O82)</f>
        <v>июня</v>
      </c>
      <c r="P82" s="5" t="str">
        <f>IF(ISBLANK(Лист1!P82),"",Лист1!P82)</f>
        <v>164</v>
      </c>
      <c r="Q82" s="5" t="str">
        <f>IF(ISBLANK(Лист1!Q82),"",Лист1!Q82)</f>
        <v>Жылқаман  Зайна  Алтынбекқызы</v>
      </c>
      <c r="R82" s="5" t="str">
        <f>IF(ISBLANK(Лист1!R82),"",Лист1!R82)</f>
        <v>образования</v>
      </c>
      <c r="S82" s="5" t="str">
        <f>IF(ISBLANK(Лист1!S82),"",Лист1!S82)</f>
        <v>"6B01705 - Иностранный язык: два иностранных языка (английский)", В018-Подготовка учителей иностранного языка</v>
      </c>
      <c r="T82" s="5" t="str">
        <f>IF(ISBLANK(Лист1!T82),"",Лист1!T82)</f>
        <v>очное</v>
      </c>
      <c r="U82" s="5" t="str">
        <f>IF(ISBLANK(Лист1!U82),"",Лист1!U82)</f>
        <v/>
      </c>
      <c r="V82" s="5" t="str">
        <f>IF(ISBLANK(Лист1!V82),"",Лист1!V82)</f>
        <v>28</v>
      </c>
      <c r="W82" s="5" t="str">
        <f>IF(ISBLANK(Лист1!W82),"",Лист1!W82)</f>
        <v>маусым</v>
      </c>
      <c r="X82" s="5" t="str">
        <f>IF(ISBLANK(Лист1!X82),"",Лист1!X82)</f>
        <v>030820600311</v>
      </c>
      <c r="Y82" s="5" t="str">
        <f>IF(ISERROR(VLOOKUP($X82,Лист2!$A$2:$G$498,1,FALSE)),"",VLOOKUP($X82,Лист2!$A$2:$G$498,1,FALSE))</f>
        <v>030820600311</v>
      </c>
      <c r="Z82" s="5" t="str">
        <f>IF(ISERROR(VLOOKUP($X82,Лист2!$A$2:$L$498,9,FALSE)),"",VLOOKUP($X82,Лист2!$A$2:$L$498,9,FALSE))</f>
        <v>BD</v>
      </c>
      <c r="AA82" s="5" t="str">
        <f>IF(ISERROR(VLOOKUP($X82,Лист2!$A$2:$L$498,10,FALSE)),"",VLOOKUP($X82,Лист2!$A$2:$L$498,10,FALSE))</f>
        <v>00025646225</v>
      </c>
      <c r="AB82" s="5" t="str">
        <f>IF(ISERROR(VLOOKUP($X82,Лист2!$A$2:$M$498,13,FALSE)),"",VLOOKUP($X82,Лист2!$A$2:$M$498,13,FALSE))</f>
        <v>https://epvo.kz/#/verification_education_document?iin=030820600311&amp;diplomaSeries=BD&amp;diplomaNumber=00025646225</v>
      </c>
    </row>
    <row r="83" spans="1:28" x14ac:dyDescent="0.25">
      <c r="A83" s="5" t="str">
        <f>IF(ISBLANK(Лист1!A83),"",Лист1!A83)</f>
        <v>21</v>
      </c>
      <c r="B83" s="5" t="str">
        <f>IF(ISBLANK(Лист1!B83),"",Лист1!B83)</f>
        <v>маусымдағы</v>
      </c>
      <c r="C83" s="5" t="str">
        <f>IF(ISBLANK(Лист1!C83),"",Лист1!C83)</f>
        <v>69</v>
      </c>
      <c r="D83" s="5" t="str">
        <f>IF(ISBLANK(Лист1!D83),"",Лист1!D83)</f>
        <v>Иброхимова  Айнура  Адхам кизина</v>
      </c>
      <c r="E83" s="5" t="str">
        <f>IF(ISBLANK(Лист1!E83),"",Лист1!E83)</f>
        <v>"6В01705 - Шетел тілі: екі шетел тілі (ағылшын)", В018-Шет тілі мұғалімдерін даярлау</v>
      </c>
      <c r="F83" s="5" t="str">
        <f>IF(ISBLANK(Лист1!F83),"",Лист1!F83)</f>
        <v>білім</v>
      </c>
      <c r="G83" s="5" t="str">
        <f>IF(ISBLANK(Лист1!G83),"",Лист1!G83)</f>
        <v>күндізгі</v>
      </c>
      <c r="H83" s="5" t="str">
        <f>IF(ISBLANK(Лист1!H83),"",Лист1!H83)</f>
        <v>Ibrokhimova  Ainura</v>
      </c>
      <c r="I83" s="5" t="str">
        <f>IF(ISBLANK(Лист1!I83),"",Лист1!I83)</f>
        <v>Education</v>
      </c>
      <c r="J83" s="5" t="str">
        <f>IF(ISBLANK(Лист1!J83),"",Лист1!J83)</f>
        <v>"6B01705 - Foreign language: two foreign languages (English)", B018-Training of foreign language teachers</v>
      </c>
      <c r="K83" s="5" t="str">
        <f>IF(ISBLANK(Лист1!K83),"",Лист1!K83)</f>
        <v>full-time</v>
      </c>
      <c r="L83" s="5" t="str">
        <f>IF(ISBLANK(Лист1!L83),"",Лист1!L83)</f>
        <v>21</v>
      </c>
      <c r="M83" s="5" t="str">
        <f>IF(ISBLANK(Лист1!M83),"",Лист1!M83)</f>
        <v>June</v>
      </c>
      <c r="N83" s="5" t="str">
        <f>IF(ISBLANK(Лист1!N83),"",Лист1!N83)</f>
        <v>21</v>
      </c>
      <c r="O83" s="5" t="str">
        <f>IF(ISBLANK(Лист1!O83),"",Лист1!O83)</f>
        <v>июня</v>
      </c>
      <c r="P83" s="5" t="str">
        <f>IF(ISBLANK(Лист1!P83),"",Лист1!P83)</f>
        <v>69</v>
      </c>
      <c r="Q83" s="5" t="str">
        <f>IF(ISBLANK(Лист1!Q83),"",Лист1!Q83)</f>
        <v>Иброхимовой  Айнуре  Адхам кизи</v>
      </c>
      <c r="R83" s="5" t="str">
        <f>IF(ISBLANK(Лист1!R83),"",Лист1!R83)</f>
        <v>образования</v>
      </c>
      <c r="S83" s="5" t="str">
        <f>IF(ISBLANK(Лист1!S83),"",Лист1!S83)</f>
        <v>"6B01705 - Иностранный язык: два иностранных языка (английский)", В018-Подготовка учителей иностранного языка</v>
      </c>
      <c r="T83" s="5" t="str">
        <f>IF(ISBLANK(Лист1!T83),"",Лист1!T83)</f>
        <v>очное</v>
      </c>
      <c r="U83" s="5" t="str">
        <f>IF(ISBLANK(Лист1!U83),"",Лист1!U83)</f>
        <v/>
      </c>
      <c r="V83" s="5" t="str">
        <f>IF(ISBLANK(Лист1!V83),"",Лист1!V83)</f>
        <v>28</v>
      </c>
      <c r="W83" s="5" t="str">
        <f>IF(ISBLANK(Лист1!W83),"",Лист1!W83)</f>
        <v>маусым</v>
      </c>
      <c r="X83" s="5" t="str">
        <f>IF(ISBLANK(Лист1!X83),"",Лист1!X83)</f>
        <v>040920601521</v>
      </c>
      <c r="Y83" s="5" t="str">
        <f>IF(ISERROR(VLOOKUP($X83,Лист2!$A$2:$G$498,1,FALSE)),"",VLOOKUP($X83,Лист2!$A$2:$G$498,1,FALSE))</f>
        <v>040920601521</v>
      </c>
      <c r="Z83" s="5" t="str">
        <f>IF(ISERROR(VLOOKUP($X83,Лист2!$A$2:$L$498,9,FALSE)),"",VLOOKUP($X83,Лист2!$A$2:$L$498,9,FALSE))</f>
        <v>BD</v>
      </c>
      <c r="AA83" s="5" t="str">
        <f>IF(ISERROR(VLOOKUP($X83,Лист2!$A$2:$L$498,10,FALSE)),"",VLOOKUP($X83,Лист2!$A$2:$L$498,10,FALSE))</f>
        <v>00025646325</v>
      </c>
      <c r="AB83" s="5" t="str">
        <f>IF(ISERROR(VLOOKUP($X83,Лист2!$A$2:$M$498,13,FALSE)),"",VLOOKUP($X83,Лист2!$A$2:$M$498,13,FALSE))</f>
        <v>https://epvo.kz/#/verification_education_document?iin=040920601521&amp;diplomaSeries=BD&amp;diplomaNumber=00025646325</v>
      </c>
    </row>
    <row r="84" spans="1:28" x14ac:dyDescent="0.25">
      <c r="A84" s="5" t="str">
        <f>IF(ISBLANK(Лист1!A84),"",Лист1!A84)</f>
        <v>21</v>
      </c>
      <c r="B84" s="5" t="str">
        <f>IF(ISBLANK(Лист1!B84),"",Лист1!B84)</f>
        <v>маусымдағы</v>
      </c>
      <c r="C84" s="5" t="str">
        <f>IF(ISBLANK(Лист1!C84),"",Лист1!C84)</f>
        <v>167</v>
      </c>
      <c r="D84" s="5" t="str">
        <f>IF(ISBLANK(Лист1!D84),"",Лист1!D84)</f>
        <v>Исламбай  Ұлбосын  Бахитқызына</v>
      </c>
      <c r="E84" s="5" t="str">
        <f>IF(ISBLANK(Лист1!E84),"",Лист1!E84)</f>
        <v>"6В01705 - Шетел тілі: екі шетел тілі (ағылшын)", В018-Шет тілі мұғалімдерін даярлау</v>
      </c>
      <c r="F84" s="5" t="str">
        <f>IF(ISBLANK(Лист1!F84),"",Лист1!F84)</f>
        <v>білім</v>
      </c>
      <c r="G84" s="5" t="str">
        <f>IF(ISBLANK(Лист1!G84),"",Лист1!G84)</f>
        <v>күндізгі</v>
      </c>
      <c r="H84" s="5" t="str">
        <f>IF(ISBLANK(Лист1!H84),"",Лист1!H84)</f>
        <v>Islambay  Ulbossyn</v>
      </c>
      <c r="I84" s="5" t="str">
        <f>IF(ISBLANK(Лист1!I84),"",Лист1!I84)</f>
        <v>Education</v>
      </c>
      <c r="J84" s="5" t="str">
        <f>IF(ISBLANK(Лист1!J84),"",Лист1!J84)</f>
        <v>"6B01705 - Foreign language: two foreign languages (English)", B018-Training of foreign language teachers</v>
      </c>
      <c r="K84" s="5" t="str">
        <f>IF(ISBLANK(Лист1!K84),"",Лист1!K84)</f>
        <v>full-time</v>
      </c>
      <c r="L84" s="5" t="str">
        <f>IF(ISBLANK(Лист1!L84),"",Лист1!L84)</f>
        <v>21</v>
      </c>
      <c r="M84" s="5" t="str">
        <f>IF(ISBLANK(Лист1!M84),"",Лист1!M84)</f>
        <v>June</v>
      </c>
      <c r="N84" s="5" t="str">
        <f>IF(ISBLANK(Лист1!N84),"",Лист1!N84)</f>
        <v>21</v>
      </c>
      <c r="O84" s="5" t="str">
        <f>IF(ISBLANK(Лист1!O84),"",Лист1!O84)</f>
        <v>июня</v>
      </c>
      <c r="P84" s="5" t="str">
        <f>IF(ISBLANK(Лист1!P84),"",Лист1!P84)</f>
        <v>167</v>
      </c>
      <c r="Q84" s="5" t="str">
        <f>IF(ISBLANK(Лист1!Q84),"",Лист1!Q84)</f>
        <v>Исламбай  Ұлбосын  Бахитқызы</v>
      </c>
      <c r="R84" s="5" t="str">
        <f>IF(ISBLANK(Лист1!R84),"",Лист1!R84)</f>
        <v>образования</v>
      </c>
      <c r="S84" s="5" t="str">
        <f>IF(ISBLANK(Лист1!S84),"",Лист1!S84)</f>
        <v>"6B01705 - Иностранный язык: два иностранных языка (английский)", В018-Подготовка учителей иностранного языка</v>
      </c>
      <c r="T84" s="5" t="str">
        <f>IF(ISBLANK(Лист1!T84),"",Лист1!T84)</f>
        <v>очное</v>
      </c>
      <c r="U84" s="5" t="str">
        <f>IF(ISBLANK(Лист1!U84),"",Лист1!U84)</f>
        <v/>
      </c>
      <c r="V84" s="5" t="str">
        <f>IF(ISBLANK(Лист1!V84),"",Лист1!V84)</f>
        <v>28</v>
      </c>
      <c r="W84" s="5" t="str">
        <f>IF(ISBLANK(Лист1!W84),"",Лист1!W84)</f>
        <v>маусым</v>
      </c>
      <c r="X84" s="5" t="str">
        <f>IF(ISBLANK(Лист1!X84),"",Лист1!X84)</f>
        <v>031106601081</v>
      </c>
      <c r="Y84" s="5" t="str">
        <f>IF(ISERROR(VLOOKUP($X84,Лист2!$A$2:$G$498,1,FALSE)),"",VLOOKUP($X84,Лист2!$A$2:$G$498,1,FALSE))</f>
        <v>031106601081</v>
      </c>
      <c r="Z84" s="5" t="str">
        <f>IF(ISERROR(VLOOKUP($X84,Лист2!$A$2:$L$498,9,FALSE)),"",VLOOKUP($X84,Лист2!$A$2:$L$498,9,FALSE))</f>
        <v>BD</v>
      </c>
      <c r="AA84" s="5" t="str">
        <f>IF(ISERROR(VLOOKUP($X84,Лист2!$A$2:$L$498,10,FALSE)),"",VLOOKUP($X84,Лист2!$A$2:$L$498,10,FALSE))</f>
        <v>00025647425</v>
      </c>
      <c r="AB84" s="5" t="str">
        <f>IF(ISERROR(VLOOKUP($X84,Лист2!$A$2:$M$498,13,FALSE)),"",VLOOKUP($X84,Лист2!$A$2:$M$498,13,FALSE))</f>
        <v>https://epvo.kz/#/verification_education_document?iin=031106601081&amp;diplomaSeries=BD&amp;diplomaNumber=00025647425</v>
      </c>
    </row>
    <row r="85" spans="1:28" x14ac:dyDescent="0.25">
      <c r="A85" s="5" t="str">
        <f>IF(ISBLANK(Лист1!A85),"",Лист1!A85)</f>
        <v>21</v>
      </c>
      <c r="B85" s="5" t="str">
        <f>IF(ISBLANK(Лист1!B85),"",Лист1!B85)</f>
        <v>маусымдағы</v>
      </c>
      <c r="C85" s="5" t="str">
        <f>IF(ISBLANK(Лист1!C85),"",Лист1!C85)</f>
        <v>232</v>
      </c>
      <c r="D85" s="5" t="str">
        <f>IF(ISBLANK(Лист1!D85),"",Лист1!D85)</f>
        <v>Исламбекова  Меруерт  Нурлановнаға</v>
      </c>
      <c r="E85" s="5" t="str">
        <f>IF(ISBLANK(Лист1!E85),"",Лист1!E85)</f>
        <v>"6В01705 - Шетел тілі: екі шетел тілі (ағылшын)", В018-Шет тілі мұғалімдерін даярлау</v>
      </c>
      <c r="F85" s="5" t="str">
        <f>IF(ISBLANK(Лист1!F85),"",Лист1!F85)</f>
        <v>білім</v>
      </c>
      <c r="G85" s="5" t="str">
        <f>IF(ISBLANK(Лист1!G85),"",Лист1!G85)</f>
        <v>күндізгі</v>
      </c>
      <c r="H85" s="5" t="str">
        <f>IF(ISBLANK(Лист1!H85),"",Лист1!H85)</f>
        <v>Islambekova  Meruyert</v>
      </c>
      <c r="I85" s="5" t="str">
        <f>IF(ISBLANK(Лист1!I85),"",Лист1!I85)</f>
        <v>Education</v>
      </c>
      <c r="J85" s="5" t="str">
        <f>IF(ISBLANK(Лист1!J85),"",Лист1!J85)</f>
        <v>"6B01705 - Foreign language: two foreign languages (English)", B018-Training of foreign language teachers</v>
      </c>
      <c r="K85" s="5" t="str">
        <f>IF(ISBLANK(Лист1!K85),"",Лист1!K85)</f>
        <v>full-time</v>
      </c>
      <c r="L85" s="5" t="str">
        <f>IF(ISBLANK(Лист1!L85),"",Лист1!L85)</f>
        <v>21</v>
      </c>
      <c r="M85" s="5" t="str">
        <f>IF(ISBLANK(Лист1!M85),"",Лист1!M85)</f>
        <v>June</v>
      </c>
      <c r="N85" s="5" t="str">
        <f>IF(ISBLANK(Лист1!N85),"",Лист1!N85)</f>
        <v>21</v>
      </c>
      <c r="O85" s="5" t="str">
        <f>IF(ISBLANK(Лист1!O85),"",Лист1!O85)</f>
        <v>июня</v>
      </c>
      <c r="P85" s="5" t="str">
        <f>IF(ISBLANK(Лист1!P85),"",Лист1!P85)</f>
        <v>232</v>
      </c>
      <c r="Q85" s="5" t="str">
        <f>IF(ISBLANK(Лист1!Q85),"",Лист1!Q85)</f>
        <v>Исламбековой  Меруерт  Нурлановне</v>
      </c>
      <c r="R85" s="5" t="str">
        <f>IF(ISBLANK(Лист1!R85),"",Лист1!R85)</f>
        <v>образования</v>
      </c>
      <c r="S85" s="5" t="str">
        <f>IF(ISBLANK(Лист1!S85),"",Лист1!S85)</f>
        <v>"6B01705 - Иностранный язык: два иностранных языка (английский)", В018-Подготовка учителей иностранного языка</v>
      </c>
      <c r="T85" s="5" t="str">
        <f>IF(ISBLANK(Лист1!T85),"",Лист1!T85)</f>
        <v>очное</v>
      </c>
      <c r="U85" s="5" t="str">
        <f>IF(ISBLANK(Лист1!U85),"",Лист1!U85)</f>
        <v/>
      </c>
      <c r="V85" s="5" t="str">
        <f>IF(ISBLANK(Лист1!V85),"",Лист1!V85)</f>
        <v>28</v>
      </c>
      <c r="W85" s="5" t="str">
        <f>IF(ISBLANK(Лист1!W85),"",Лист1!W85)</f>
        <v>маусым</v>
      </c>
      <c r="X85" s="5" t="str">
        <f>IF(ISBLANK(Лист1!X85),"",Лист1!X85)</f>
        <v>040801650770</v>
      </c>
      <c r="Y85" s="5" t="str">
        <f>IF(ISERROR(VLOOKUP($X85,Лист2!$A$2:$G$498,1,FALSE)),"",VLOOKUP($X85,Лист2!$A$2:$G$498,1,FALSE))</f>
        <v>040801650770</v>
      </c>
      <c r="Z85" s="5" t="str">
        <f>IF(ISERROR(VLOOKUP($X85,Лист2!$A$2:$L$498,9,FALSE)),"",VLOOKUP($X85,Лист2!$A$2:$L$498,9,FALSE))</f>
        <v>BD</v>
      </c>
      <c r="AA85" s="5" t="str">
        <f>IF(ISERROR(VLOOKUP($X85,Лист2!$A$2:$L$498,10,FALSE)),"",VLOOKUP($X85,Лист2!$A$2:$L$498,10,FALSE))</f>
        <v>00025647725</v>
      </c>
      <c r="AB85" s="5" t="str">
        <f>IF(ISERROR(VLOOKUP($X85,Лист2!$A$2:$M$498,13,FALSE)),"",VLOOKUP($X85,Лист2!$A$2:$M$498,13,FALSE))</f>
        <v>https://epvo.kz/#/verification_education_document?iin=040801650770&amp;diplomaSeries=BD&amp;diplomaNumber=00025647725</v>
      </c>
    </row>
    <row r="86" spans="1:28" x14ac:dyDescent="0.25">
      <c r="A86" s="5" t="str">
        <f>IF(ISBLANK(Лист1!A86),"",Лист1!A86)</f>
        <v>21</v>
      </c>
      <c r="B86" s="5" t="str">
        <f>IF(ISBLANK(Лист1!B86),"",Лист1!B86)</f>
        <v>маусымдағы</v>
      </c>
      <c r="C86" s="5" t="str">
        <f>IF(ISBLANK(Лист1!C86),"",Лист1!C86)</f>
        <v>168</v>
      </c>
      <c r="D86" s="5" t="str">
        <f>IF(ISBLANK(Лист1!D86),"",Лист1!D86)</f>
        <v>Исламхан  Дариға  Асқарқызына</v>
      </c>
      <c r="E86" s="5" t="str">
        <f>IF(ISBLANK(Лист1!E86),"",Лист1!E86)</f>
        <v>"6В01705 - Шетел тілі: екі шетел тілі (ағылшын)", В018-Шет тілі мұғалімдерін даярлау</v>
      </c>
      <c r="F86" s="5" t="str">
        <f>IF(ISBLANK(Лист1!F86),"",Лист1!F86)</f>
        <v>білім</v>
      </c>
      <c r="G86" s="5" t="str">
        <f>IF(ISBLANK(Лист1!G86),"",Лист1!G86)</f>
        <v>күндізгі</v>
      </c>
      <c r="H86" s="5" t="str">
        <f>IF(ISBLANK(Лист1!H86),"",Лист1!H86)</f>
        <v>Islamkhan  Dariga</v>
      </c>
      <c r="I86" s="5" t="str">
        <f>IF(ISBLANK(Лист1!I86),"",Лист1!I86)</f>
        <v>Education</v>
      </c>
      <c r="J86" s="5" t="str">
        <f>IF(ISBLANK(Лист1!J86),"",Лист1!J86)</f>
        <v>"6B01705 - Foreign language: two foreign languages (English)", B018-Training of foreign language teachers</v>
      </c>
      <c r="K86" s="5" t="str">
        <f>IF(ISBLANK(Лист1!K86),"",Лист1!K86)</f>
        <v>full-time</v>
      </c>
      <c r="L86" s="5" t="str">
        <f>IF(ISBLANK(Лист1!L86),"",Лист1!L86)</f>
        <v>21</v>
      </c>
      <c r="M86" s="5" t="str">
        <f>IF(ISBLANK(Лист1!M86),"",Лист1!M86)</f>
        <v>June</v>
      </c>
      <c r="N86" s="5" t="str">
        <f>IF(ISBLANK(Лист1!N86),"",Лист1!N86)</f>
        <v>21</v>
      </c>
      <c r="O86" s="5" t="str">
        <f>IF(ISBLANK(Лист1!O86),"",Лист1!O86)</f>
        <v>июня</v>
      </c>
      <c r="P86" s="5" t="str">
        <f>IF(ISBLANK(Лист1!P86),"",Лист1!P86)</f>
        <v>168</v>
      </c>
      <c r="Q86" s="5" t="str">
        <f>IF(ISBLANK(Лист1!Q86),"",Лист1!Q86)</f>
        <v>Исламхан  Дариға  Асқарқызы</v>
      </c>
      <c r="R86" s="5" t="str">
        <f>IF(ISBLANK(Лист1!R86),"",Лист1!R86)</f>
        <v>образования</v>
      </c>
      <c r="S86" s="5" t="str">
        <f>IF(ISBLANK(Лист1!S86),"",Лист1!S86)</f>
        <v>"6B01705 - Иностранный язык: два иностранных языка (английский)", В018-Подготовка учителей иностранного языка</v>
      </c>
      <c r="T86" s="5" t="str">
        <f>IF(ISBLANK(Лист1!T86),"",Лист1!T86)</f>
        <v>очное</v>
      </c>
      <c r="U86" s="5" t="str">
        <f>IF(ISBLANK(Лист1!U86),"",Лист1!U86)</f>
        <v/>
      </c>
      <c r="V86" s="5" t="str">
        <f>IF(ISBLANK(Лист1!V86),"",Лист1!V86)</f>
        <v>28</v>
      </c>
      <c r="W86" s="5" t="str">
        <f>IF(ISBLANK(Лист1!W86),"",Лист1!W86)</f>
        <v>маусым</v>
      </c>
      <c r="X86" s="5" t="str">
        <f>IF(ISBLANK(Лист1!X86),"",Лист1!X86)</f>
        <v>030628601651</v>
      </c>
      <c r="Y86" s="5" t="str">
        <f>IF(ISERROR(VLOOKUP($X86,Лист2!$A$2:$G$498,1,FALSE)),"",VLOOKUP($X86,Лист2!$A$2:$G$498,1,FALSE))</f>
        <v>030628601651</v>
      </c>
      <c r="Z86" s="5" t="str">
        <f>IF(ISERROR(VLOOKUP($X86,Лист2!$A$2:$L$498,9,FALSE)),"",VLOOKUP($X86,Лист2!$A$2:$L$498,9,FALSE))</f>
        <v>BD</v>
      </c>
      <c r="AA86" s="5" t="str">
        <f>IF(ISERROR(VLOOKUP($X86,Лист2!$A$2:$L$498,10,FALSE)),"",VLOOKUP($X86,Лист2!$A$2:$L$498,10,FALSE))</f>
        <v>00025647925</v>
      </c>
      <c r="AB86" s="5" t="str">
        <f>IF(ISERROR(VLOOKUP($X86,Лист2!$A$2:$M$498,13,FALSE)),"",VLOOKUP($X86,Лист2!$A$2:$M$498,13,FALSE))</f>
        <v>https://epvo.kz/#/verification_education_document?iin=030628601651&amp;diplomaSeries=BD&amp;diplomaNumber=00025647925</v>
      </c>
    </row>
    <row r="87" spans="1:28" x14ac:dyDescent="0.25">
      <c r="A87" s="5" t="str">
        <f>IF(ISBLANK(Лист1!A87),"",Лист1!A87)</f>
        <v>21</v>
      </c>
      <c r="B87" s="5" t="str">
        <f>IF(ISBLANK(Лист1!B87),"",Лист1!B87)</f>
        <v>маусымдағы</v>
      </c>
      <c r="C87" s="5" t="str">
        <f>IF(ISBLANK(Лист1!C87),"",Лист1!C87)</f>
        <v>233</v>
      </c>
      <c r="D87" s="5" t="str">
        <f>IF(ISBLANK(Лист1!D87),"",Лист1!D87)</f>
        <v>Исманова  Нұрайым  Ержанқызына</v>
      </c>
      <c r="E87" s="5" t="str">
        <f>IF(ISBLANK(Лист1!E87),"",Лист1!E87)</f>
        <v>"6В01705 - Шетел тілі: екі шетел тілі (ағылшын)", В018-Шет тілі мұғалімдерін даярлау</v>
      </c>
      <c r="F87" s="5" t="str">
        <f>IF(ISBLANK(Лист1!F87),"",Лист1!F87)</f>
        <v>білім</v>
      </c>
      <c r="G87" s="5" t="str">
        <f>IF(ISBLANK(Лист1!G87),"",Лист1!G87)</f>
        <v>күндізгі</v>
      </c>
      <c r="H87" s="5" t="str">
        <f>IF(ISBLANK(Лист1!H87),"",Лист1!H87)</f>
        <v>Ismanova  Nuraiym</v>
      </c>
      <c r="I87" s="5" t="str">
        <f>IF(ISBLANK(Лист1!I87),"",Лист1!I87)</f>
        <v>Education</v>
      </c>
      <c r="J87" s="5" t="str">
        <f>IF(ISBLANK(Лист1!J87),"",Лист1!J87)</f>
        <v>"6B01705 - Foreign language: two foreign languages (English)", B018-Training of foreign language teachers</v>
      </c>
      <c r="K87" s="5" t="str">
        <f>IF(ISBLANK(Лист1!K87),"",Лист1!K87)</f>
        <v>full-time</v>
      </c>
      <c r="L87" s="5" t="str">
        <f>IF(ISBLANK(Лист1!L87),"",Лист1!L87)</f>
        <v>21</v>
      </c>
      <c r="M87" s="5" t="str">
        <f>IF(ISBLANK(Лист1!M87),"",Лист1!M87)</f>
        <v>June</v>
      </c>
      <c r="N87" s="5" t="str">
        <f>IF(ISBLANK(Лист1!N87),"",Лист1!N87)</f>
        <v>21</v>
      </c>
      <c r="O87" s="5" t="str">
        <f>IF(ISBLANK(Лист1!O87),"",Лист1!O87)</f>
        <v>июня</v>
      </c>
      <c r="P87" s="5" t="str">
        <f>IF(ISBLANK(Лист1!P87),"",Лист1!P87)</f>
        <v>233</v>
      </c>
      <c r="Q87" s="5" t="str">
        <f>IF(ISBLANK(Лист1!Q87),"",Лист1!Q87)</f>
        <v>Исманова  Нұрайым  Ержанқызы</v>
      </c>
      <c r="R87" s="5" t="str">
        <f>IF(ISBLANK(Лист1!R87),"",Лист1!R87)</f>
        <v>образования</v>
      </c>
      <c r="S87" s="5" t="str">
        <f>IF(ISBLANK(Лист1!S87),"",Лист1!S87)</f>
        <v>"6B01705 - Иностранный язык: два иностранных языка (английский)", В018-Подготовка учителей иностранного языка</v>
      </c>
      <c r="T87" s="5" t="str">
        <f>IF(ISBLANK(Лист1!T87),"",Лист1!T87)</f>
        <v>очное</v>
      </c>
      <c r="U87" s="5" t="str">
        <f>IF(ISBLANK(Лист1!U87),"",Лист1!U87)</f>
        <v/>
      </c>
      <c r="V87" s="5" t="str">
        <f>IF(ISBLANK(Лист1!V87),"",Лист1!V87)</f>
        <v>28</v>
      </c>
      <c r="W87" s="5" t="str">
        <f>IF(ISBLANK(Лист1!W87),"",Лист1!W87)</f>
        <v>маусым</v>
      </c>
      <c r="X87" s="5" t="str">
        <f>IF(ISBLANK(Лист1!X87),"",Лист1!X87)</f>
        <v>040720601316</v>
      </c>
      <c r="Y87" s="5" t="str">
        <f>IF(ISERROR(VLOOKUP($X87,Лист2!$A$2:$G$498,1,FALSE)),"",VLOOKUP($X87,Лист2!$A$2:$G$498,1,FALSE))</f>
        <v>040720601316</v>
      </c>
      <c r="Z87" s="5" t="str">
        <f>IF(ISERROR(VLOOKUP($X87,Лист2!$A$2:$L$498,9,FALSE)),"",VLOOKUP($X87,Лист2!$A$2:$L$498,9,FALSE))</f>
        <v>BD</v>
      </c>
      <c r="AA87" s="5" t="str">
        <f>IF(ISERROR(VLOOKUP($X87,Лист2!$A$2:$L$498,10,FALSE)),"",VLOOKUP($X87,Лист2!$A$2:$L$498,10,FALSE))</f>
        <v>00025648125</v>
      </c>
      <c r="AB87" s="5" t="str">
        <f>IF(ISERROR(VLOOKUP($X87,Лист2!$A$2:$M$498,13,FALSE)),"",VLOOKUP($X87,Лист2!$A$2:$M$498,13,FALSE))</f>
        <v>https://epvo.kz/#/verification_education_document?iin=040720601316&amp;diplomaSeries=BD&amp;diplomaNumber=00025648125</v>
      </c>
    </row>
    <row r="88" spans="1:28" x14ac:dyDescent="0.25">
      <c r="A88" s="5" t="str">
        <f>IF(ISBLANK(Лист1!A88),"",Лист1!A88)</f>
        <v>21</v>
      </c>
      <c r="B88" s="5" t="str">
        <f>IF(ISBLANK(Лист1!B88),"",Лист1!B88)</f>
        <v>маусымдағы</v>
      </c>
      <c r="C88" s="5" t="str">
        <f>IF(ISBLANK(Лист1!C88),"",Лист1!C88)</f>
        <v>46</v>
      </c>
      <c r="D88" s="5" t="str">
        <f>IF(ISBLANK(Лист1!D88),"",Лист1!D88)</f>
        <v>Кадиримбетова  Жансая  Кутлымураткызына</v>
      </c>
      <c r="E88" s="5" t="str">
        <f>IF(ISBLANK(Лист1!E88),"",Лист1!E88)</f>
        <v>"6В01705 - Шетел тілі: екі шетел тілі (ағылшын)", В018-Шет тілі мұғалімдерін даярлау</v>
      </c>
      <c r="F88" s="5" t="str">
        <f>IF(ISBLANK(Лист1!F88),"",Лист1!F88)</f>
        <v>білім</v>
      </c>
      <c r="G88" s="5" t="str">
        <f>IF(ISBLANK(Лист1!G88),"",Лист1!G88)</f>
        <v>күндізгі</v>
      </c>
      <c r="H88" s="5" t="str">
        <f>IF(ISBLANK(Лист1!H88),"",Лист1!H88)</f>
        <v>Kadirimbetova  Zhansaya</v>
      </c>
      <c r="I88" s="5" t="str">
        <f>IF(ISBLANK(Лист1!I88),"",Лист1!I88)</f>
        <v>Education</v>
      </c>
      <c r="J88" s="5" t="str">
        <f>IF(ISBLANK(Лист1!J88),"",Лист1!J88)</f>
        <v>"6B01705 - Foreign language: two foreign languages (English)", B018-Training of foreign language teachers</v>
      </c>
      <c r="K88" s="5" t="str">
        <f>IF(ISBLANK(Лист1!K88),"",Лист1!K88)</f>
        <v>full-time</v>
      </c>
      <c r="L88" s="5" t="str">
        <f>IF(ISBLANK(Лист1!L88),"",Лист1!L88)</f>
        <v>21</v>
      </c>
      <c r="M88" s="5" t="str">
        <f>IF(ISBLANK(Лист1!M88),"",Лист1!M88)</f>
        <v>June</v>
      </c>
      <c r="N88" s="5" t="str">
        <f>IF(ISBLANK(Лист1!N88),"",Лист1!N88)</f>
        <v>21</v>
      </c>
      <c r="O88" s="5" t="str">
        <f>IF(ISBLANK(Лист1!O88),"",Лист1!O88)</f>
        <v>июня</v>
      </c>
      <c r="P88" s="5" t="str">
        <f>IF(ISBLANK(Лист1!P88),"",Лист1!P88)</f>
        <v>46</v>
      </c>
      <c r="Q88" s="5" t="str">
        <f>IF(ISBLANK(Лист1!Q88),"",Лист1!Q88)</f>
        <v>Кадиримбетовой  Жансае  Кутлымураткызы</v>
      </c>
      <c r="R88" s="5" t="str">
        <f>IF(ISBLANK(Лист1!R88),"",Лист1!R88)</f>
        <v>образования</v>
      </c>
      <c r="S88" s="5" t="str">
        <f>IF(ISBLANK(Лист1!S88),"",Лист1!S88)</f>
        <v>"6B01705 - Иностранный язык: два иностранных языка (английский)", В018-Подготовка учителей иностранного языка</v>
      </c>
      <c r="T88" s="5" t="str">
        <f>IF(ISBLANK(Лист1!T88),"",Лист1!T88)</f>
        <v>очное</v>
      </c>
      <c r="U88" s="5" t="str">
        <f>IF(ISBLANK(Лист1!U88),"",Лист1!U88)</f>
        <v/>
      </c>
      <c r="V88" s="5" t="str">
        <f>IF(ISBLANK(Лист1!V88),"",Лист1!V88)</f>
        <v>28</v>
      </c>
      <c r="W88" s="5" t="str">
        <f>IF(ISBLANK(Лист1!W88),"",Лист1!W88)</f>
        <v>маусым</v>
      </c>
      <c r="X88" s="5" t="str">
        <f>IF(ISBLANK(Лист1!X88),"",Лист1!X88)</f>
        <v>030624650192</v>
      </c>
      <c r="Y88" s="5" t="str">
        <f>IF(ISERROR(VLOOKUP($X88,Лист2!$A$2:$G$498,1,FALSE)),"",VLOOKUP($X88,Лист2!$A$2:$G$498,1,FALSE))</f>
        <v>030624650192</v>
      </c>
      <c r="Z88" s="5" t="str">
        <f>IF(ISERROR(VLOOKUP($X88,Лист2!$A$2:$L$498,9,FALSE)),"",VLOOKUP($X88,Лист2!$A$2:$L$498,9,FALSE))</f>
        <v>BD</v>
      </c>
      <c r="AA88" s="5" t="str">
        <f>IF(ISERROR(VLOOKUP($X88,Лист2!$A$2:$L$498,10,FALSE)),"",VLOOKUP($X88,Лист2!$A$2:$L$498,10,FALSE))</f>
        <v>00025685525</v>
      </c>
      <c r="AB88" s="5" t="str">
        <f>IF(ISERROR(VLOOKUP($X88,Лист2!$A$2:$M$498,13,FALSE)),"",VLOOKUP($X88,Лист2!$A$2:$M$498,13,FALSE))</f>
        <v>https://epvo.kz/#/verification_education_document?iin=030624650192&amp;diplomaSeries=BD&amp;diplomaNumber=00025685525</v>
      </c>
    </row>
    <row r="89" spans="1:28" x14ac:dyDescent="0.25">
      <c r="A89" s="5" t="str">
        <f>IF(ISBLANK(Лист1!A89),"",Лист1!A89)</f>
        <v>21</v>
      </c>
      <c r="B89" s="5" t="str">
        <f>IF(ISBLANK(Лист1!B89),"",Лист1!B89)</f>
        <v>маусымдағы</v>
      </c>
      <c r="C89" s="5" t="str">
        <f>IF(ISBLANK(Лист1!C89),"",Лист1!C89)</f>
        <v>09</v>
      </c>
      <c r="D89" s="5" t="str">
        <f>IF(ISBLANK(Лист1!D89),"",Лист1!D89)</f>
        <v>Кадирханова  Әселхан  Болатбекқызына</v>
      </c>
      <c r="E89" s="5" t="str">
        <f>IF(ISBLANK(Лист1!E89),"",Лист1!E89)</f>
        <v>"6В01705 - Шетел тілі: екі шетел тілі (ағылшын)", В018-Шет тілі мұғалімдерін даярлау</v>
      </c>
      <c r="F89" s="5" t="str">
        <f>IF(ISBLANK(Лист1!F89),"",Лист1!F89)</f>
        <v>білім</v>
      </c>
      <c r="G89" s="5" t="str">
        <f>IF(ISBLANK(Лист1!G89),"",Лист1!G89)</f>
        <v>күндізгі</v>
      </c>
      <c r="H89" s="5" t="str">
        <f>IF(ISBLANK(Лист1!H89),"",Лист1!H89)</f>
        <v>Kadirkhanova  Asselkhan</v>
      </c>
      <c r="I89" s="5" t="str">
        <f>IF(ISBLANK(Лист1!I89),"",Лист1!I89)</f>
        <v>Education</v>
      </c>
      <c r="J89" s="5" t="str">
        <f>IF(ISBLANK(Лист1!J89),"",Лист1!J89)</f>
        <v>"6B01705 - Foreign language: two foreign languages (English)", B018-Training of foreign language teachers</v>
      </c>
      <c r="K89" s="5" t="str">
        <f>IF(ISBLANK(Лист1!K89),"",Лист1!K89)</f>
        <v>full-time</v>
      </c>
      <c r="L89" s="5" t="str">
        <f>IF(ISBLANK(Лист1!L89),"",Лист1!L89)</f>
        <v>21</v>
      </c>
      <c r="M89" s="5" t="str">
        <f>IF(ISBLANK(Лист1!M89),"",Лист1!M89)</f>
        <v>June</v>
      </c>
      <c r="N89" s="5" t="str">
        <f>IF(ISBLANK(Лист1!N89),"",Лист1!N89)</f>
        <v>21</v>
      </c>
      <c r="O89" s="5" t="str">
        <f>IF(ISBLANK(Лист1!O89),"",Лист1!O89)</f>
        <v>июня</v>
      </c>
      <c r="P89" s="5" t="str">
        <f>IF(ISBLANK(Лист1!P89),"",Лист1!P89)</f>
        <v>09</v>
      </c>
      <c r="Q89" s="5" t="str">
        <f>IF(ISBLANK(Лист1!Q89),"",Лист1!Q89)</f>
        <v>Кадирханова  Әселхан  Болатбекқызы</v>
      </c>
      <c r="R89" s="5" t="str">
        <f>IF(ISBLANK(Лист1!R89),"",Лист1!R89)</f>
        <v>образования</v>
      </c>
      <c r="S89" s="5" t="str">
        <f>IF(ISBLANK(Лист1!S89),"",Лист1!S89)</f>
        <v>"6B01705 - Иностранный язык: два иностранных языка (английский)", В018-Подготовка учителей иностранного языка</v>
      </c>
      <c r="T89" s="5" t="str">
        <f>IF(ISBLANK(Лист1!T89),"",Лист1!T89)</f>
        <v>очное</v>
      </c>
      <c r="U89" s="5" t="str">
        <f>IF(ISBLANK(Лист1!U89),"",Лист1!U89)</f>
        <v/>
      </c>
      <c r="V89" s="5" t="str">
        <f>IF(ISBLANK(Лист1!V89),"",Лист1!V89)</f>
        <v>28</v>
      </c>
      <c r="W89" s="5" t="str">
        <f>IF(ISBLANK(Лист1!W89),"",Лист1!W89)</f>
        <v>маусым</v>
      </c>
      <c r="X89" s="5" t="str">
        <f>IF(ISBLANK(Лист1!X89),"",Лист1!X89)</f>
        <v>040801650295</v>
      </c>
      <c r="Y89" s="5" t="str">
        <f>IF(ISERROR(VLOOKUP($X89,Лист2!$A$2:$G$498,1,FALSE)),"",VLOOKUP($X89,Лист2!$A$2:$G$498,1,FALSE))</f>
        <v>040801650295</v>
      </c>
      <c r="Z89" s="5" t="str">
        <f>IF(ISERROR(VLOOKUP($X89,Лист2!$A$2:$L$498,9,FALSE)),"",VLOOKUP($X89,Лист2!$A$2:$L$498,9,FALSE))</f>
        <v>BD</v>
      </c>
      <c r="AA89" s="5" t="str">
        <f>IF(ISERROR(VLOOKUP($X89,Лист2!$A$2:$L$498,10,FALSE)),"",VLOOKUP($X89,Лист2!$A$2:$L$498,10,FALSE))</f>
        <v>00025685625</v>
      </c>
      <c r="AB89" s="5" t="str">
        <f>IF(ISERROR(VLOOKUP($X89,Лист2!$A$2:$M$498,13,FALSE)),"",VLOOKUP($X89,Лист2!$A$2:$M$498,13,FALSE))</f>
        <v>https://epvo.kz/#/verification_education_document?iin=040801650295&amp;diplomaSeries=BD&amp;diplomaNumber=00025685625</v>
      </c>
    </row>
    <row r="90" spans="1:28" x14ac:dyDescent="0.25">
      <c r="A90" s="5" t="str">
        <f>IF(ISBLANK(Лист1!A90),"",Лист1!A90)</f>
        <v>21</v>
      </c>
      <c r="B90" s="5" t="str">
        <f>IF(ISBLANK(Лист1!B90),"",Лист1!B90)</f>
        <v>маусымдағы</v>
      </c>
      <c r="C90" s="5" t="str">
        <f>IF(ISBLANK(Лист1!C90),"",Лист1!C90)</f>
        <v>48</v>
      </c>
      <c r="D90" s="5" t="str">
        <f>IF(ISBLANK(Лист1!D90),"",Лист1!D90)</f>
        <v>Караманова  Гүлжанат  Парахатқызына</v>
      </c>
      <c r="E90" s="5" t="str">
        <f>IF(ISBLANK(Лист1!E90),"",Лист1!E90)</f>
        <v>"6В01705 - Шетел тілі: екі шетел тілі (ағылшын)", В018-Шет тілі мұғалімдерін даярлау</v>
      </c>
      <c r="F90" s="5" t="str">
        <f>IF(ISBLANK(Лист1!F90),"",Лист1!F90)</f>
        <v>білім</v>
      </c>
      <c r="G90" s="5" t="str">
        <f>IF(ISBLANK(Лист1!G90),"",Лист1!G90)</f>
        <v>күндізгі</v>
      </c>
      <c r="H90" s="5" t="str">
        <f>IF(ISBLANK(Лист1!H90),"",Лист1!H90)</f>
        <v>Karamanova  Gulzhanat</v>
      </c>
      <c r="I90" s="5" t="str">
        <f>IF(ISBLANK(Лист1!I90),"",Лист1!I90)</f>
        <v>Education</v>
      </c>
      <c r="J90" s="5" t="str">
        <f>IF(ISBLANK(Лист1!J90),"",Лист1!J90)</f>
        <v>"6B01705 - Foreign language: two foreign languages (English)", B018-Training of foreign language teachers</v>
      </c>
      <c r="K90" s="5" t="str">
        <f>IF(ISBLANK(Лист1!K90),"",Лист1!K90)</f>
        <v>full-time</v>
      </c>
      <c r="L90" s="5" t="str">
        <f>IF(ISBLANK(Лист1!L90),"",Лист1!L90)</f>
        <v>21</v>
      </c>
      <c r="M90" s="5" t="str">
        <f>IF(ISBLANK(Лист1!M90),"",Лист1!M90)</f>
        <v>June</v>
      </c>
      <c r="N90" s="5" t="str">
        <f>IF(ISBLANK(Лист1!N90),"",Лист1!N90)</f>
        <v>21</v>
      </c>
      <c r="O90" s="5" t="str">
        <f>IF(ISBLANK(Лист1!O90),"",Лист1!O90)</f>
        <v>июня</v>
      </c>
      <c r="P90" s="5" t="str">
        <f>IF(ISBLANK(Лист1!P90),"",Лист1!P90)</f>
        <v>48</v>
      </c>
      <c r="Q90" s="5" t="str">
        <f>IF(ISBLANK(Лист1!Q90),"",Лист1!Q90)</f>
        <v>Караманова  Гүлжанат  Парахатқызы</v>
      </c>
      <c r="R90" s="5" t="str">
        <f>IF(ISBLANK(Лист1!R90),"",Лист1!R90)</f>
        <v>образования</v>
      </c>
      <c r="S90" s="5" t="str">
        <f>IF(ISBLANK(Лист1!S90),"",Лист1!S90)</f>
        <v>"6B01705 - Иностранный язык: два иностранных языка (английский)", В018-Подготовка учителей иностранного языка</v>
      </c>
      <c r="T90" s="5" t="str">
        <f>IF(ISBLANK(Лист1!T90),"",Лист1!T90)</f>
        <v>очное</v>
      </c>
      <c r="U90" s="5" t="str">
        <f>IF(ISBLANK(Лист1!U90),"",Лист1!U90)</f>
        <v/>
      </c>
      <c r="V90" s="5" t="str">
        <f>IF(ISBLANK(Лист1!V90),"",Лист1!V90)</f>
        <v>28</v>
      </c>
      <c r="W90" s="5" t="str">
        <f>IF(ISBLANK(Лист1!W90),"",Лист1!W90)</f>
        <v>маусым</v>
      </c>
      <c r="X90" s="5" t="str">
        <f>IF(ISBLANK(Лист1!X90),"",Лист1!X90)</f>
        <v>040415651532</v>
      </c>
      <c r="Y90" s="5" t="str">
        <f>IF(ISERROR(VLOOKUP($X90,Лист2!$A$2:$G$498,1,FALSE)),"",VLOOKUP($X90,Лист2!$A$2:$G$498,1,FALSE))</f>
        <v>040415651532</v>
      </c>
      <c r="Z90" s="5" t="str">
        <f>IF(ISERROR(VLOOKUP($X90,Лист2!$A$2:$L$498,9,FALSE)),"",VLOOKUP($X90,Лист2!$A$2:$L$498,9,FALSE))</f>
        <v>BD</v>
      </c>
      <c r="AA90" s="5" t="str">
        <f>IF(ISERROR(VLOOKUP($X90,Лист2!$A$2:$L$498,10,FALSE)),"",VLOOKUP($X90,Лист2!$A$2:$L$498,10,FALSE))</f>
        <v>00025648325</v>
      </c>
      <c r="AB90" s="5" t="str">
        <f>IF(ISERROR(VLOOKUP($X90,Лист2!$A$2:$M$498,13,FALSE)),"",VLOOKUP($X90,Лист2!$A$2:$M$498,13,FALSE))</f>
        <v>https://epvo.kz/#/verification_education_document?iin=040415651532&amp;diplomaSeries=BD&amp;diplomaNumber=00025648325</v>
      </c>
    </row>
    <row r="91" spans="1:28" x14ac:dyDescent="0.25">
      <c r="A91" s="5" t="str">
        <f>IF(ISBLANK(Лист1!A91),"",Лист1!A91)</f>
        <v>21</v>
      </c>
      <c r="B91" s="5" t="str">
        <f>IF(ISBLANK(Лист1!B91),"",Лист1!B91)</f>
        <v>маусымдағы</v>
      </c>
      <c r="C91" s="5" t="str">
        <f>IF(ISBLANK(Лист1!C91),"",Лист1!C91)</f>
        <v>49</v>
      </c>
      <c r="D91" s="5" t="str">
        <f>IF(ISBLANK(Лист1!D91),"",Лист1!D91)</f>
        <v>Каржаубаева  Жібек  Сайлауқызына</v>
      </c>
      <c r="E91" s="5" t="str">
        <f>IF(ISBLANK(Лист1!E91),"",Лист1!E91)</f>
        <v>"6В01705 - Шетел тілі: екі шетел тілі (ағылшын)", В018-Шет тілі мұғалімдерін даярлау</v>
      </c>
      <c r="F91" s="5" t="str">
        <f>IF(ISBLANK(Лист1!F91),"",Лист1!F91)</f>
        <v>білім</v>
      </c>
      <c r="G91" s="5" t="str">
        <f>IF(ISBLANK(Лист1!G91),"",Лист1!G91)</f>
        <v>күндізгі</v>
      </c>
      <c r="H91" s="5" t="str">
        <f>IF(ISBLANK(Лист1!H91),"",Лист1!H91)</f>
        <v>Karzhaubayeva  Zhibek</v>
      </c>
      <c r="I91" s="5" t="str">
        <f>IF(ISBLANK(Лист1!I91),"",Лист1!I91)</f>
        <v>Education</v>
      </c>
      <c r="J91" s="5" t="str">
        <f>IF(ISBLANK(Лист1!J91),"",Лист1!J91)</f>
        <v>"6B01705 - Foreign language: two foreign languages (English)", B018-Training of foreign language teachers</v>
      </c>
      <c r="K91" s="5" t="str">
        <f>IF(ISBLANK(Лист1!K91),"",Лист1!K91)</f>
        <v>full-time</v>
      </c>
      <c r="L91" s="5" t="str">
        <f>IF(ISBLANK(Лист1!L91),"",Лист1!L91)</f>
        <v>21</v>
      </c>
      <c r="M91" s="5" t="str">
        <f>IF(ISBLANK(Лист1!M91),"",Лист1!M91)</f>
        <v>June</v>
      </c>
      <c r="N91" s="5" t="str">
        <f>IF(ISBLANK(Лист1!N91),"",Лист1!N91)</f>
        <v>21</v>
      </c>
      <c r="O91" s="5" t="str">
        <f>IF(ISBLANK(Лист1!O91),"",Лист1!O91)</f>
        <v>июня</v>
      </c>
      <c r="P91" s="5" t="str">
        <f>IF(ISBLANK(Лист1!P91),"",Лист1!P91)</f>
        <v>49</v>
      </c>
      <c r="Q91" s="5" t="str">
        <f>IF(ISBLANK(Лист1!Q91),"",Лист1!Q91)</f>
        <v>Каржаубаева  Жібек  Сайлауқызы</v>
      </c>
      <c r="R91" s="5" t="str">
        <f>IF(ISBLANK(Лист1!R91),"",Лист1!R91)</f>
        <v>образования</v>
      </c>
      <c r="S91" s="5" t="str">
        <f>IF(ISBLANK(Лист1!S91),"",Лист1!S91)</f>
        <v>"6B01705 - Иностранный язык: два иностранных языка (английский)", В018-Подготовка учителей иностранного языка</v>
      </c>
      <c r="T91" s="5" t="str">
        <f>IF(ISBLANK(Лист1!T91),"",Лист1!T91)</f>
        <v>очное</v>
      </c>
      <c r="U91" s="5" t="str">
        <f>IF(ISBLANK(Лист1!U91),"",Лист1!U91)</f>
        <v/>
      </c>
      <c r="V91" s="5" t="str">
        <f>IF(ISBLANK(Лист1!V91),"",Лист1!V91)</f>
        <v>28</v>
      </c>
      <c r="W91" s="5" t="str">
        <f>IF(ISBLANK(Лист1!W91),"",Лист1!W91)</f>
        <v>маусым</v>
      </c>
      <c r="X91" s="5" t="str">
        <f>IF(ISBLANK(Лист1!X91),"",Лист1!X91)</f>
        <v>030916601538</v>
      </c>
      <c r="Y91" s="5" t="str">
        <f>IF(ISERROR(VLOOKUP($X91,Лист2!$A$2:$G$498,1,FALSE)),"",VLOOKUP($X91,Лист2!$A$2:$G$498,1,FALSE))</f>
        <v>030916601538</v>
      </c>
      <c r="Z91" s="5" t="str">
        <f>IF(ISERROR(VLOOKUP($X91,Лист2!$A$2:$L$498,9,FALSE)),"",VLOOKUP($X91,Лист2!$A$2:$L$498,9,FALSE))</f>
        <v>BD</v>
      </c>
      <c r="AA91" s="5" t="str">
        <f>IF(ISERROR(VLOOKUP($X91,Лист2!$A$2:$L$498,10,FALSE)),"",VLOOKUP($X91,Лист2!$A$2:$L$498,10,FALSE))</f>
        <v>00025648425</v>
      </c>
      <c r="AB91" s="5" t="str">
        <f>IF(ISERROR(VLOOKUP($X91,Лист2!$A$2:$M$498,13,FALSE)),"",VLOOKUP($X91,Лист2!$A$2:$M$498,13,FALSE))</f>
        <v>https://epvo.kz/#/verification_education_document?iin=030916601538&amp;diplomaSeries=BD&amp;diplomaNumber=00025648425</v>
      </c>
    </row>
    <row r="92" spans="1:28" x14ac:dyDescent="0.25">
      <c r="A92" s="5" t="str">
        <f>IF(ISBLANK(Лист1!A92),"",Лист1!A92)</f>
        <v>21</v>
      </c>
      <c r="B92" s="5" t="str">
        <f>IF(ISBLANK(Лист1!B92),"",Лист1!B92)</f>
        <v>маусымдағы</v>
      </c>
      <c r="C92" s="5" t="str">
        <f>IF(ISBLANK(Лист1!C92),"",Лист1!C92)</f>
        <v>131</v>
      </c>
      <c r="D92" s="5" t="str">
        <f>IF(ISBLANK(Лист1!D92),"",Лист1!D92)</f>
        <v>Картабаева  Асель  Жамбылбековнаға</v>
      </c>
      <c r="E92" s="5" t="str">
        <f>IF(ISBLANK(Лист1!E92),"",Лист1!E92)</f>
        <v>"6В01705 - Шетел тілі: екі шетел тілі (ағылшын)", В018-Шет тілі мұғалімдерін даярлау</v>
      </c>
      <c r="F92" s="5" t="str">
        <f>IF(ISBLANK(Лист1!F92),"",Лист1!F92)</f>
        <v>білім</v>
      </c>
      <c r="G92" s="5" t="str">
        <f>IF(ISBLANK(Лист1!G92),"",Лист1!G92)</f>
        <v>күндізгі</v>
      </c>
      <c r="H92" s="5" t="str">
        <f>IF(ISBLANK(Лист1!H92),"",Лист1!H92)</f>
        <v>Kartabayeva  Assel</v>
      </c>
      <c r="I92" s="5" t="str">
        <f>IF(ISBLANK(Лист1!I92),"",Лист1!I92)</f>
        <v>Education</v>
      </c>
      <c r="J92" s="5" t="str">
        <f>IF(ISBLANK(Лист1!J92),"",Лист1!J92)</f>
        <v>"6B01705 - Foreign language: two foreign languages (English)", B018-Training of foreign language teachers</v>
      </c>
      <c r="K92" s="5" t="str">
        <f>IF(ISBLANK(Лист1!K92),"",Лист1!K92)</f>
        <v>full-time</v>
      </c>
      <c r="L92" s="5" t="str">
        <f>IF(ISBLANK(Лист1!L92),"",Лист1!L92)</f>
        <v>21</v>
      </c>
      <c r="M92" s="5" t="str">
        <f>IF(ISBLANK(Лист1!M92),"",Лист1!M92)</f>
        <v>June</v>
      </c>
      <c r="N92" s="5" t="str">
        <f>IF(ISBLANK(Лист1!N92),"",Лист1!N92)</f>
        <v>21</v>
      </c>
      <c r="O92" s="5" t="str">
        <f>IF(ISBLANK(Лист1!O92),"",Лист1!O92)</f>
        <v>июня</v>
      </c>
      <c r="P92" s="5" t="str">
        <f>IF(ISBLANK(Лист1!P92),"",Лист1!P92)</f>
        <v>131</v>
      </c>
      <c r="Q92" s="5" t="str">
        <f>IF(ISBLANK(Лист1!Q92),"",Лист1!Q92)</f>
        <v>Картабаевой  Асель  Жамбылбековне</v>
      </c>
      <c r="R92" s="5" t="str">
        <f>IF(ISBLANK(Лист1!R92),"",Лист1!R92)</f>
        <v>образования</v>
      </c>
      <c r="S92" s="5" t="str">
        <f>IF(ISBLANK(Лист1!S92),"",Лист1!S92)</f>
        <v>"6B01705 - Иностранный язык: два иностранных языка (английский)", В018-Подготовка учителей иностранного языка</v>
      </c>
      <c r="T92" s="5" t="str">
        <f>IF(ISBLANK(Лист1!T92),"",Лист1!T92)</f>
        <v>очное</v>
      </c>
      <c r="U92" s="5" t="str">
        <f>IF(ISBLANK(Лист1!U92),"",Лист1!U92)</f>
        <v/>
      </c>
      <c r="V92" s="5" t="str">
        <f>IF(ISBLANK(Лист1!V92),"",Лист1!V92)</f>
        <v>28</v>
      </c>
      <c r="W92" s="5" t="str">
        <f>IF(ISBLANK(Лист1!W92),"",Лист1!W92)</f>
        <v>маусым</v>
      </c>
      <c r="X92" s="5" t="str">
        <f>IF(ISBLANK(Лист1!X92),"",Лист1!X92)</f>
        <v>031125651329</v>
      </c>
      <c r="Y92" s="5" t="str">
        <f>IF(ISERROR(VLOOKUP($X92,Лист2!$A$2:$G$498,1,FALSE)),"",VLOOKUP($X92,Лист2!$A$2:$G$498,1,FALSE))</f>
        <v>031125651329</v>
      </c>
      <c r="Z92" s="5" t="str">
        <f>IF(ISERROR(VLOOKUP($X92,Лист2!$A$2:$L$498,9,FALSE)),"",VLOOKUP($X92,Лист2!$A$2:$L$498,9,FALSE))</f>
        <v>BD</v>
      </c>
      <c r="AA92" s="5" t="str">
        <f>IF(ISERROR(VLOOKUP($X92,Лист2!$A$2:$L$498,10,FALSE)),"",VLOOKUP($X92,Лист2!$A$2:$L$498,10,FALSE))</f>
        <v>00025648525</v>
      </c>
      <c r="AB92" s="5" t="str">
        <f>IF(ISERROR(VLOOKUP($X92,Лист2!$A$2:$M$498,13,FALSE)),"",VLOOKUP($X92,Лист2!$A$2:$M$498,13,FALSE))</f>
        <v>https://epvo.kz/#/verification_education_document?iin=031125651329&amp;diplomaSeries=BD&amp;diplomaNumber=00025648525</v>
      </c>
    </row>
    <row r="93" spans="1:28" x14ac:dyDescent="0.25">
      <c r="A93" s="5" t="str">
        <f>IF(ISBLANK(Лист1!A93),"",Лист1!A93)</f>
        <v>21</v>
      </c>
      <c r="B93" s="5" t="str">
        <f>IF(ISBLANK(Лист1!B93),"",Лист1!B93)</f>
        <v>маусымдағы</v>
      </c>
      <c r="C93" s="5" t="str">
        <f>IF(ISBLANK(Лист1!C93),"",Лист1!C93)</f>
        <v>132</v>
      </c>
      <c r="D93" s="5" t="str">
        <f>IF(ISBLANK(Лист1!D93),"",Лист1!D93)</f>
        <v>Келдібек  Аяулым  Нұрланқызына</v>
      </c>
      <c r="E93" s="5" t="str">
        <f>IF(ISBLANK(Лист1!E93),"",Лист1!E93)</f>
        <v>"6В01705 - Шетел тілі: екі шетел тілі (ағылшын)", В018-Шет тілі мұғалімдерін даярлау</v>
      </c>
      <c r="F93" s="5" t="str">
        <f>IF(ISBLANK(Лист1!F93),"",Лист1!F93)</f>
        <v>білім</v>
      </c>
      <c r="G93" s="5" t="str">
        <f>IF(ISBLANK(Лист1!G93),"",Лист1!G93)</f>
        <v>күндізгі</v>
      </c>
      <c r="H93" s="5" t="str">
        <f>IF(ISBLANK(Лист1!H93),"",Лист1!H93)</f>
        <v>Keldibek  Ayaulym</v>
      </c>
      <c r="I93" s="5" t="str">
        <f>IF(ISBLANK(Лист1!I93),"",Лист1!I93)</f>
        <v>Education</v>
      </c>
      <c r="J93" s="5" t="str">
        <f>IF(ISBLANK(Лист1!J93),"",Лист1!J93)</f>
        <v>"6B01705 - Foreign language: two foreign languages (English)", B018-Training of foreign language teachers</v>
      </c>
      <c r="K93" s="5" t="str">
        <f>IF(ISBLANK(Лист1!K93),"",Лист1!K93)</f>
        <v>full-time</v>
      </c>
      <c r="L93" s="5" t="str">
        <f>IF(ISBLANK(Лист1!L93),"",Лист1!L93)</f>
        <v>21</v>
      </c>
      <c r="M93" s="5" t="str">
        <f>IF(ISBLANK(Лист1!M93),"",Лист1!M93)</f>
        <v>June</v>
      </c>
      <c r="N93" s="5" t="str">
        <f>IF(ISBLANK(Лист1!N93),"",Лист1!N93)</f>
        <v>21</v>
      </c>
      <c r="O93" s="5" t="str">
        <f>IF(ISBLANK(Лист1!O93),"",Лист1!O93)</f>
        <v>июня</v>
      </c>
      <c r="P93" s="5" t="str">
        <f>IF(ISBLANK(Лист1!P93),"",Лист1!P93)</f>
        <v>132</v>
      </c>
      <c r="Q93" s="5" t="str">
        <f>IF(ISBLANK(Лист1!Q93),"",Лист1!Q93)</f>
        <v>Келдібек  Аяулым  Нұрланқызы</v>
      </c>
      <c r="R93" s="5" t="str">
        <f>IF(ISBLANK(Лист1!R93),"",Лист1!R93)</f>
        <v>образования</v>
      </c>
      <c r="S93" s="5" t="str">
        <f>IF(ISBLANK(Лист1!S93),"",Лист1!S93)</f>
        <v>"6B01705 - Иностранный язык: два иностранных языка (английский)", В018-Подготовка учителей иностранного языка</v>
      </c>
      <c r="T93" s="5" t="str">
        <f>IF(ISBLANK(Лист1!T93),"",Лист1!T93)</f>
        <v>очное</v>
      </c>
      <c r="U93" s="5" t="str">
        <f>IF(ISBLANK(Лист1!U93),"",Лист1!U93)</f>
        <v/>
      </c>
      <c r="V93" s="5" t="str">
        <f>IF(ISBLANK(Лист1!V93),"",Лист1!V93)</f>
        <v>28</v>
      </c>
      <c r="W93" s="5" t="str">
        <f>IF(ISBLANK(Лист1!W93),"",Лист1!W93)</f>
        <v>маусым</v>
      </c>
      <c r="X93" s="5" t="str">
        <f>IF(ISBLANK(Лист1!X93),"",Лист1!X93)</f>
        <v>040622600880</v>
      </c>
      <c r="Y93" s="5" t="str">
        <f>IF(ISERROR(VLOOKUP($X93,Лист2!$A$2:$G$498,1,FALSE)),"",VLOOKUP($X93,Лист2!$A$2:$G$498,1,FALSE))</f>
        <v>040622600880</v>
      </c>
      <c r="Z93" s="5" t="str">
        <f>IF(ISERROR(VLOOKUP($X93,Лист2!$A$2:$L$498,9,FALSE)),"",VLOOKUP($X93,Лист2!$A$2:$L$498,9,FALSE))</f>
        <v>BD</v>
      </c>
      <c r="AA93" s="5" t="str">
        <f>IF(ISERROR(VLOOKUP($X93,Лист2!$A$2:$L$498,10,FALSE)),"",VLOOKUP($X93,Лист2!$A$2:$L$498,10,FALSE))</f>
        <v>00025648625</v>
      </c>
      <c r="AB93" s="5" t="str">
        <f>IF(ISERROR(VLOOKUP($X93,Лист2!$A$2:$M$498,13,FALSE)),"",VLOOKUP($X93,Лист2!$A$2:$M$498,13,FALSE))</f>
        <v>https://epvo.kz/#/verification_education_document?iin=040622600880&amp;diplomaSeries=BD&amp;diplomaNumber=00025648625</v>
      </c>
    </row>
    <row r="94" spans="1:28" x14ac:dyDescent="0.25">
      <c r="A94" s="5" t="str">
        <f>IF(ISBLANK(Лист1!A94),"",Лист1!A94)</f>
        <v>21</v>
      </c>
      <c r="B94" s="5" t="str">
        <f>IF(ISBLANK(Лист1!B94),"",Лист1!B94)</f>
        <v>маусымдағы</v>
      </c>
      <c r="C94" s="5" t="str">
        <f>IF(ISBLANK(Лист1!C94),"",Лист1!C94)</f>
        <v>50</v>
      </c>
      <c r="D94" s="5" t="str">
        <f>IF(ISBLANK(Лист1!D94),"",Лист1!D94)</f>
        <v>Кемал  Балжан  Ерболқызына</v>
      </c>
      <c r="E94" s="5" t="str">
        <f>IF(ISBLANK(Лист1!E94),"",Лист1!E94)</f>
        <v>"6В01705 - Шетел тілі: екі шетел тілі (ағылшын)", В018-Шет тілі мұғалімдерін даярлау</v>
      </c>
      <c r="F94" s="5" t="str">
        <f>IF(ISBLANK(Лист1!F94),"",Лист1!F94)</f>
        <v>білім</v>
      </c>
      <c r="G94" s="5" t="str">
        <f>IF(ISBLANK(Лист1!G94),"",Лист1!G94)</f>
        <v>күндізгі</v>
      </c>
      <c r="H94" s="5" t="str">
        <f>IF(ISBLANK(Лист1!H94),"",Лист1!H94)</f>
        <v>Kemal  Balzhan</v>
      </c>
      <c r="I94" s="5" t="str">
        <f>IF(ISBLANK(Лист1!I94),"",Лист1!I94)</f>
        <v>Education</v>
      </c>
      <c r="J94" s="5" t="str">
        <f>IF(ISBLANK(Лист1!J94),"",Лист1!J94)</f>
        <v>"6B01705 - Foreign language: two foreign languages (English)", B018-Training of foreign language teachers</v>
      </c>
      <c r="K94" s="5" t="str">
        <f>IF(ISBLANK(Лист1!K94),"",Лист1!K94)</f>
        <v>full-time</v>
      </c>
      <c r="L94" s="5" t="str">
        <f>IF(ISBLANK(Лист1!L94),"",Лист1!L94)</f>
        <v>21</v>
      </c>
      <c r="M94" s="5" t="str">
        <f>IF(ISBLANK(Лист1!M94),"",Лист1!M94)</f>
        <v>June</v>
      </c>
      <c r="N94" s="5" t="str">
        <f>IF(ISBLANK(Лист1!N94),"",Лист1!N94)</f>
        <v>21</v>
      </c>
      <c r="O94" s="5" t="str">
        <f>IF(ISBLANK(Лист1!O94),"",Лист1!O94)</f>
        <v>июня</v>
      </c>
      <c r="P94" s="5" t="str">
        <f>IF(ISBLANK(Лист1!P94),"",Лист1!P94)</f>
        <v>50</v>
      </c>
      <c r="Q94" s="5" t="str">
        <f>IF(ISBLANK(Лист1!Q94),"",Лист1!Q94)</f>
        <v>Кемал  Балжан  Ерболқызы</v>
      </c>
      <c r="R94" s="5" t="str">
        <f>IF(ISBLANK(Лист1!R94),"",Лист1!R94)</f>
        <v>образования</v>
      </c>
      <c r="S94" s="5" t="str">
        <f>IF(ISBLANK(Лист1!S94),"",Лист1!S94)</f>
        <v>"6B01705 - Иностранный язык: два иностранных языка (английский)", В018-Подготовка учителей иностранного языка</v>
      </c>
      <c r="T94" s="5" t="str">
        <f>IF(ISBLANK(Лист1!T94),"",Лист1!T94)</f>
        <v>очное</v>
      </c>
      <c r="U94" s="5" t="str">
        <f>IF(ISBLANK(Лист1!U94),"",Лист1!U94)</f>
        <v/>
      </c>
      <c r="V94" s="5" t="str">
        <f>IF(ISBLANK(Лист1!V94),"",Лист1!V94)</f>
        <v>28</v>
      </c>
      <c r="W94" s="5" t="str">
        <f>IF(ISBLANK(Лист1!W94),"",Лист1!W94)</f>
        <v>маусым</v>
      </c>
      <c r="X94" s="5" t="str">
        <f>IF(ISBLANK(Лист1!X94),"",Лист1!X94)</f>
        <v>040205601475</v>
      </c>
      <c r="Y94" s="5" t="str">
        <f>IF(ISERROR(VLOOKUP($X94,Лист2!$A$2:$G$498,1,FALSE)),"",VLOOKUP($X94,Лист2!$A$2:$G$498,1,FALSE))</f>
        <v>040205601475</v>
      </c>
      <c r="Z94" s="5" t="str">
        <f>IF(ISERROR(VLOOKUP($X94,Лист2!$A$2:$L$498,9,FALSE)),"",VLOOKUP($X94,Лист2!$A$2:$L$498,9,FALSE))</f>
        <v>BD</v>
      </c>
      <c r="AA94" s="5" t="str">
        <f>IF(ISERROR(VLOOKUP($X94,Лист2!$A$2:$L$498,10,FALSE)),"",VLOOKUP($X94,Лист2!$A$2:$L$498,10,FALSE))</f>
        <v>00025648725</v>
      </c>
      <c r="AB94" s="5" t="str">
        <f>IF(ISERROR(VLOOKUP($X94,Лист2!$A$2:$M$498,13,FALSE)),"",VLOOKUP($X94,Лист2!$A$2:$M$498,13,FALSE))</f>
        <v>https://epvo.kz/#/verification_education_document?iin=040205601475&amp;diplomaSeries=BD&amp;diplomaNumber=00025648725</v>
      </c>
    </row>
    <row r="95" spans="1:28" x14ac:dyDescent="0.25">
      <c r="A95" s="5" t="str">
        <f>IF(ISBLANK(Лист1!A95),"",Лист1!A95)</f>
        <v>21</v>
      </c>
      <c r="B95" s="5" t="str">
        <f>IF(ISBLANK(Лист1!B95),"",Лист1!B95)</f>
        <v>маусымдағы</v>
      </c>
      <c r="C95" s="5" t="str">
        <f>IF(ISBLANK(Лист1!C95),"",Лист1!C95)</f>
        <v>51</v>
      </c>
      <c r="D95" s="5" t="str">
        <f>IF(ISBLANK(Лист1!D95),"",Лист1!D95)</f>
        <v>Кемелбекова  Камила  Аханқызына</v>
      </c>
      <c r="E95" s="5" t="str">
        <f>IF(ISBLANK(Лист1!E95),"",Лист1!E95)</f>
        <v>"6В01705 - Шетел тілі: екі шетел тілі (ағылшын)", В018-Шет тілі мұғалімдерін даярлау</v>
      </c>
      <c r="F95" s="5" t="str">
        <f>IF(ISBLANK(Лист1!F95),"",Лист1!F95)</f>
        <v>білім</v>
      </c>
      <c r="G95" s="5" t="str">
        <f>IF(ISBLANK(Лист1!G95),"",Лист1!G95)</f>
        <v>күндізгі</v>
      </c>
      <c r="H95" s="5" t="str">
        <f>IF(ISBLANK(Лист1!H95),"",Лист1!H95)</f>
        <v>Kemelbekova  Kamila</v>
      </c>
      <c r="I95" s="5" t="str">
        <f>IF(ISBLANK(Лист1!I95),"",Лист1!I95)</f>
        <v>Education</v>
      </c>
      <c r="J95" s="5" t="str">
        <f>IF(ISBLANK(Лист1!J95),"",Лист1!J95)</f>
        <v>"6B01705 - Foreign language: two foreign languages (English)", B018-Training of foreign language teachers</v>
      </c>
      <c r="K95" s="5" t="str">
        <f>IF(ISBLANK(Лист1!K95),"",Лист1!K95)</f>
        <v>full-time</v>
      </c>
      <c r="L95" s="5" t="str">
        <f>IF(ISBLANK(Лист1!L95),"",Лист1!L95)</f>
        <v>21</v>
      </c>
      <c r="M95" s="5" t="str">
        <f>IF(ISBLANK(Лист1!M95),"",Лист1!M95)</f>
        <v>June</v>
      </c>
      <c r="N95" s="5" t="str">
        <f>IF(ISBLANK(Лист1!N95),"",Лист1!N95)</f>
        <v>21</v>
      </c>
      <c r="O95" s="5" t="str">
        <f>IF(ISBLANK(Лист1!O95),"",Лист1!O95)</f>
        <v>июня</v>
      </c>
      <c r="P95" s="5" t="str">
        <f>IF(ISBLANK(Лист1!P95),"",Лист1!P95)</f>
        <v>51</v>
      </c>
      <c r="Q95" s="5" t="str">
        <f>IF(ISBLANK(Лист1!Q95),"",Лист1!Q95)</f>
        <v>Кемелбекова  Камила  Аханқызы</v>
      </c>
      <c r="R95" s="5" t="str">
        <f>IF(ISBLANK(Лист1!R95),"",Лист1!R95)</f>
        <v>образования</v>
      </c>
      <c r="S95" s="5" t="str">
        <f>IF(ISBLANK(Лист1!S95),"",Лист1!S95)</f>
        <v>"6B01705 - Иностранный язык: два иностранных языка (английский)", В018-Подготовка учителей иностранного языка</v>
      </c>
      <c r="T95" s="5" t="str">
        <f>IF(ISBLANK(Лист1!T95),"",Лист1!T95)</f>
        <v>очное</v>
      </c>
      <c r="U95" s="5" t="str">
        <f>IF(ISBLANK(Лист1!U95),"",Лист1!U95)</f>
        <v/>
      </c>
      <c r="V95" s="5" t="str">
        <f>IF(ISBLANK(Лист1!V95),"",Лист1!V95)</f>
        <v>28</v>
      </c>
      <c r="W95" s="5" t="str">
        <f>IF(ISBLANK(Лист1!W95),"",Лист1!W95)</f>
        <v>маусым</v>
      </c>
      <c r="X95" s="5" t="str">
        <f>IF(ISBLANK(Лист1!X95),"",Лист1!X95)</f>
        <v>030308600831</v>
      </c>
      <c r="Y95" s="5" t="str">
        <f>IF(ISERROR(VLOOKUP($X95,Лист2!$A$2:$G$498,1,FALSE)),"",VLOOKUP($X95,Лист2!$A$2:$G$498,1,FALSE))</f>
        <v>030308600831</v>
      </c>
      <c r="Z95" s="5" t="str">
        <f>IF(ISERROR(VLOOKUP($X95,Лист2!$A$2:$L$498,9,FALSE)),"",VLOOKUP($X95,Лист2!$A$2:$L$498,9,FALSE))</f>
        <v>BD</v>
      </c>
      <c r="AA95" s="5" t="str">
        <f>IF(ISERROR(VLOOKUP($X95,Лист2!$A$2:$L$498,10,FALSE)),"",VLOOKUP($X95,Лист2!$A$2:$L$498,10,FALSE))</f>
        <v>00025648825</v>
      </c>
      <c r="AB95" s="5" t="str">
        <f>IF(ISERROR(VLOOKUP($X95,Лист2!$A$2:$M$498,13,FALSE)),"",VLOOKUP($X95,Лист2!$A$2:$M$498,13,FALSE))</f>
        <v>https://epvo.kz/#/verification_education_document?iin=030308600831&amp;diplomaSeries=BD&amp;diplomaNumber=00025648825</v>
      </c>
    </row>
    <row r="96" spans="1:28" x14ac:dyDescent="0.25">
      <c r="A96" s="5" t="str">
        <f>IF(ISBLANK(Лист1!A96),"",Лист1!A96)</f>
        <v>21</v>
      </c>
      <c r="B96" s="5" t="str">
        <f>IF(ISBLANK(Лист1!B96),"",Лист1!B96)</f>
        <v>маусымдағы</v>
      </c>
      <c r="C96" s="5" t="str">
        <f>IF(ISBLANK(Лист1!C96),"",Лист1!C96)</f>
        <v>191</v>
      </c>
      <c r="D96" s="5" t="str">
        <f>IF(ISBLANK(Лист1!D96),"",Лист1!D96)</f>
        <v>Кенес  Ақбаян  Ермекқызына</v>
      </c>
      <c r="E96" s="5" t="str">
        <f>IF(ISBLANK(Лист1!E96),"",Лист1!E96)</f>
        <v>"6В01705 - Шетел тілі: екі шетел тілі (ағылшын)", В018-Шет тілі мұғалімдерін даярлау</v>
      </c>
      <c r="F96" s="5" t="str">
        <f>IF(ISBLANK(Лист1!F96),"",Лист1!F96)</f>
        <v>білім</v>
      </c>
      <c r="G96" s="5" t="str">
        <f>IF(ISBLANK(Лист1!G96),"",Лист1!G96)</f>
        <v>күндізгі</v>
      </c>
      <c r="H96" s="5" t="str">
        <f>IF(ISBLANK(Лист1!H96),"",Лист1!H96)</f>
        <v>Kenes  Akbayan</v>
      </c>
      <c r="I96" s="5" t="str">
        <f>IF(ISBLANK(Лист1!I96),"",Лист1!I96)</f>
        <v>Education</v>
      </c>
      <c r="J96" s="5" t="str">
        <f>IF(ISBLANK(Лист1!J96),"",Лист1!J96)</f>
        <v>"6B01705 - Foreign language: two foreign languages (English)", B018-Training of foreign language teachers</v>
      </c>
      <c r="K96" s="5" t="str">
        <f>IF(ISBLANK(Лист1!K96),"",Лист1!K96)</f>
        <v>full-time</v>
      </c>
      <c r="L96" s="5" t="str">
        <f>IF(ISBLANK(Лист1!L96),"",Лист1!L96)</f>
        <v>21</v>
      </c>
      <c r="M96" s="5" t="str">
        <f>IF(ISBLANK(Лист1!M96),"",Лист1!M96)</f>
        <v>June</v>
      </c>
      <c r="N96" s="5" t="str">
        <f>IF(ISBLANK(Лист1!N96),"",Лист1!N96)</f>
        <v>21</v>
      </c>
      <c r="O96" s="5" t="str">
        <f>IF(ISBLANK(Лист1!O96),"",Лист1!O96)</f>
        <v>июня</v>
      </c>
      <c r="P96" s="5" t="str">
        <f>IF(ISBLANK(Лист1!P96),"",Лист1!P96)</f>
        <v>191</v>
      </c>
      <c r="Q96" s="5" t="str">
        <f>IF(ISBLANK(Лист1!Q96),"",Лист1!Q96)</f>
        <v>Кенес  Ақбаян  Ермекқызы</v>
      </c>
      <c r="R96" s="5" t="str">
        <f>IF(ISBLANK(Лист1!R96),"",Лист1!R96)</f>
        <v>образования</v>
      </c>
      <c r="S96" s="5" t="str">
        <f>IF(ISBLANK(Лист1!S96),"",Лист1!S96)</f>
        <v>"6B01705 - Иностранный язык: два иностранных языка (английский)", В018-Подготовка учителей иностранного языка</v>
      </c>
      <c r="T96" s="5" t="str">
        <f>IF(ISBLANK(Лист1!T96),"",Лист1!T96)</f>
        <v>очное</v>
      </c>
      <c r="U96" s="5" t="str">
        <f>IF(ISBLANK(Лист1!U96),"",Лист1!U96)</f>
        <v/>
      </c>
      <c r="V96" s="5" t="str">
        <f>IF(ISBLANK(Лист1!V96),"",Лист1!V96)</f>
        <v>28</v>
      </c>
      <c r="W96" s="5" t="str">
        <f>IF(ISBLANK(Лист1!W96),"",Лист1!W96)</f>
        <v>маусым</v>
      </c>
      <c r="X96" s="5" t="str">
        <f>IF(ISBLANK(Лист1!X96),"",Лист1!X96)</f>
        <v>030919600982</v>
      </c>
      <c r="Y96" s="5" t="str">
        <f>IF(ISERROR(VLOOKUP($X96,Лист2!$A$2:$G$498,1,FALSE)),"",VLOOKUP($X96,Лист2!$A$2:$G$498,1,FALSE))</f>
        <v>030919600982</v>
      </c>
      <c r="Z96" s="5" t="str">
        <f>IF(ISERROR(VLOOKUP($X96,Лист2!$A$2:$L$498,9,FALSE)),"",VLOOKUP($X96,Лист2!$A$2:$L$498,9,FALSE))</f>
        <v>BD</v>
      </c>
      <c r="AA96" s="5" t="str">
        <f>IF(ISERROR(VLOOKUP($X96,Лист2!$A$2:$L$498,10,FALSE)),"",VLOOKUP($X96,Лист2!$A$2:$L$498,10,FALSE))</f>
        <v>00025649025</v>
      </c>
      <c r="AB96" s="5" t="str">
        <f>IF(ISERROR(VLOOKUP($X96,Лист2!$A$2:$M$498,13,FALSE)),"",VLOOKUP($X96,Лист2!$A$2:$M$498,13,FALSE))</f>
        <v>https://epvo.kz/#/verification_education_document?iin=030919600982&amp;diplomaSeries=BD&amp;diplomaNumber=00025649025</v>
      </c>
    </row>
    <row r="97" spans="1:28" x14ac:dyDescent="0.25">
      <c r="A97" s="5" t="str">
        <f>IF(ISBLANK(Лист1!A97),"",Лист1!A97)</f>
        <v>21</v>
      </c>
      <c r="B97" s="5" t="str">
        <f>IF(ISBLANK(Лист1!B97),"",Лист1!B97)</f>
        <v>маусымдағы</v>
      </c>
      <c r="C97" s="5" t="str">
        <f>IF(ISBLANK(Лист1!C97),"",Лист1!C97)</f>
        <v>192</v>
      </c>
      <c r="D97" s="5" t="str">
        <f>IF(ISBLANK(Лист1!D97),"",Лист1!D97)</f>
        <v>Кенесбаев  Нуржан  Полатұлына</v>
      </c>
      <c r="E97" s="5" t="str">
        <f>IF(ISBLANK(Лист1!E97),"",Лист1!E97)</f>
        <v>"6В01705 - Шетел тілі: екі шетел тілі (ағылшын)", В018-Шет тілі мұғалімдерін даярлау</v>
      </c>
      <c r="F97" s="5" t="str">
        <f>IF(ISBLANK(Лист1!F97),"",Лист1!F97)</f>
        <v>білім</v>
      </c>
      <c r="G97" s="5" t="str">
        <f>IF(ISBLANK(Лист1!G97),"",Лист1!G97)</f>
        <v>күндізгі</v>
      </c>
      <c r="H97" s="5" t="str">
        <f>IF(ISBLANK(Лист1!H97),"",Лист1!H97)</f>
        <v>Kenesbayev  Nurzhan</v>
      </c>
      <c r="I97" s="5" t="str">
        <f>IF(ISBLANK(Лист1!I97),"",Лист1!I97)</f>
        <v>Education</v>
      </c>
      <c r="J97" s="5" t="str">
        <f>IF(ISBLANK(Лист1!J97),"",Лист1!J97)</f>
        <v>"6B01705 - Foreign language: two foreign languages (English)", B018-Training of foreign language teachers</v>
      </c>
      <c r="K97" s="5" t="str">
        <f>IF(ISBLANK(Лист1!K97),"",Лист1!K97)</f>
        <v>full-time</v>
      </c>
      <c r="L97" s="5" t="str">
        <f>IF(ISBLANK(Лист1!L97),"",Лист1!L97)</f>
        <v>21</v>
      </c>
      <c r="M97" s="5" t="str">
        <f>IF(ISBLANK(Лист1!M97),"",Лист1!M97)</f>
        <v>June</v>
      </c>
      <c r="N97" s="5" t="str">
        <f>IF(ISBLANK(Лист1!N97),"",Лист1!N97)</f>
        <v>21</v>
      </c>
      <c r="O97" s="5" t="str">
        <f>IF(ISBLANK(Лист1!O97),"",Лист1!O97)</f>
        <v>июня</v>
      </c>
      <c r="P97" s="5" t="str">
        <f>IF(ISBLANK(Лист1!P97),"",Лист1!P97)</f>
        <v>192</v>
      </c>
      <c r="Q97" s="5" t="str">
        <f>IF(ISBLANK(Лист1!Q97),"",Лист1!Q97)</f>
        <v>Кенесбаев  Нуржан  Полатұлы</v>
      </c>
      <c r="R97" s="5" t="str">
        <f>IF(ISBLANK(Лист1!R97),"",Лист1!R97)</f>
        <v>образования</v>
      </c>
      <c r="S97" s="5" t="str">
        <f>IF(ISBLANK(Лист1!S97),"",Лист1!S97)</f>
        <v>"6B01705 - Иностранный язык: два иностранных языка (английский)", В018-Подготовка учителей иностранного языка</v>
      </c>
      <c r="T97" s="5" t="str">
        <f>IF(ISBLANK(Лист1!T97),"",Лист1!T97)</f>
        <v>очное</v>
      </c>
      <c r="U97" s="5" t="str">
        <f>IF(ISBLANK(Лист1!U97),"",Лист1!U97)</f>
        <v/>
      </c>
      <c r="V97" s="5" t="str">
        <f>IF(ISBLANK(Лист1!V97),"",Лист1!V97)</f>
        <v>28</v>
      </c>
      <c r="W97" s="5" t="str">
        <f>IF(ISBLANK(Лист1!W97),"",Лист1!W97)</f>
        <v>маусым</v>
      </c>
      <c r="X97" s="5" t="str">
        <f>IF(ISBLANK(Лист1!X97),"",Лист1!X97)</f>
        <v>031209502182</v>
      </c>
      <c r="Y97" s="5" t="str">
        <f>IF(ISERROR(VLOOKUP($X97,Лист2!$A$2:$G$498,1,FALSE)),"",VLOOKUP($X97,Лист2!$A$2:$G$498,1,FALSE))</f>
        <v>031209502182</v>
      </c>
      <c r="Z97" s="5" t="str">
        <f>IF(ISERROR(VLOOKUP($X97,Лист2!$A$2:$L$498,9,FALSE)),"",VLOOKUP($X97,Лист2!$A$2:$L$498,9,FALSE))</f>
        <v>BD</v>
      </c>
      <c r="AA97" s="5" t="str">
        <f>IF(ISERROR(VLOOKUP($X97,Лист2!$A$2:$L$498,10,FALSE)),"",VLOOKUP($X97,Лист2!$A$2:$L$498,10,FALSE))</f>
        <v>00025649225</v>
      </c>
      <c r="AB97" s="5" t="str">
        <f>IF(ISERROR(VLOOKUP($X97,Лист2!$A$2:$M$498,13,FALSE)),"",VLOOKUP($X97,Лист2!$A$2:$M$498,13,FALSE))</f>
        <v>https://epvo.kz/#/verification_education_document?iin=031209502182&amp;diplomaSeries=BD&amp;diplomaNumber=00025649225</v>
      </c>
    </row>
    <row r="98" spans="1:28" x14ac:dyDescent="0.25">
      <c r="A98" s="5" t="str">
        <f>IF(ISBLANK(Лист1!A98),"",Лист1!A98)</f>
        <v>21</v>
      </c>
      <c r="B98" s="5" t="str">
        <f>IF(ISBLANK(Лист1!B98),"",Лист1!B98)</f>
        <v>маусымдағы</v>
      </c>
      <c r="C98" s="5" t="str">
        <f>IF(ISBLANK(Лист1!C98),"",Лист1!C98)</f>
        <v>193</v>
      </c>
      <c r="D98" s="5" t="str">
        <f>IF(ISBLANK(Лист1!D98),"",Лист1!D98)</f>
        <v>Кенесбаева  Назерке  Суюндыкқызына</v>
      </c>
      <c r="E98" s="5" t="str">
        <f>IF(ISBLANK(Лист1!E98),"",Лист1!E98)</f>
        <v>"6В01705 - Шетел тілі: екі шетел тілі (ағылшын)", В018-Шет тілі мұғалімдерін даярлау</v>
      </c>
      <c r="F98" s="5" t="str">
        <f>IF(ISBLANK(Лист1!F98),"",Лист1!F98)</f>
        <v>білім</v>
      </c>
      <c r="G98" s="5" t="str">
        <f>IF(ISBLANK(Лист1!G98),"",Лист1!G98)</f>
        <v>күндізгі</v>
      </c>
      <c r="H98" s="5" t="str">
        <f>IF(ISBLANK(Лист1!H98),"",Лист1!H98)</f>
        <v>Kenesbayeva  Nazerke</v>
      </c>
      <c r="I98" s="5" t="str">
        <f>IF(ISBLANK(Лист1!I98),"",Лист1!I98)</f>
        <v>Education</v>
      </c>
      <c r="J98" s="5" t="str">
        <f>IF(ISBLANK(Лист1!J98),"",Лист1!J98)</f>
        <v>"6B01705 - Foreign language: two foreign languages (English)", B018-Training of foreign language teachers</v>
      </c>
      <c r="K98" s="5" t="str">
        <f>IF(ISBLANK(Лист1!K98),"",Лист1!K98)</f>
        <v>full-time</v>
      </c>
      <c r="L98" s="5" t="str">
        <f>IF(ISBLANK(Лист1!L98),"",Лист1!L98)</f>
        <v>21</v>
      </c>
      <c r="M98" s="5" t="str">
        <f>IF(ISBLANK(Лист1!M98),"",Лист1!M98)</f>
        <v>June</v>
      </c>
      <c r="N98" s="5" t="str">
        <f>IF(ISBLANK(Лист1!N98),"",Лист1!N98)</f>
        <v>21</v>
      </c>
      <c r="O98" s="5" t="str">
        <f>IF(ISBLANK(Лист1!O98),"",Лист1!O98)</f>
        <v>июня</v>
      </c>
      <c r="P98" s="5" t="str">
        <f>IF(ISBLANK(Лист1!P98),"",Лист1!P98)</f>
        <v>193</v>
      </c>
      <c r="Q98" s="5" t="str">
        <f>IF(ISBLANK(Лист1!Q98),"",Лист1!Q98)</f>
        <v>Кенесбаева  Назерке  Суюндыкқызы</v>
      </c>
      <c r="R98" s="5" t="str">
        <f>IF(ISBLANK(Лист1!R98),"",Лист1!R98)</f>
        <v>образования</v>
      </c>
      <c r="S98" s="5" t="str">
        <f>IF(ISBLANK(Лист1!S98),"",Лист1!S98)</f>
        <v>"6B01705 - Иностранный язык: два иностранных языка (английский)", В018-Подготовка учителей иностранного языка</v>
      </c>
      <c r="T98" s="5" t="str">
        <f>IF(ISBLANK(Лист1!T98),"",Лист1!T98)</f>
        <v>очное</v>
      </c>
      <c r="U98" s="5" t="str">
        <f>IF(ISBLANK(Лист1!U98),"",Лист1!U98)</f>
        <v/>
      </c>
      <c r="V98" s="5" t="str">
        <f>IF(ISBLANK(Лист1!V98),"",Лист1!V98)</f>
        <v>28</v>
      </c>
      <c r="W98" s="5" t="str">
        <f>IF(ISBLANK(Лист1!W98),"",Лист1!W98)</f>
        <v>маусым</v>
      </c>
      <c r="X98" s="5" t="str">
        <f>IF(ISBLANK(Лист1!X98),"",Лист1!X98)</f>
        <v>040516601387</v>
      </c>
      <c r="Y98" s="5" t="str">
        <f>IF(ISERROR(VLOOKUP($X98,Лист2!$A$2:$G$498,1,FALSE)),"",VLOOKUP($X98,Лист2!$A$2:$G$498,1,FALSE))</f>
        <v>040516601387</v>
      </c>
      <c r="Z98" s="5" t="str">
        <f>IF(ISERROR(VLOOKUP($X98,Лист2!$A$2:$L$498,9,FALSE)),"",VLOOKUP($X98,Лист2!$A$2:$L$498,9,FALSE))</f>
        <v>BD</v>
      </c>
      <c r="AA98" s="5" t="str">
        <f>IF(ISERROR(VLOOKUP($X98,Лист2!$A$2:$L$498,10,FALSE)),"",VLOOKUP($X98,Лист2!$A$2:$L$498,10,FALSE))</f>
        <v>00025649325</v>
      </c>
      <c r="AB98" s="5" t="str">
        <f>IF(ISERROR(VLOOKUP($X98,Лист2!$A$2:$M$498,13,FALSE)),"",VLOOKUP($X98,Лист2!$A$2:$M$498,13,FALSE))</f>
        <v>https://epvo.kz/#/verification_education_document?iin=040516601387&amp;diplomaSeries=BD&amp;diplomaNumber=00025649325</v>
      </c>
    </row>
    <row r="99" spans="1:28" x14ac:dyDescent="0.25">
      <c r="A99" s="5" t="str">
        <f>IF(ISBLANK(Лист1!A99),"",Лист1!A99)</f>
        <v>21</v>
      </c>
      <c r="B99" s="5" t="str">
        <f>IF(ISBLANK(Лист1!B99),"",Лист1!B99)</f>
        <v>маусымдағы</v>
      </c>
      <c r="C99" s="5" t="str">
        <f>IF(ISBLANK(Лист1!C99),"",Лист1!C99)</f>
        <v>194</v>
      </c>
      <c r="D99" s="5" t="str">
        <f>IF(ISBLANK(Лист1!D99),"",Лист1!D99)</f>
        <v>Кенжебай  Айдана  Ерболатқызына</v>
      </c>
      <c r="E99" s="5" t="str">
        <f>IF(ISBLANK(Лист1!E99),"",Лист1!E99)</f>
        <v>"6В01705 - Шетел тілі: екі шетел тілі (ағылшын)", В018-Шет тілі мұғалімдерін даярлау</v>
      </c>
      <c r="F99" s="5" t="str">
        <f>IF(ISBLANK(Лист1!F99),"",Лист1!F99)</f>
        <v>білім</v>
      </c>
      <c r="G99" s="5" t="str">
        <f>IF(ISBLANK(Лист1!G99),"",Лист1!G99)</f>
        <v>күндізгі</v>
      </c>
      <c r="H99" s="5" t="str">
        <f>IF(ISBLANK(Лист1!H99),"",Лист1!H99)</f>
        <v>Kenzhebay  Aidana</v>
      </c>
      <c r="I99" s="5" t="str">
        <f>IF(ISBLANK(Лист1!I99),"",Лист1!I99)</f>
        <v>Education</v>
      </c>
      <c r="J99" s="5" t="str">
        <f>IF(ISBLANK(Лист1!J99),"",Лист1!J99)</f>
        <v>"6B01705 - Foreign language: two foreign languages (English)", B018-Training of foreign language teachers</v>
      </c>
      <c r="K99" s="5" t="str">
        <f>IF(ISBLANK(Лист1!K99),"",Лист1!K99)</f>
        <v>full-time</v>
      </c>
      <c r="L99" s="5" t="str">
        <f>IF(ISBLANK(Лист1!L99),"",Лист1!L99)</f>
        <v>21</v>
      </c>
      <c r="M99" s="5" t="str">
        <f>IF(ISBLANK(Лист1!M99),"",Лист1!M99)</f>
        <v>June</v>
      </c>
      <c r="N99" s="5" t="str">
        <f>IF(ISBLANK(Лист1!N99),"",Лист1!N99)</f>
        <v>21</v>
      </c>
      <c r="O99" s="5" t="str">
        <f>IF(ISBLANK(Лист1!O99),"",Лист1!O99)</f>
        <v>июня</v>
      </c>
      <c r="P99" s="5" t="str">
        <f>IF(ISBLANK(Лист1!P99),"",Лист1!P99)</f>
        <v>194</v>
      </c>
      <c r="Q99" s="5" t="str">
        <f>IF(ISBLANK(Лист1!Q99),"",Лист1!Q99)</f>
        <v>Кенжебай  Айдана  Ерболатқызы</v>
      </c>
      <c r="R99" s="5" t="str">
        <f>IF(ISBLANK(Лист1!R99),"",Лист1!R99)</f>
        <v>образования</v>
      </c>
      <c r="S99" s="5" t="str">
        <f>IF(ISBLANK(Лист1!S99),"",Лист1!S99)</f>
        <v>"6B01705 - Иностранный язык: два иностранных языка (английский)", В018-Подготовка учителей иностранного языка</v>
      </c>
      <c r="T99" s="5" t="str">
        <f>IF(ISBLANK(Лист1!T99),"",Лист1!T99)</f>
        <v>очное</v>
      </c>
      <c r="U99" s="5" t="str">
        <f>IF(ISBLANK(Лист1!U99),"",Лист1!U99)</f>
        <v/>
      </c>
      <c r="V99" s="5" t="str">
        <f>IF(ISBLANK(Лист1!V99),"",Лист1!V99)</f>
        <v>28</v>
      </c>
      <c r="W99" s="5" t="str">
        <f>IF(ISBLANK(Лист1!W99),"",Лист1!W99)</f>
        <v>маусым</v>
      </c>
      <c r="X99" s="5" t="str">
        <f>IF(ISBLANK(Лист1!X99),"",Лист1!X99)</f>
        <v>040825601753</v>
      </c>
      <c r="Y99" s="5" t="str">
        <f>IF(ISERROR(VLOOKUP($X99,Лист2!$A$2:$G$498,1,FALSE)),"",VLOOKUP($X99,Лист2!$A$2:$G$498,1,FALSE))</f>
        <v>040825601753</v>
      </c>
      <c r="Z99" s="5" t="str">
        <f>IF(ISERROR(VLOOKUP($X99,Лист2!$A$2:$L$498,9,FALSE)),"",VLOOKUP($X99,Лист2!$A$2:$L$498,9,FALSE))</f>
        <v>BD</v>
      </c>
      <c r="AA99" s="5" t="str">
        <f>IF(ISERROR(VLOOKUP($X99,Лист2!$A$2:$L$498,10,FALSE)),"",VLOOKUP($X99,Лист2!$A$2:$L$498,10,FALSE))</f>
        <v>00025649425</v>
      </c>
      <c r="AB99" s="5" t="str">
        <f>IF(ISERROR(VLOOKUP($X99,Лист2!$A$2:$M$498,13,FALSE)),"",VLOOKUP($X99,Лист2!$A$2:$M$498,13,FALSE))</f>
        <v>https://epvo.kz/#/verification_education_document?iin=040825601753&amp;diplomaSeries=BD&amp;diplomaNumber=00025649425</v>
      </c>
    </row>
    <row r="100" spans="1:28" x14ac:dyDescent="0.25">
      <c r="A100" s="5" t="str">
        <f>IF(ISBLANK(Лист1!A100),"",Лист1!A100)</f>
        <v>21</v>
      </c>
      <c r="B100" s="5" t="str">
        <f>IF(ISBLANK(Лист1!B100),"",Лист1!B100)</f>
        <v>маусымдағы</v>
      </c>
      <c r="C100" s="5" t="str">
        <f>IF(ISBLANK(Лист1!C100),"",Лист1!C100)</f>
        <v>13</v>
      </c>
      <c r="D100" s="5" t="str">
        <f>IF(ISBLANK(Лист1!D100),"",Лист1!D100)</f>
        <v>Клёнова  Валерия  Владиславовнаға</v>
      </c>
      <c r="E100" s="5" t="str">
        <f>IF(ISBLANK(Лист1!E100),"",Лист1!E100)</f>
        <v>"6В01705 - Шетел тілі: екі шетел тілі (ағылшын)", В018-Шет тілі мұғалімдерін даярлау</v>
      </c>
      <c r="F100" s="5" t="str">
        <f>IF(ISBLANK(Лист1!F100),"",Лист1!F100)</f>
        <v>білім</v>
      </c>
      <c r="G100" s="5" t="str">
        <f>IF(ISBLANK(Лист1!G100),"",Лист1!G100)</f>
        <v>күндізгі</v>
      </c>
      <c r="H100" s="5" t="str">
        <f>IF(ISBLANK(Лист1!H100),"",Лист1!H100)</f>
        <v>Klyonova  Valeriya</v>
      </c>
      <c r="I100" s="5" t="str">
        <f>IF(ISBLANK(Лист1!I100),"",Лист1!I100)</f>
        <v>Education</v>
      </c>
      <c r="J100" s="5" t="str">
        <f>IF(ISBLANK(Лист1!J100),"",Лист1!J100)</f>
        <v>"6B01705 - Foreign language: two foreign languages (English)", B018-Training of foreign language teachers</v>
      </c>
      <c r="K100" s="5" t="str">
        <f>IF(ISBLANK(Лист1!K100),"",Лист1!K100)</f>
        <v>full-time</v>
      </c>
      <c r="L100" s="5" t="str">
        <f>IF(ISBLANK(Лист1!L100),"",Лист1!L100)</f>
        <v>21</v>
      </c>
      <c r="M100" s="5" t="str">
        <f>IF(ISBLANK(Лист1!M100),"",Лист1!M100)</f>
        <v>June</v>
      </c>
      <c r="N100" s="5" t="str">
        <f>IF(ISBLANK(Лист1!N100),"",Лист1!N100)</f>
        <v>21</v>
      </c>
      <c r="O100" s="5" t="str">
        <f>IF(ISBLANK(Лист1!O100),"",Лист1!O100)</f>
        <v>июня</v>
      </c>
      <c r="P100" s="5" t="str">
        <f>IF(ISBLANK(Лист1!P100),"",Лист1!P100)</f>
        <v>13</v>
      </c>
      <c r="Q100" s="5" t="str">
        <f>IF(ISBLANK(Лист1!Q100),"",Лист1!Q100)</f>
        <v>Клёновой  Валерии  Владиславовне</v>
      </c>
      <c r="R100" s="5" t="str">
        <f>IF(ISBLANK(Лист1!R100),"",Лист1!R100)</f>
        <v>образования</v>
      </c>
      <c r="S100" s="5" t="str">
        <f>IF(ISBLANK(Лист1!S100),"",Лист1!S100)</f>
        <v>"6B01705 - Иностранный язык: два иностранных языка (английский)", В018-Подготовка учителей иностранного языка</v>
      </c>
      <c r="T100" s="5" t="str">
        <f>IF(ISBLANK(Лист1!T100),"",Лист1!T100)</f>
        <v>очное</v>
      </c>
      <c r="U100" s="5" t="str">
        <f>IF(ISBLANK(Лист1!U100),"",Лист1!U100)</f>
        <v/>
      </c>
      <c r="V100" s="5" t="str">
        <f>IF(ISBLANK(Лист1!V100),"",Лист1!V100)</f>
        <v>28</v>
      </c>
      <c r="W100" s="5" t="str">
        <f>IF(ISBLANK(Лист1!W100),"",Лист1!W100)</f>
        <v>маусым</v>
      </c>
      <c r="X100" s="5" t="str">
        <f>IF(ISBLANK(Лист1!X100),"",Лист1!X100)</f>
        <v>030604650649</v>
      </c>
      <c r="Y100" s="5" t="str">
        <f>IF(ISERROR(VLOOKUP($X100,Лист2!$A$2:$G$498,1,FALSE)),"",VLOOKUP($X100,Лист2!$A$2:$G$498,1,FALSE))</f>
        <v>030604650649</v>
      </c>
      <c r="Z100" s="5" t="str">
        <f>IF(ISERROR(VLOOKUP($X100,Лист2!$A$2:$L$498,9,FALSE)),"",VLOOKUP($X100,Лист2!$A$2:$L$498,9,FALSE))</f>
        <v>BD</v>
      </c>
      <c r="AA100" s="5" t="str">
        <f>IF(ISERROR(VLOOKUP($X100,Лист2!$A$2:$L$498,10,FALSE)),"",VLOOKUP($X100,Лист2!$A$2:$L$498,10,FALSE))</f>
        <v>00025649525</v>
      </c>
      <c r="AB100" s="5" t="str">
        <f>IF(ISERROR(VLOOKUP($X100,Лист2!$A$2:$M$498,13,FALSE)),"",VLOOKUP($X100,Лист2!$A$2:$M$498,13,FALSE))</f>
        <v>https://epvo.kz/#/verification_education_document?iin=030604650649&amp;diplomaSeries=BD&amp;diplomaNumber=00025649525</v>
      </c>
    </row>
    <row r="101" spans="1:28" x14ac:dyDescent="0.25">
      <c r="A101" s="5" t="str">
        <f>IF(ISBLANK(Лист1!A101),"",Лист1!A101)</f>
        <v>21</v>
      </c>
      <c r="B101" s="5" t="str">
        <f>IF(ISBLANK(Лист1!B101),"",Лист1!B101)</f>
        <v>маусымдағы</v>
      </c>
      <c r="C101" s="5" t="str">
        <f>IF(ISBLANK(Лист1!C101),"",Лист1!C101)</f>
        <v>114</v>
      </c>
      <c r="D101" s="5" t="str">
        <f>IF(ISBLANK(Лист1!D101),"",Лист1!D101)</f>
        <v>Кожахметова Айбөпе Алпысқызына</v>
      </c>
      <c r="E101" s="5" t="str">
        <f>IF(ISBLANK(Лист1!E101),"",Лист1!E101)</f>
        <v>"6В01705 - Шетел тілі: екі шетел тілі (ағылшын)", В018-Шет тілі мұғалімдерін даярлау</v>
      </c>
      <c r="F101" s="5" t="str">
        <f>IF(ISBLANK(Лист1!F101),"",Лист1!F101)</f>
        <v>білім</v>
      </c>
      <c r="G101" s="5" t="str">
        <f>IF(ISBLANK(Лист1!G101),"",Лист1!G101)</f>
        <v>күндізгі</v>
      </c>
      <c r="H101" s="5" t="str">
        <f>IF(ISBLANK(Лист1!H101),"",Лист1!H101)</f>
        <v>Kozhakhmetova  Aibope</v>
      </c>
      <c r="I101" s="5" t="str">
        <f>IF(ISBLANK(Лист1!I101),"",Лист1!I101)</f>
        <v>Education</v>
      </c>
      <c r="J101" s="5" t="str">
        <f>IF(ISBLANK(Лист1!J101),"",Лист1!J101)</f>
        <v>"6B01705 - Foreign language: two foreign languages (English)", B018-Training of foreign language teachers</v>
      </c>
      <c r="K101" s="5" t="str">
        <f>IF(ISBLANK(Лист1!K101),"",Лист1!K101)</f>
        <v>full-time</v>
      </c>
      <c r="L101" s="5" t="str">
        <f>IF(ISBLANK(Лист1!L101),"",Лист1!L101)</f>
        <v>21</v>
      </c>
      <c r="M101" s="5" t="str">
        <f>IF(ISBLANK(Лист1!M101),"",Лист1!M101)</f>
        <v>June</v>
      </c>
      <c r="N101" s="5" t="str">
        <f>IF(ISBLANK(Лист1!N101),"",Лист1!N101)</f>
        <v>21</v>
      </c>
      <c r="O101" s="5" t="str">
        <f>IF(ISBLANK(Лист1!O101),"",Лист1!O101)</f>
        <v>июня</v>
      </c>
      <c r="P101" s="5" t="str">
        <f>IF(ISBLANK(Лист1!P101),"",Лист1!P101)</f>
        <v>114</v>
      </c>
      <c r="Q101" s="5" t="str">
        <f>IF(ISBLANK(Лист1!Q101),"",Лист1!Q101)</f>
        <v>Кожахметова Айбөпе Алпысқызы</v>
      </c>
      <c r="R101" s="5" t="str">
        <f>IF(ISBLANK(Лист1!R101),"",Лист1!R101)</f>
        <v>образования</v>
      </c>
      <c r="S101" s="5" t="str">
        <f>IF(ISBLANK(Лист1!S101),"",Лист1!S101)</f>
        <v>"6B01705 - Иностранный язык: два иностранных языка (английский)", В018-Подготовка учителей иностранного языка</v>
      </c>
      <c r="T101" s="5" t="str">
        <f>IF(ISBLANK(Лист1!T101),"",Лист1!T101)</f>
        <v>очное</v>
      </c>
      <c r="U101" s="5" t="str">
        <f>IF(ISBLANK(Лист1!U101),"",Лист1!U101)</f>
        <v/>
      </c>
      <c r="V101" s="5" t="str">
        <f>IF(ISBLANK(Лист1!V101),"",Лист1!V101)</f>
        <v>28</v>
      </c>
      <c r="W101" s="5" t="str">
        <f>IF(ISBLANK(Лист1!W101),"",Лист1!W101)</f>
        <v>маусым</v>
      </c>
      <c r="X101" s="5" t="str">
        <f>IF(ISBLANK(Лист1!X101),"",Лист1!X101)</f>
        <v>020225650558</v>
      </c>
      <c r="Y101" s="5" t="str">
        <f>IF(ISERROR(VLOOKUP($X101,Лист2!$A$2:$G$498,1,FALSE)),"",VLOOKUP($X101,Лист2!$A$2:$G$498,1,FALSE))</f>
        <v>020225650558</v>
      </c>
      <c r="Z101" s="5" t="str">
        <f>IF(ISERROR(VLOOKUP($X101,Лист2!$A$2:$L$498,9,FALSE)),"",VLOOKUP($X101,Лист2!$A$2:$L$498,9,FALSE))</f>
        <v>BD</v>
      </c>
      <c r="AA101" s="5" t="str">
        <f>IF(ISERROR(VLOOKUP($X101,Лист2!$A$2:$L$498,10,FALSE)),"",VLOOKUP($X101,Лист2!$A$2:$L$498,10,FALSE))</f>
        <v>00025690025</v>
      </c>
      <c r="AB101" s="5" t="str">
        <f>IF(ISERROR(VLOOKUP($X101,Лист2!$A$2:$M$498,13,FALSE)),"",VLOOKUP($X101,Лист2!$A$2:$M$498,13,FALSE))</f>
        <v>https://epvo.kz/#/verification_education_document?iin=020225650558&amp;diplomaSeries=BD&amp;diplomaNumber=00025690025</v>
      </c>
    </row>
    <row r="102" spans="1:28" x14ac:dyDescent="0.25">
      <c r="A102" s="5" t="str">
        <f>IF(ISBLANK(Лист1!A102),"",Лист1!A102)</f>
        <v>21</v>
      </c>
      <c r="B102" s="5" t="str">
        <f>IF(ISBLANK(Лист1!B102),"",Лист1!B102)</f>
        <v>маусымдағы</v>
      </c>
      <c r="C102" s="5" t="str">
        <f>IF(ISBLANK(Лист1!C102),"",Лист1!C102)</f>
        <v>201</v>
      </c>
      <c r="D102" s="5" t="str">
        <f>IF(ISBLANK(Лист1!D102),"",Лист1!D102)</f>
        <v>Куралбай  Дана  Оралбекқызына</v>
      </c>
      <c r="E102" s="5" t="str">
        <f>IF(ISBLANK(Лист1!E102),"",Лист1!E102)</f>
        <v>"6В01705 - Шетел тілі: екі шетел тілі (ағылшын)", В018-Шет тілі мұғалімдерін даярлау</v>
      </c>
      <c r="F102" s="5" t="str">
        <f>IF(ISBLANK(Лист1!F102),"",Лист1!F102)</f>
        <v>білім</v>
      </c>
      <c r="G102" s="5" t="str">
        <f>IF(ISBLANK(Лист1!G102),"",Лист1!G102)</f>
        <v>күндізгі</v>
      </c>
      <c r="H102" s="5" t="str">
        <f>IF(ISBLANK(Лист1!H102),"",Лист1!H102)</f>
        <v>Kuralbay  Dana</v>
      </c>
      <c r="I102" s="5" t="str">
        <f>IF(ISBLANK(Лист1!I102),"",Лист1!I102)</f>
        <v>Education</v>
      </c>
      <c r="J102" s="5" t="str">
        <f>IF(ISBLANK(Лист1!J102),"",Лист1!J102)</f>
        <v>"6B01705 - Foreign language: two foreign languages (English)", B018-Training of foreign language teachers</v>
      </c>
      <c r="K102" s="5" t="str">
        <f>IF(ISBLANK(Лист1!K102),"",Лист1!K102)</f>
        <v>full-time</v>
      </c>
      <c r="L102" s="5" t="str">
        <f>IF(ISBLANK(Лист1!L102),"",Лист1!L102)</f>
        <v>21</v>
      </c>
      <c r="M102" s="5" t="str">
        <f>IF(ISBLANK(Лист1!M102),"",Лист1!M102)</f>
        <v>June</v>
      </c>
      <c r="N102" s="5" t="str">
        <f>IF(ISBLANK(Лист1!N102),"",Лист1!N102)</f>
        <v>21</v>
      </c>
      <c r="O102" s="5" t="str">
        <f>IF(ISBLANK(Лист1!O102),"",Лист1!O102)</f>
        <v>июня</v>
      </c>
      <c r="P102" s="5" t="str">
        <f>IF(ISBLANK(Лист1!P102),"",Лист1!P102)</f>
        <v>201</v>
      </c>
      <c r="Q102" s="5" t="str">
        <f>IF(ISBLANK(Лист1!Q102),"",Лист1!Q102)</f>
        <v>Куралбай  Дана  Оралбекқызы</v>
      </c>
      <c r="R102" s="5" t="str">
        <f>IF(ISBLANK(Лист1!R102),"",Лист1!R102)</f>
        <v>образования</v>
      </c>
      <c r="S102" s="5" t="str">
        <f>IF(ISBLANK(Лист1!S102),"",Лист1!S102)</f>
        <v>"6B01705 - Иностранный язык: два иностранных языка (английский)", В018-Подготовка учителей иностранного языка</v>
      </c>
      <c r="T102" s="5" t="str">
        <f>IF(ISBLANK(Лист1!T102),"",Лист1!T102)</f>
        <v>очное</v>
      </c>
      <c r="U102" s="5" t="str">
        <f>IF(ISBLANK(Лист1!U102),"",Лист1!U102)</f>
        <v/>
      </c>
      <c r="V102" s="5" t="str">
        <f>IF(ISBLANK(Лист1!V102),"",Лист1!V102)</f>
        <v>28</v>
      </c>
      <c r="W102" s="5" t="str">
        <f>IF(ISBLANK(Лист1!W102),"",Лист1!W102)</f>
        <v>маусым</v>
      </c>
      <c r="X102" s="5" t="str">
        <f>IF(ISBLANK(Лист1!X102),"",Лист1!X102)</f>
        <v>040310600735</v>
      </c>
      <c r="Y102" s="5" t="str">
        <f>IF(ISERROR(VLOOKUP($X102,Лист2!$A$2:$G$498,1,FALSE)),"",VLOOKUP($X102,Лист2!$A$2:$G$498,1,FALSE))</f>
        <v>040310600735</v>
      </c>
      <c r="Z102" s="5" t="str">
        <f>IF(ISERROR(VLOOKUP($X102,Лист2!$A$2:$L$498,9,FALSE)),"",VLOOKUP($X102,Лист2!$A$2:$L$498,9,FALSE))</f>
        <v>BD</v>
      </c>
      <c r="AA102" s="5" t="str">
        <f>IF(ISERROR(VLOOKUP($X102,Лист2!$A$2:$L$498,10,FALSE)),"",VLOOKUP($X102,Лист2!$A$2:$L$498,10,FALSE))</f>
        <v>00025649625</v>
      </c>
      <c r="AB102" s="5" t="str">
        <f>IF(ISERROR(VLOOKUP($X102,Лист2!$A$2:$M$498,13,FALSE)),"",VLOOKUP($X102,Лист2!$A$2:$M$498,13,FALSE))</f>
        <v>https://epvo.kz/#/verification_education_document?iin=040310600735&amp;diplomaSeries=BD&amp;diplomaNumber=00025649625</v>
      </c>
    </row>
    <row r="103" spans="1:28" x14ac:dyDescent="0.25">
      <c r="A103" s="5" t="str">
        <f>IF(ISBLANK(Лист1!A103),"",Лист1!A103)</f>
        <v>21</v>
      </c>
      <c r="B103" s="5" t="str">
        <f>IF(ISBLANK(Лист1!B103),"",Лист1!B103)</f>
        <v>маусымдағы</v>
      </c>
      <c r="C103" s="5" t="str">
        <f>IF(ISBLANK(Лист1!C103),"",Лист1!C103)</f>
        <v>98</v>
      </c>
      <c r="D103" s="5" t="str">
        <f>IF(ISBLANK(Лист1!D103),"",Лист1!D103)</f>
        <v>Қабыл  Зейнеп  Нұрмұханбетқызына</v>
      </c>
      <c r="E103" s="5" t="str">
        <f>IF(ISBLANK(Лист1!E103),"",Лист1!E103)</f>
        <v>"6В01705 - Шетел тілі: екі шетел тілі (ағылшын)", В018-Шет тілі мұғалімдерін даярлау</v>
      </c>
      <c r="F103" s="5" t="str">
        <f>IF(ISBLANK(Лист1!F103),"",Лист1!F103)</f>
        <v>білім</v>
      </c>
      <c r="G103" s="5" t="str">
        <f>IF(ISBLANK(Лист1!G103),"",Лист1!G103)</f>
        <v>күндізгі</v>
      </c>
      <c r="H103" s="5" t="str">
        <f>IF(ISBLANK(Лист1!H103),"",Лист1!H103)</f>
        <v>Kabyl  Zeinep</v>
      </c>
      <c r="I103" s="5" t="str">
        <f>IF(ISBLANK(Лист1!I103),"",Лист1!I103)</f>
        <v>Education</v>
      </c>
      <c r="J103" s="5" t="str">
        <f>IF(ISBLANK(Лист1!J103),"",Лист1!J103)</f>
        <v>"6B01705 - Foreign language: two foreign languages (English)", B018-Training of foreign language teachers</v>
      </c>
      <c r="K103" s="5" t="str">
        <f>IF(ISBLANK(Лист1!K103),"",Лист1!K103)</f>
        <v>full-time</v>
      </c>
      <c r="L103" s="5" t="str">
        <f>IF(ISBLANK(Лист1!L103),"",Лист1!L103)</f>
        <v>21</v>
      </c>
      <c r="M103" s="5" t="str">
        <f>IF(ISBLANK(Лист1!M103),"",Лист1!M103)</f>
        <v>June</v>
      </c>
      <c r="N103" s="5" t="str">
        <f>IF(ISBLANK(Лист1!N103),"",Лист1!N103)</f>
        <v>21</v>
      </c>
      <c r="O103" s="5" t="str">
        <f>IF(ISBLANK(Лист1!O103),"",Лист1!O103)</f>
        <v>июня</v>
      </c>
      <c r="P103" s="5" t="str">
        <f>IF(ISBLANK(Лист1!P103),"",Лист1!P103)</f>
        <v>98</v>
      </c>
      <c r="Q103" s="5" t="str">
        <f>IF(ISBLANK(Лист1!Q103),"",Лист1!Q103)</f>
        <v>Қабыл  Зейнеп  Нұрмұханбетқызы</v>
      </c>
      <c r="R103" s="5" t="str">
        <f>IF(ISBLANK(Лист1!R103),"",Лист1!R103)</f>
        <v>образования</v>
      </c>
      <c r="S103" s="5" t="str">
        <f>IF(ISBLANK(Лист1!S103),"",Лист1!S103)</f>
        <v>"6B01705 - Иностранный язык: два иностранных языка (английский)", В018-Подготовка учителей иностранного языка</v>
      </c>
      <c r="T103" s="5" t="str">
        <f>IF(ISBLANK(Лист1!T103),"",Лист1!T103)</f>
        <v>очное</v>
      </c>
      <c r="U103" s="5" t="str">
        <f>IF(ISBLANK(Лист1!U103),"",Лист1!U103)</f>
        <v/>
      </c>
      <c r="V103" s="5" t="str">
        <f>IF(ISBLANK(Лист1!V103),"",Лист1!V103)</f>
        <v>28</v>
      </c>
      <c r="W103" s="5" t="str">
        <f>IF(ISBLANK(Лист1!W103),"",Лист1!W103)</f>
        <v>маусым</v>
      </c>
      <c r="X103" s="5" t="str">
        <f>IF(ISBLANK(Лист1!X103),"",Лист1!X103)</f>
        <v>040120601700</v>
      </c>
      <c r="Y103" s="5" t="str">
        <f>IF(ISERROR(VLOOKUP($X103,Лист2!$A$2:$G$498,1,FALSE)),"",VLOOKUP($X103,Лист2!$A$2:$G$498,1,FALSE))</f>
        <v>040120601700</v>
      </c>
      <c r="Z103" s="5" t="str">
        <f>IF(ISERROR(VLOOKUP($X103,Лист2!$A$2:$L$498,9,FALSE)),"",VLOOKUP($X103,Лист2!$A$2:$L$498,9,FALSE))</f>
        <v>BD</v>
      </c>
      <c r="AA103" s="5" t="str">
        <f>IF(ISERROR(VLOOKUP($X103,Лист2!$A$2:$L$498,10,FALSE)),"",VLOOKUP($X103,Лист2!$A$2:$L$498,10,FALSE))</f>
        <v>00025649825</v>
      </c>
      <c r="AB103" s="5" t="str">
        <f>IF(ISERROR(VLOOKUP($X103,Лист2!$A$2:$M$498,13,FALSE)),"",VLOOKUP($X103,Лист2!$A$2:$M$498,13,FALSE))</f>
        <v>https://epvo.kz/#/verification_education_document?iin=040120601700&amp;diplomaSeries=BD&amp;diplomaNumber=00025649825</v>
      </c>
    </row>
    <row r="104" spans="1:28" x14ac:dyDescent="0.25">
      <c r="A104" s="5" t="str">
        <f>IF(ISBLANK(Лист1!A104),"",Лист1!A104)</f>
        <v>21</v>
      </c>
      <c r="B104" s="5" t="str">
        <f>IF(ISBLANK(Лист1!B104),"",Лист1!B104)</f>
        <v>маусымдағы</v>
      </c>
      <c r="C104" s="5" t="str">
        <f>IF(ISBLANK(Лист1!C104),"",Лист1!C104)</f>
        <v>99</v>
      </c>
      <c r="D104" s="5" t="str">
        <f>IF(ISBLANK(Лист1!D104),"",Лист1!D104)</f>
        <v>Қази  Рамазан  Елубайұлына</v>
      </c>
      <c r="E104" s="5" t="str">
        <f>IF(ISBLANK(Лист1!E104),"",Лист1!E104)</f>
        <v>"6В01705 - Шетел тілі: екі шетел тілі (ағылшын)", В018-Шет тілі мұғалімдерін даярлау</v>
      </c>
      <c r="F104" s="5" t="str">
        <f>IF(ISBLANK(Лист1!F104),"",Лист1!F104)</f>
        <v>білім</v>
      </c>
      <c r="G104" s="5" t="str">
        <f>IF(ISBLANK(Лист1!G104),"",Лист1!G104)</f>
        <v>күндізгі</v>
      </c>
      <c r="H104" s="5" t="str">
        <f>IF(ISBLANK(Лист1!H104),"",Лист1!H104)</f>
        <v>Kazi  Ramazan</v>
      </c>
      <c r="I104" s="5" t="str">
        <f>IF(ISBLANK(Лист1!I104),"",Лист1!I104)</f>
        <v>Education</v>
      </c>
      <c r="J104" s="5" t="str">
        <f>IF(ISBLANK(Лист1!J104),"",Лист1!J104)</f>
        <v>"6B01705 - Foreign language: two foreign languages (English)", B018-Training of foreign language teachers</v>
      </c>
      <c r="K104" s="5" t="str">
        <f>IF(ISBLANK(Лист1!K104),"",Лист1!K104)</f>
        <v>full-time</v>
      </c>
      <c r="L104" s="5" t="str">
        <f>IF(ISBLANK(Лист1!L104),"",Лист1!L104)</f>
        <v>21</v>
      </c>
      <c r="M104" s="5" t="str">
        <f>IF(ISBLANK(Лист1!M104),"",Лист1!M104)</f>
        <v>June</v>
      </c>
      <c r="N104" s="5" t="str">
        <f>IF(ISBLANK(Лист1!N104),"",Лист1!N104)</f>
        <v>21</v>
      </c>
      <c r="O104" s="5" t="str">
        <f>IF(ISBLANK(Лист1!O104),"",Лист1!O104)</f>
        <v>июня</v>
      </c>
      <c r="P104" s="5" t="str">
        <f>IF(ISBLANK(Лист1!P104),"",Лист1!P104)</f>
        <v>99</v>
      </c>
      <c r="Q104" s="5" t="str">
        <f>IF(ISBLANK(Лист1!Q104),"",Лист1!Q104)</f>
        <v>Қази  Рамазан  Елубайұлы</v>
      </c>
      <c r="R104" s="5" t="str">
        <f>IF(ISBLANK(Лист1!R104),"",Лист1!R104)</f>
        <v>образования</v>
      </c>
      <c r="S104" s="5" t="str">
        <f>IF(ISBLANK(Лист1!S104),"",Лист1!S104)</f>
        <v>"6B01705 - Иностранный язык: два иностранных языка (английский)", В018-Подготовка учителей иностранного языка</v>
      </c>
      <c r="T104" s="5" t="str">
        <f>IF(ISBLANK(Лист1!T104),"",Лист1!T104)</f>
        <v>очное</v>
      </c>
      <c r="U104" s="5" t="str">
        <f>IF(ISBLANK(Лист1!U104),"",Лист1!U104)</f>
        <v/>
      </c>
      <c r="V104" s="5" t="str">
        <f>IF(ISBLANK(Лист1!V104),"",Лист1!V104)</f>
        <v>28</v>
      </c>
      <c r="W104" s="5" t="str">
        <f>IF(ISBLANK(Лист1!W104),"",Лист1!W104)</f>
        <v>маусым</v>
      </c>
      <c r="X104" s="5" t="str">
        <f>IF(ISBLANK(Лист1!X104),"",Лист1!X104)</f>
        <v>031122551079</v>
      </c>
      <c r="Y104" s="5" t="str">
        <f>IF(ISERROR(VLOOKUP($X104,Лист2!$A$2:$G$498,1,FALSE)),"",VLOOKUP($X104,Лист2!$A$2:$G$498,1,FALSE))</f>
        <v>031122551079</v>
      </c>
      <c r="Z104" s="5" t="str">
        <f>IF(ISERROR(VLOOKUP($X104,Лист2!$A$2:$L$498,9,FALSE)),"",VLOOKUP($X104,Лист2!$A$2:$L$498,9,FALSE))</f>
        <v>BD</v>
      </c>
      <c r="AA104" s="5" t="str">
        <f>IF(ISERROR(VLOOKUP($X104,Лист2!$A$2:$L$498,10,FALSE)),"",VLOOKUP($X104,Лист2!$A$2:$L$498,10,FALSE))</f>
        <v>00025650325</v>
      </c>
      <c r="AB104" s="5" t="str">
        <f>IF(ISERROR(VLOOKUP($X104,Лист2!$A$2:$M$498,13,FALSE)),"",VLOOKUP($X104,Лист2!$A$2:$M$498,13,FALSE))</f>
        <v>https://epvo.kz/#/verification_education_document?iin=031122551079&amp;diplomaSeries=BD&amp;diplomaNumber=00025650325</v>
      </c>
    </row>
    <row r="105" spans="1:28" x14ac:dyDescent="0.25">
      <c r="A105" s="5" t="str">
        <f>IF(ISBLANK(Лист1!A105),"",Лист1!A105)</f>
        <v>21</v>
      </c>
      <c r="B105" s="5" t="str">
        <f>IF(ISBLANK(Лист1!B105),"",Лист1!B105)</f>
        <v>маусымдағы</v>
      </c>
      <c r="C105" s="5" t="str">
        <f>IF(ISBLANK(Лист1!C105),"",Лист1!C105)</f>
        <v>100</v>
      </c>
      <c r="D105" s="5" t="str">
        <f>IF(ISBLANK(Лист1!D105),"",Лист1!D105)</f>
        <v>Қалыбекова  Махаббат  Даниярқызына</v>
      </c>
      <c r="E105" s="5" t="str">
        <f>IF(ISBLANK(Лист1!E105),"",Лист1!E105)</f>
        <v>"6В01705 - Шетел тілі: екі шетел тілі (ағылшын)", В018-Шет тілі мұғалімдерін даярлау</v>
      </c>
      <c r="F105" s="5" t="str">
        <f>IF(ISBLANK(Лист1!F105),"",Лист1!F105)</f>
        <v>білім</v>
      </c>
      <c r="G105" s="5" t="str">
        <f>IF(ISBLANK(Лист1!G105),"",Лист1!G105)</f>
        <v>күндізгі</v>
      </c>
      <c r="H105" s="5" t="str">
        <f>IF(ISBLANK(Лист1!H105),"",Лист1!H105)</f>
        <v>Kalybekova  Makhabbat</v>
      </c>
      <c r="I105" s="5" t="str">
        <f>IF(ISBLANK(Лист1!I105),"",Лист1!I105)</f>
        <v>Education</v>
      </c>
      <c r="J105" s="5" t="str">
        <f>IF(ISBLANK(Лист1!J105),"",Лист1!J105)</f>
        <v>"6B01705 - Foreign language: two foreign languages (English)", B018-Training of foreign language teachers</v>
      </c>
      <c r="K105" s="5" t="str">
        <f>IF(ISBLANK(Лист1!K105),"",Лист1!K105)</f>
        <v>full-time</v>
      </c>
      <c r="L105" s="5" t="str">
        <f>IF(ISBLANK(Лист1!L105),"",Лист1!L105)</f>
        <v>21</v>
      </c>
      <c r="M105" s="5" t="str">
        <f>IF(ISBLANK(Лист1!M105),"",Лист1!M105)</f>
        <v>June</v>
      </c>
      <c r="N105" s="5" t="str">
        <f>IF(ISBLANK(Лист1!N105),"",Лист1!N105)</f>
        <v>21</v>
      </c>
      <c r="O105" s="5" t="str">
        <f>IF(ISBLANK(Лист1!O105),"",Лист1!O105)</f>
        <v>июня</v>
      </c>
      <c r="P105" s="5" t="str">
        <f>IF(ISBLANK(Лист1!P105),"",Лист1!P105)</f>
        <v>100</v>
      </c>
      <c r="Q105" s="5" t="str">
        <f>IF(ISBLANK(Лист1!Q105),"",Лист1!Q105)</f>
        <v>Қалыбекова  Махаббат  Даниярқызы</v>
      </c>
      <c r="R105" s="5" t="str">
        <f>IF(ISBLANK(Лист1!R105),"",Лист1!R105)</f>
        <v>образования</v>
      </c>
      <c r="S105" s="5" t="str">
        <f>IF(ISBLANK(Лист1!S105),"",Лист1!S105)</f>
        <v>"6B01705 - Иностранный язык: два иностранных языка (английский)", В018-Подготовка учителей иностранного языка</v>
      </c>
      <c r="T105" s="5" t="str">
        <f>IF(ISBLANK(Лист1!T105),"",Лист1!T105)</f>
        <v>очное</v>
      </c>
      <c r="U105" s="5" t="str">
        <f>IF(ISBLANK(Лист1!U105),"",Лист1!U105)</f>
        <v/>
      </c>
      <c r="V105" s="5" t="str">
        <f>IF(ISBLANK(Лист1!V105),"",Лист1!V105)</f>
        <v>28</v>
      </c>
      <c r="W105" s="5" t="str">
        <f>IF(ISBLANK(Лист1!W105),"",Лист1!W105)</f>
        <v>маусым</v>
      </c>
      <c r="X105" s="5" t="str">
        <f>IF(ISBLANK(Лист1!X105),"",Лист1!X105)</f>
        <v>040125601311</v>
      </c>
      <c r="Y105" s="5" t="str">
        <f>IF(ISERROR(VLOOKUP($X105,Лист2!$A$2:$G$498,1,FALSE)),"",VLOOKUP($X105,Лист2!$A$2:$G$498,1,FALSE))</f>
        <v>040125601311</v>
      </c>
      <c r="Z105" s="5" t="str">
        <f>IF(ISERROR(VLOOKUP($X105,Лист2!$A$2:$L$498,9,FALSE)),"",VLOOKUP($X105,Лист2!$A$2:$L$498,9,FALSE))</f>
        <v>BD</v>
      </c>
      <c r="AA105" s="5" t="str">
        <f>IF(ISERROR(VLOOKUP($X105,Лист2!$A$2:$L$498,10,FALSE)),"",VLOOKUP($X105,Лист2!$A$2:$L$498,10,FALSE))</f>
        <v>00025650525</v>
      </c>
      <c r="AB105" s="5" t="str">
        <f>IF(ISERROR(VLOOKUP($X105,Лист2!$A$2:$M$498,13,FALSE)),"",VLOOKUP($X105,Лист2!$A$2:$M$498,13,FALSE))</f>
        <v>https://epvo.kz/#/verification_education_document?iin=040125601311&amp;diplomaSeries=BD&amp;diplomaNumber=00025650525</v>
      </c>
    </row>
    <row r="106" spans="1:28" x14ac:dyDescent="0.25">
      <c r="A106" s="5" t="str">
        <f>IF(ISBLANK(Лист1!A106),"",Лист1!A106)</f>
        <v>21</v>
      </c>
      <c r="B106" s="5" t="str">
        <f>IF(ISBLANK(Лист1!B106),"",Лист1!B106)</f>
        <v>маусымдағы</v>
      </c>
      <c r="C106" s="5" t="str">
        <f>IF(ISBLANK(Лист1!C106),"",Лист1!C106)</f>
        <v>101</v>
      </c>
      <c r="D106" s="5" t="str">
        <f>IF(ISBLANK(Лист1!D106),"",Лист1!D106)</f>
        <v>Қасымова  Зарина  Мейрамбайқызына</v>
      </c>
      <c r="E106" s="5" t="str">
        <f>IF(ISBLANK(Лист1!E106),"",Лист1!E106)</f>
        <v>"6В01705 - Шетел тілі: екі шетел тілі (ағылшын)", В018-Шет тілі мұғалімдерін даярлау</v>
      </c>
      <c r="F106" s="5" t="str">
        <f>IF(ISBLANK(Лист1!F106),"",Лист1!F106)</f>
        <v>білім</v>
      </c>
      <c r="G106" s="5" t="str">
        <f>IF(ISBLANK(Лист1!G106),"",Лист1!G106)</f>
        <v>күндізгі</v>
      </c>
      <c r="H106" s="5" t="str">
        <f>IF(ISBLANK(Лист1!H106),"",Лист1!H106)</f>
        <v>Kassymova  Zarina</v>
      </c>
      <c r="I106" s="5" t="str">
        <f>IF(ISBLANK(Лист1!I106),"",Лист1!I106)</f>
        <v>Education</v>
      </c>
      <c r="J106" s="5" t="str">
        <f>IF(ISBLANK(Лист1!J106),"",Лист1!J106)</f>
        <v>"6B01705 - Foreign language: two foreign languages (English)", B018-Training of foreign language teachers</v>
      </c>
      <c r="K106" s="5" t="str">
        <f>IF(ISBLANK(Лист1!K106),"",Лист1!K106)</f>
        <v>full-time</v>
      </c>
      <c r="L106" s="5" t="str">
        <f>IF(ISBLANK(Лист1!L106),"",Лист1!L106)</f>
        <v>21</v>
      </c>
      <c r="M106" s="5" t="str">
        <f>IF(ISBLANK(Лист1!M106),"",Лист1!M106)</f>
        <v>June</v>
      </c>
      <c r="N106" s="5" t="str">
        <f>IF(ISBLANK(Лист1!N106),"",Лист1!N106)</f>
        <v>21</v>
      </c>
      <c r="O106" s="5" t="str">
        <f>IF(ISBLANK(Лист1!O106),"",Лист1!O106)</f>
        <v>июня</v>
      </c>
      <c r="P106" s="5" t="str">
        <f>IF(ISBLANK(Лист1!P106),"",Лист1!P106)</f>
        <v>101</v>
      </c>
      <c r="Q106" s="5" t="str">
        <f>IF(ISBLANK(Лист1!Q106),"",Лист1!Q106)</f>
        <v>Қасымова  Зарина  Мейрамбайқызы</v>
      </c>
      <c r="R106" s="5" t="str">
        <f>IF(ISBLANK(Лист1!R106),"",Лист1!R106)</f>
        <v>образования</v>
      </c>
      <c r="S106" s="5" t="str">
        <f>IF(ISBLANK(Лист1!S106),"",Лист1!S106)</f>
        <v>"6B01705 - Иностранный язык: два иностранных языка (английский)", В018-Подготовка учителей иностранного языка</v>
      </c>
      <c r="T106" s="5" t="str">
        <f>IF(ISBLANK(Лист1!T106),"",Лист1!T106)</f>
        <v>очное</v>
      </c>
      <c r="U106" s="5" t="str">
        <f>IF(ISBLANK(Лист1!U106),"",Лист1!U106)</f>
        <v/>
      </c>
      <c r="V106" s="5" t="str">
        <f>IF(ISBLANK(Лист1!V106),"",Лист1!V106)</f>
        <v>28</v>
      </c>
      <c r="W106" s="5" t="str">
        <f>IF(ISBLANK(Лист1!W106),"",Лист1!W106)</f>
        <v>маусым</v>
      </c>
      <c r="X106" s="5" t="str">
        <f>IF(ISBLANK(Лист1!X106),"",Лист1!X106)</f>
        <v>040323600984</v>
      </c>
      <c r="Y106" s="5" t="str">
        <f>IF(ISERROR(VLOOKUP($X106,Лист2!$A$2:$G$498,1,FALSE)),"",VLOOKUP($X106,Лист2!$A$2:$G$498,1,FALSE))</f>
        <v>040323600984</v>
      </c>
      <c r="Z106" s="5" t="str">
        <f>IF(ISERROR(VLOOKUP($X106,Лист2!$A$2:$L$498,9,FALSE)),"",VLOOKUP($X106,Лист2!$A$2:$L$498,9,FALSE))</f>
        <v>BD</v>
      </c>
      <c r="AA106" s="5" t="str">
        <f>IF(ISERROR(VLOOKUP($X106,Лист2!$A$2:$L$498,10,FALSE)),"",VLOOKUP($X106,Лист2!$A$2:$L$498,10,FALSE))</f>
        <v>00025650625</v>
      </c>
      <c r="AB106" s="5" t="str">
        <f>IF(ISERROR(VLOOKUP($X106,Лист2!$A$2:$M$498,13,FALSE)),"",VLOOKUP($X106,Лист2!$A$2:$M$498,13,FALSE))</f>
        <v>https://epvo.kz/#/verification_education_document?iin=040323600984&amp;diplomaSeries=BD&amp;diplomaNumber=00025650625</v>
      </c>
    </row>
    <row r="107" spans="1:28" x14ac:dyDescent="0.25">
      <c r="A107" s="5" t="str">
        <f>IF(ISBLANK(Лист1!A107),"",Лист1!A107)</f>
        <v>21</v>
      </c>
      <c r="B107" s="5" t="str">
        <f>IF(ISBLANK(Лист1!B107),"",Лист1!B107)</f>
        <v>маусымдағы</v>
      </c>
      <c r="C107" s="5" t="str">
        <f>IF(ISBLANK(Лист1!C107),"",Лист1!C107)</f>
        <v>102</v>
      </c>
      <c r="D107" s="5" t="str">
        <f>IF(ISBLANK(Лист1!D107),"",Лист1!D107)</f>
        <v>Қоблан  Аяжан  Көмекқызына</v>
      </c>
      <c r="E107" s="5" t="str">
        <f>IF(ISBLANK(Лист1!E107),"",Лист1!E107)</f>
        <v>"6В01705 - Шетел тілі: екі шетел тілі (ағылшын)", В018-Шет тілі мұғалімдерін даярлау</v>
      </c>
      <c r="F107" s="5" t="str">
        <f>IF(ISBLANK(Лист1!F107),"",Лист1!F107)</f>
        <v>білім</v>
      </c>
      <c r="G107" s="5" t="str">
        <f>IF(ISBLANK(Лист1!G107),"",Лист1!G107)</f>
        <v>күндізгі</v>
      </c>
      <c r="H107" s="5" t="str">
        <f>IF(ISBLANK(Лист1!H107),"",Лист1!H107)</f>
        <v>Koblan  Ayazhan</v>
      </c>
      <c r="I107" s="5" t="str">
        <f>IF(ISBLANK(Лист1!I107),"",Лист1!I107)</f>
        <v>Education</v>
      </c>
      <c r="J107" s="5" t="str">
        <f>IF(ISBLANK(Лист1!J107),"",Лист1!J107)</f>
        <v>"6B01705 - Foreign language: two foreign languages (English)", B018-Training of foreign language teachers</v>
      </c>
      <c r="K107" s="5" t="str">
        <f>IF(ISBLANK(Лист1!K107),"",Лист1!K107)</f>
        <v>full-time</v>
      </c>
      <c r="L107" s="5" t="str">
        <f>IF(ISBLANK(Лист1!L107),"",Лист1!L107)</f>
        <v>21</v>
      </c>
      <c r="M107" s="5" t="str">
        <f>IF(ISBLANK(Лист1!M107),"",Лист1!M107)</f>
        <v>June</v>
      </c>
      <c r="N107" s="5" t="str">
        <f>IF(ISBLANK(Лист1!N107),"",Лист1!N107)</f>
        <v>21</v>
      </c>
      <c r="O107" s="5" t="str">
        <f>IF(ISBLANK(Лист1!O107),"",Лист1!O107)</f>
        <v>июня</v>
      </c>
      <c r="P107" s="5" t="str">
        <f>IF(ISBLANK(Лист1!P107),"",Лист1!P107)</f>
        <v>102</v>
      </c>
      <c r="Q107" s="5" t="str">
        <f>IF(ISBLANK(Лист1!Q107),"",Лист1!Q107)</f>
        <v>Қоблан  Аяжан  Көмекқызы</v>
      </c>
      <c r="R107" s="5" t="str">
        <f>IF(ISBLANK(Лист1!R107),"",Лист1!R107)</f>
        <v>образования</v>
      </c>
      <c r="S107" s="5" t="str">
        <f>IF(ISBLANK(Лист1!S107),"",Лист1!S107)</f>
        <v>"6B01705 - Иностранный язык: два иностранных языка (английский)", В018-Подготовка учителей иностранного языка</v>
      </c>
      <c r="T107" s="5" t="str">
        <f>IF(ISBLANK(Лист1!T107),"",Лист1!T107)</f>
        <v>очное</v>
      </c>
      <c r="U107" s="5" t="str">
        <f>IF(ISBLANK(Лист1!U107),"",Лист1!U107)</f>
        <v/>
      </c>
      <c r="V107" s="5" t="str">
        <f>IF(ISBLANK(Лист1!V107),"",Лист1!V107)</f>
        <v>28</v>
      </c>
      <c r="W107" s="5" t="str">
        <f>IF(ISBLANK(Лист1!W107),"",Лист1!W107)</f>
        <v>маусым</v>
      </c>
      <c r="X107" s="5" t="str">
        <f>IF(ISBLANK(Лист1!X107),"",Лист1!X107)</f>
        <v>040708651055</v>
      </c>
      <c r="Y107" s="5" t="str">
        <f>IF(ISERROR(VLOOKUP($X107,Лист2!$A$2:$G$498,1,FALSE)),"",VLOOKUP($X107,Лист2!$A$2:$G$498,1,FALSE))</f>
        <v>040708651055</v>
      </c>
      <c r="Z107" s="5" t="str">
        <f>IF(ISERROR(VLOOKUP($X107,Лист2!$A$2:$L$498,9,FALSE)),"",VLOOKUP($X107,Лист2!$A$2:$L$498,9,FALSE))</f>
        <v>BD</v>
      </c>
      <c r="AA107" s="5" t="str">
        <f>IF(ISERROR(VLOOKUP($X107,Лист2!$A$2:$L$498,10,FALSE)),"",VLOOKUP($X107,Лист2!$A$2:$L$498,10,FALSE))</f>
        <v>00025650825</v>
      </c>
      <c r="AB107" s="5" t="str">
        <f>IF(ISERROR(VLOOKUP($X107,Лист2!$A$2:$M$498,13,FALSE)),"",VLOOKUP($X107,Лист2!$A$2:$M$498,13,FALSE))</f>
        <v>https://epvo.kz/#/verification_education_document?iin=040708651055&amp;diplomaSeries=BD&amp;diplomaNumber=00025650825</v>
      </c>
    </row>
    <row r="108" spans="1:28" x14ac:dyDescent="0.25">
      <c r="A108" s="5" t="str">
        <f>IF(ISBLANK(Лист1!A108),"",Лист1!A108)</f>
        <v>21</v>
      </c>
      <c r="B108" s="5" t="str">
        <f>IF(ISBLANK(Лист1!B108),"",Лист1!B108)</f>
        <v>маусымдағы</v>
      </c>
      <c r="C108" s="5" t="str">
        <f>IF(ISBLANK(Лист1!C108),"",Лист1!C108)</f>
        <v>188</v>
      </c>
      <c r="D108" s="5" t="str">
        <f>IF(ISBLANK(Лист1!D108),"",Лист1!D108)</f>
        <v>Қордабаева  Аяулым  Төреханқызына</v>
      </c>
      <c r="E108" s="5" t="str">
        <f>IF(ISBLANK(Лист1!E108),"",Лист1!E108)</f>
        <v>"6В01705 - Шетел тілі: екі шетел тілі (ағылшын)", В018-Шет тілі мұғалімдерін даярлау</v>
      </c>
      <c r="F108" s="5" t="str">
        <f>IF(ISBLANK(Лист1!F108),"",Лист1!F108)</f>
        <v>білім</v>
      </c>
      <c r="G108" s="5" t="str">
        <f>IF(ISBLANK(Лист1!G108),"",Лист1!G108)</f>
        <v>күндізгі</v>
      </c>
      <c r="H108" s="5" t="str">
        <f>IF(ISBLANK(Лист1!H108),"",Лист1!H108)</f>
        <v>Kordabayeva  Ayaulim</v>
      </c>
      <c r="I108" s="5" t="str">
        <f>IF(ISBLANK(Лист1!I108),"",Лист1!I108)</f>
        <v>Education</v>
      </c>
      <c r="J108" s="5" t="str">
        <f>IF(ISBLANK(Лист1!J108),"",Лист1!J108)</f>
        <v>"6B01705 - Foreign language: two foreign languages (English)", B018-Training of foreign language teachers</v>
      </c>
      <c r="K108" s="5" t="str">
        <f>IF(ISBLANK(Лист1!K108),"",Лист1!K108)</f>
        <v>full-time</v>
      </c>
      <c r="L108" s="5" t="str">
        <f>IF(ISBLANK(Лист1!L108),"",Лист1!L108)</f>
        <v>21</v>
      </c>
      <c r="M108" s="5" t="str">
        <f>IF(ISBLANK(Лист1!M108),"",Лист1!M108)</f>
        <v>June</v>
      </c>
      <c r="N108" s="5" t="str">
        <f>IF(ISBLANK(Лист1!N108),"",Лист1!N108)</f>
        <v>21</v>
      </c>
      <c r="O108" s="5" t="str">
        <f>IF(ISBLANK(Лист1!O108),"",Лист1!O108)</f>
        <v>июня</v>
      </c>
      <c r="P108" s="5" t="str">
        <f>IF(ISBLANK(Лист1!P108),"",Лист1!P108)</f>
        <v>188</v>
      </c>
      <c r="Q108" s="5" t="str">
        <f>IF(ISBLANK(Лист1!Q108),"",Лист1!Q108)</f>
        <v>Қордабаева  Аяулым  Төреханқызы</v>
      </c>
      <c r="R108" s="5" t="str">
        <f>IF(ISBLANK(Лист1!R108),"",Лист1!R108)</f>
        <v>образования</v>
      </c>
      <c r="S108" s="5" t="str">
        <f>IF(ISBLANK(Лист1!S108),"",Лист1!S108)</f>
        <v>"6B01705 - Иностранный язык: два иностранных языка (английский)", В018-Подготовка учителей иностранного языка</v>
      </c>
      <c r="T108" s="5" t="str">
        <f>IF(ISBLANK(Лист1!T108),"",Лист1!T108)</f>
        <v>очное</v>
      </c>
      <c r="U108" s="5" t="str">
        <f>IF(ISBLANK(Лист1!U108),"",Лист1!U108)</f>
        <v/>
      </c>
      <c r="V108" s="5" t="str">
        <f>IF(ISBLANK(Лист1!V108),"",Лист1!V108)</f>
        <v>28</v>
      </c>
      <c r="W108" s="5" t="str">
        <f>IF(ISBLANK(Лист1!W108),"",Лист1!W108)</f>
        <v>маусым</v>
      </c>
      <c r="X108" s="5" t="str">
        <f>IF(ISBLANK(Лист1!X108),"",Лист1!X108)</f>
        <v>020309651007</v>
      </c>
      <c r="Y108" s="5" t="str">
        <f>IF(ISERROR(VLOOKUP($X108,Лист2!$A$2:$G$498,1,FALSE)),"",VLOOKUP($X108,Лист2!$A$2:$G$498,1,FALSE))</f>
        <v>020309651007</v>
      </c>
      <c r="Z108" s="5" t="str">
        <f>IF(ISERROR(VLOOKUP($X108,Лист2!$A$2:$L$498,9,FALSE)),"",VLOOKUP($X108,Лист2!$A$2:$L$498,9,FALSE))</f>
        <v>BD</v>
      </c>
      <c r="AA108" s="5" t="str">
        <f>IF(ISERROR(VLOOKUP($X108,Лист2!$A$2:$L$498,10,FALSE)),"",VLOOKUP($X108,Лист2!$A$2:$L$498,10,FALSE))</f>
        <v>00025690125</v>
      </c>
      <c r="AB108" s="5" t="str">
        <f>IF(ISERROR(VLOOKUP($X108,Лист2!$A$2:$M$498,13,FALSE)),"",VLOOKUP($X108,Лист2!$A$2:$M$498,13,FALSE))</f>
        <v>https://epvo.kz/#/verification_education_document?iin=020309651007&amp;diplomaSeries=BD&amp;diplomaNumber=00025690125</v>
      </c>
    </row>
    <row r="109" spans="1:28" x14ac:dyDescent="0.25">
      <c r="A109" s="5" t="str">
        <f>IF(ISBLANK(Лист1!A109),"",Лист1!A109)</f>
        <v>21</v>
      </c>
      <c r="B109" s="5" t="str">
        <f>IF(ISBLANK(Лист1!B109),"",Лист1!B109)</f>
        <v>маусымдағы</v>
      </c>
      <c r="C109" s="5" t="str">
        <f>IF(ISBLANK(Лист1!C109),"",Лист1!C109)</f>
        <v>103</v>
      </c>
      <c r="D109" s="5" t="str">
        <f>IF(ISBLANK(Лист1!D109),"",Лист1!D109)</f>
        <v>Қуанышқалиқызы  Таңшолпанға</v>
      </c>
      <c r="E109" s="5" t="str">
        <f>IF(ISBLANK(Лист1!E109),"",Лист1!E109)</f>
        <v>"6В01705 - Шетел тілі: екі шетел тілі (ағылшын)", В018-Шет тілі мұғалімдерін даярлау</v>
      </c>
      <c r="F109" s="5" t="str">
        <f>IF(ISBLANK(Лист1!F109),"",Лист1!F109)</f>
        <v>білім</v>
      </c>
      <c r="G109" s="5" t="str">
        <f>IF(ISBLANK(Лист1!G109),"",Лист1!G109)</f>
        <v>күндізгі</v>
      </c>
      <c r="H109" s="5" t="str">
        <f>IF(ISBLANK(Лист1!H109),"",Лист1!H109)</f>
        <v>Kuanyshkalikyzy  Tangsholpan</v>
      </c>
      <c r="I109" s="5" t="str">
        <f>IF(ISBLANK(Лист1!I109),"",Лист1!I109)</f>
        <v>Education</v>
      </c>
      <c r="J109" s="5" t="str">
        <f>IF(ISBLANK(Лист1!J109),"",Лист1!J109)</f>
        <v>"6B01705 - Foreign language: two foreign languages (English)", B018-Training of foreign language teachers</v>
      </c>
      <c r="K109" s="5" t="str">
        <f>IF(ISBLANK(Лист1!K109),"",Лист1!K109)</f>
        <v>full-time</v>
      </c>
      <c r="L109" s="5" t="str">
        <f>IF(ISBLANK(Лист1!L109),"",Лист1!L109)</f>
        <v>21</v>
      </c>
      <c r="M109" s="5" t="str">
        <f>IF(ISBLANK(Лист1!M109),"",Лист1!M109)</f>
        <v>June</v>
      </c>
      <c r="N109" s="5" t="str">
        <f>IF(ISBLANK(Лист1!N109),"",Лист1!N109)</f>
        <v>21</v>
      </c>
      <c r="O109" s="5" t="str">
        <f>IF(ISBLANK(Лист1!O109),"",Лист1!O109)</f>
        <v>июня</v>
      </c>
      <c r="P109" s="5" t="str">
        <f>IF(ISBLANK(Лист1!P109),"",Лист1!P109)</f>
        <v>103</v>
      </c>
      <c r="Q109" s="5" t="str">
        <f>IF(ISBLANK(Лист1!Q109),"",Лист1!Q109)</f>
        <v xml:space="preserve">Қуанышқалиқызы  Таңшолпан  </v>
      </c>
      <c r="R109" s="5" t="str">
        <f>IF(ISBLANK(Лист1!R109),"",Лист1!R109)</f>
        <v>образования</v>
      </c>
      <c r="S109" s="5" t="str">
        <f>IF(ISBLANK(Лист1!S109),"",Лист1!S109)</f>
        <v>"6B01705 - Иностранный язык: два иностранных языка (английский)", В018-Подготовка учителей иностранного языка</v>
      </c>
      <c r="T109" s="5" t="str">
        <f>IF(ISBLANK(Лист1!T109),"",Лист1!T109)</f>
        <v>очное</v>
      </c>
      <c r="U109" s="5" t="str">
        <f>IF(ISBLANK(Лист1!U109),"",Лист1!U109)</f>
        <v/>
      </c>
      <c r="V109" s="5" t="str">
        <f>IF(ISBLANK(Лист1!V109),"",Лист1!V109)</f>
        <v>28</v>
      </c>
      <c r="W109" s="5" t="str">
        <f>IF(ISBLANK(Лист1!W109),"",Лист1!W109)</f>
        <v>маусым</v>
      </c>
      <c r="X109" s="5" t="str">
        <f>IF(ISBLANK(Лист1!X109),"",Лист1!X109)</f>
        <v>040813650875</v>
      </c>
      <c r="Y109" s="5" t="str">
        <f>IF(ISERROR(VLOOKUP($X109,Лист2!$A$2:$G$498,1,FALSE)),"",VLOOKUP($X109,Лист2!$A$2:$G$498,1,FALSE))</f>
        <v>040813650875</v>
      </c>
      <c r="Z109" s="5" t="str">
        <f>IF(ISERROR(VLOOKUP($X109,Лист2!$A$2:$L$498,9,FALSE)),"",VLOOKUP($X109,Лист2!$A$2:$L$498,9,FALSE))</f>
        <v>BD</v>
      </c>
      <c r="AA109" s="5" t="str">
        <f>IF(ISERROR(VLOOKUP($X109,Лист2!$A$2:$L$498,10,FALSE)),"",VLOOKUP($X109,Лист2!$A$2:$L$498,10,FALSE))</f>
        <v>00025650925</v>
      </c>
      <c r="AB109" s="5" t="str">
        <f>IF(ISERROR(VLOOKUP($X109,Лист2!$A$2:$M$498,13,FALSE)),"",VLOOKUP($X109,Лист2!$A$2:$M$498,13,FALSE))</f>
        <v>https://epvo.kz/#/verification_education_document?iin=040813650875&amp;diplomaSeries=BD&amp;diplomaNumber=00025650925</v>
      </c>
    </row>
    <row r="110" spans="1:28" x14ac:dyDescent="0.25">
      <c r="A110" s="5" t="str">
        <f>IF(ISBLANK(Лист1!A110),"",Лист1!A110)</f>
        <v>21</v>
      </c>
      <c r="B110" s="5" t="str">
        <f>IF(ISBLANK(Лист1!B110),"",Лист1!B110)</f>
        <v>маусымдағы</v>
      </c>
      <c r="C110" s="5" t="str">
        <f>IF(ISBLANK(Лист1!C110),"",Лист1!C110)</f>
        <v>104</v>
      </c>
      <c r="D110" s="5" t="str">
        <f>IF(ISBLANK(Лист1!D110),"",Лист1!D110)</f>
        <v>Құдайберген  Айжан  Ерболқызына</v>
      </c>
      <c r="E110" s="5" t="str">
        <f>IF(ISBLANK(Лист1!E110),"",Лист1!E110)</f>
        <v>"6В01705 - Шетел тілі: екі шетел тілі (ағылшын)", В018-Шет тілі мұғалімдерін даярлау</v>
      </c>
      <c r="F110" s="5" t="str">
        <f>IF(ISBLANK(Лист1!F110),"",Лист1!F110)</f>
        <v>білім</v>
      </c>
      <c r="G110" s="5" t="str">
        <f>IF(ISBLANK(Лист1!G110),"",Лист1!G110)</f>
        <v>күндізгі</v>
      </c>
      <c r="H110" s="5" t="str">
        <f>IF(ISBLANK(Лист1!H110),"",Лист1!H110)</f>
        <v>Kudaibergen  Aizhan</v>
      </c>
      <c r="I110" s="5" t="str">
        <f>IF(ISBLANK(Лист1!I110),"",Лист1!I110)</f>
        <v>Education</v>
      </c>
      <c r="J110" s="5" t="str">
        <f>IF(ISBLANK(Лист1!J110),"",Лист1!J110)</f>
        <v>"6B01705 - Foreign language: two foreign languages (English)", B018-Training of foreign language teachers</v>
      </c>
      <c r="K110" s="5" t="str">
        <f>IF(ISBLANK(Лист1!K110),"",Лист1!K110)</f>
        <v>full-time</v>
      </c>
      <c r="L110" s="5" t="str">
        <f>IF(ISBLANK(Лист1!L110),"",Лист1!L110)</f>
        <v>21</v>
      </c>
      <c r="M110" s="5" t="str">
        <f>IF(ISBLANK(Лист1!M110),"",Лист1!M110)</f>
        <v>June</v>
      </c>
      <c r="N110" s="5" t="str">
        <f>IF(ISBLANK(Лист1!N110),"",Лист1!N110)</f>
        <v>21</v>
      </c>
      <c r="O110" s="5" t="str">
        <f>IF(ISBLANK(Лист1!O110),"",Лист1!O110)</f>
        <v>июня</v>
      </c>
      <c r="P110" s="5" t="str">
        <f>IF(ISBLANK(Лист1!P110),"",Лист1!P110)</f>
        <v>104</v>
      </c>
      <c r="Q110" s="5" t="str">
        <f>IF(ISBLANK(Лист1!Q110),"",Лист1!Q110)</f>
        <v>Құдайберген  Айжан  Ерболқызы</v>
      </c>
      <c r="R110" s="5" t="str">
        <f>IF(ISBLANK(Лист1!R110),"",Лист1!R110)</f>
        <v>образования</v>
      </c>
      <c r="S110" s="5" t="str">
        <f>IF(ISBLANK(Лист1!S110),"",Лист1!S110)</f>
        <v>"6B01705 - Иностранный язык: два иностранных языка (английский)", В018-Подготовка учителей иностранного языка</v>
      </c>
      <c r="T110" s="5" t="str">
        <f>IF(ISBLANK(Лист1!T110),"",Лист1!T110)</f>
        <v>очное</v>
      </c>
      <c r="U110" s="5" t="str">
        <f>IF(ISBLANK(Лист1!U110),"",Лист1!U110)</f>
        <v/>
      </c>
      <c r="V110" s="5" t="str">
        <f>IF(ISBLANK(Лист1!V110),"",Лист1!V110)</f>
        <v>28</v>
      </c>
      <c r="W110" s="5" t="str">
        <f>IF(ISBLANK(Лист1!W110),"",Лист1!W110)</f>
        <v>маусым</v>
      </c>
      <c r="X110" s="5" t="str">
        <f>IF(ISBLANK(Лист1!X110),"",Лист1!X110)</f>
        <v>030516600773</v>
      </c>
      <c r="Y110" s="5" t="str">
        <f>IF(ISERROR(VLOOKUP($X110,Лист2!$A$2:$G$498,1,FALSE)),"",VLOOKUP($X110,Лист2!$A$2:$G$498,1,FALSE))</f>
        <v>030516600773</v>
      </c>
      <c r="Z110" s="5" t="str">
        <f>IF(ISERROR(VLOOKUP($X110,Лист2!$A$2:$L$498,9,FALSE)),"",VLOOKUP($X110,Лист2!$A$2:$L$498,9,FALSE))</f>
        <v>BD</v>
      </c>
      <c r="AA110" s="5" t="str">
        <f>IF(ISERROR(VLOOKUP($X110,Лист2!$A$2:$L$498,10,FALSE)),"",VLOOKUP($X110,Лист2!$A$2:$L$498,10,FALSE))</f>
        <v>00025651125</v>
      </c>
      <c r="AB110" s="5" t="str">
        <f>IF(ISERROR(VLOOKUP($X110,Лист2!$A$2:$M$498,13,FALSE)),"",VLOOKUP($X110,Лист2!$A$2:$M$498,13,FALSE))</f>
        <v>https://epvo.kz/#/verification_education_document?iin=030516600773&amp;diplomaSeries=BD&amp;diplomaNumber=00025651125</v>
      </c>
    </row>
    <row r="111" spans="1:28" x14ac:dyDescent="0.25">
      <c r="A111" s="5" t="str">
        <f>IF(ISBLANK(Лист1!A111),"",Лист1!A111)</f>
        <v>21</v>
      </c>
      <c r="B111" s="5" t="str">
        <f>IF(ISBLANK(Лист1!B111),"",Лист1!B111)</f>
        <v>маусымдағы</v>
      </c>
      <c r="C111" s="5" t="str">
        <f>IF(ISBLANK(Лист1!C111),"",Лист1!C111)</f>
        <v>105</v>
      </c>
      <c r="D111" s="5" t="str">
        <f>IF(ISBLANK(Лист1!D111),"",Лист1!D111)</f>
        <v>Құрал  Айдана  Абдунасырқызына</v>
      </c>
      <c r="E111" s="5" t="str">
        <f>IF(ISBLANK(Лист1!E111),"",Лист1!E111)</f>
        <v>"6В01705 - Шетел тілі: екі шетел тілі (ағылшын)", В018-Шет тілі мұғалімдерін даярлау</v>
      </c>
      <c r="F111" s="5" t="str">
        <f>IF(ISBLANK(Лист1!F111),"",Лист1!F111)</f>
        <v>білім</v>
      </c>
      <c r="G111" s="5" t="str">
        <f>IF(ISBLANK(Лист1!G111),"",Лист1!G111)</f>
        <v>күндізгі</v>
      </c>
      <c r="H111" s="5" t="str">
        <f>IF(ISBLANK(Лист1!H111),"",Лист1!H111)</f>
        <v>Kural  Aidana</v>
      </c>
      <c r="I111" s="5" t="str">
        <f>IF(ISBLANK(Лист1!I111),"",Лист1!I111)</f>
        <v>Education</v>
      </c>
      <c r="J111" s="5" t="str">
        <f>IF(ISBLANK(Лист1!J111),"",Лист1!J111)</f>
        <v>"6B01705 - Foreign language: two foreign languages (English)", B018-Training of foreign language teachers</v>
      </c>
      <c r="K111" s="5" t="str">
        <f>IF(ISBLANK(Лист1!K111),"",Лист1!K111)</f>
        <v>full-time</v>
      </c>
      <c r="L111" s="5" t="str">
        <f>IF(ISBLANK(Лист1!L111),"",Лист1!L111)</f>
        <v>21</v>
      </c>
      <c r="M111" s="5" t="str">
        <f>IF(ISBLANK(Лист1!M111),"",Лист1!M111)</f>
        <v>June</v>
      </c>
      <c r="N111" s="5" t="str">
        <f>IF(ISBLANK(Лист1!N111),"",Лист1!N111)</f>
        <v>21</v>
      </c>
      <c r="O111" s="5" t="str">
        <f>IF(ISBLANK(Лист1!O111),"",Лист1!O111)</f>
        <v>июня</v>
      </c>
      <c r="P111" s="5" t="str">
        <f>IF(ISBLANK(Лист1!P111),"",Лист1!P111)</f>
        <v>105</v>
      </c>
      <c r="Q111" s="5" t="str">
        <f>IF(ISBLANK(Лист1!Q111),"",Лист1!Q111)</f>
        <v>Құрал  Айдана  Абдунасырқызы</v>
      </c>
      <c r="R111" s="5" t="str">
        <f>IF(ISBLANK(Лист1!R111),"",Лист1!R111)</f>
        <v>образования</v>
      </c>
      <c r="S111" s="5" t="str">
        <f>IF(ISBLANK(Лист1!S111),"",Лист1!S111)</f>
        <v>"6B01705 - Иностранный язык: два иностранных языка (английский)", В018-Подготовка учителей иностранного языка</v>
      </c>
      <c r="T111" s="5" t="str">
        <f>IF(ISBLANK(Лист1!T111),"",Лист1!T111)</f>
        <v>очное</v>
      </c>
      <c r="U111" s="5" t="str">
        <f>IF(ISBLANK(Лист1!U111),"",Лист1!U111)</f>
        <v/>
      </c>
      <c r="V111" s="5" t="str">
        <f>IF(ISBLANK(Лист1!V111),"",Лист1!V111)</f>
        <v>28</v>
      </c>
      <c r="W111" s="5" t="str">
        <f>IF(ISBLANK(Лист1!W111),"",Лист1!W111)</f>
        <v>маусым</v>
      </c>
      <c r="X111" s="5" t="str">
        <f>IF(ISBLANK(Лист1!X111),"",Лист1!X111)</f>
        <v>040421601291</v>
      </c>
      <c r="Y111" s="5" t="str">
        <f>IF(ISERROR(VLOOKUP($X111,Лист2!$A$2:$G$498,1,FALSE)),"",VLOOKUP($X111,Лист2!$A$2:$G$498,1,FALSE))</f>
        <v>040421601291</v>
      </c>
      <c r="Z111" s="5" t="str">
        <f>IF(ISERROR(VLOOKUP($X111,Лист2!$A$2:$L$498,9,FALSE)),"",VLOOKUP($X111,Лист2!$A$2:$L$498,9,FALSE))</f>
        <v>BD</v>
      </c>
      <c r="AA111" s="5" t="str">
        <f>IF(ISERROR(VLOOKUP($X111,Лист2!$A$2:$L$498,10,FALSE)),"",VLOOKUP($X111,Лист2!$A$2:$L$498,10,FALSE))</f>
        <v>00025651325</v>
      </c>
      <c r="AB111" s="5" t="str">
        <f>IF(ISERROR(VLOOKUP($X111,Лист2!$A$2:$M$498,13,FALSE)),"",VLOOKUP($X111,Лист2!$A$2:$M$498,13,FALSE))</f>
        <v>https://epvo.kz/#/verification_education_document?iin=040421601291&amp;diplomaSeries=BD&amp;diplomaNumber=00025651325</v>
      </c>
    </row>
    <row r="112" spans="1:28" x14ac:dyDescent="0.25">
      <c r="A112" s="5" t="str">
        <f>IF(ISBLANK(Лист1!A112),"",Лист1!A112)</f>
        <v>21</v>
      </c>
      <c r="B112" s="5" t="str">
        <f>IF(ISBLANK(Лист1!B112),"",Лист1!B112)</f>
        <v>маусымдағы</v>
      </c>
      <c r="C112" s="5" t="str">
        <f>IF(ISBLANK(Лист1!C112),"",Лист1!C112)</f>
        <v>106</v>
      </c>
      <c r="D112" s="5" t="str">
        <f>IF(ISBLANK(Лист1!D112),"",Лист1!D112)</f>
        <v>Құрбанәлі  Аяулым  Ермекқызына</v>
      </c>
      <c r="E112" s="5" t="str">
        <f>IF(ISBLANK(Лист1!E112),"",Лист1!E112)</f>
        <v>"6В01705 - Шетел тілі: екі шетел тілі (ағылшын)", В018-Шет тілі мұғалімдерін даярлау</v>
      </c>
      <c r="F112" s="5" t="str">
        <f>IF(ISBLANK(Лист1!F112),"",Лист1!F112)</f>
        <v>білім</v>
      </c>
      <c r="G112" s="5" t="str">
        <f>IF(ISBLANK(Лист1!G112),"",Лист1!G112)</f>
        <v>күндізгі</v>
      </c>
      <c r="H112" s="5" t="str">
        <f>IF(ISBLANK(Лист1!H112),"",Лист1!H112)</f>
        <v>Kurbanali  Ayaulym</v>
      </c>
      <c r="I112" s="5" t="str">
        <f>IF(ISBLANK(Лист1!I112),"",Лист1!I112)</f>
        <v>Education</v>
      </c>
      <c r="J112" s="5" t="str">
        <f>IF(ISBLANK(Лист1!J112),"",Лист1!J112)</f>
        <v>"6B01705 - Foreign language: two foreign languages (English)", B018-Training of foreign language teachers</v>
      </c>
      <c r="K112" s="5" t="str">
        <f>IF(ISBLANK(Лист1!K112),"",Лист1!K112)</f>
        <v>full-time</v>
      </c>
      <c r="L112" s="5" t="str">
        <f>IF(ISBLANK(Лист1!L112),"",Лист1!L112)</f>
        <v>21</v>
      </c>
      <c r="M112" s="5" t="str">
        <f>IF(ISBLANK(Лист1!M112),"",Лист1!M112)</f>
        <v>June</v>
      </c>
      <c r="N112" s="5" t="str">
        <f>IF(ISBLANK(Лист1!N112),"",Лист1!N112)</f>
        <v>21</v>
      </c>
      <c r="O112" s="5" t="str">
        <f>IF(ISBLANK(Лист1!O112),"",Лист1!O112)</f>
        <v>июня</v>
      </c>
      <c r="P112" s="5" t="str">
        <f>IF(ISBLANK(Лист1!P112),"",Лист1!P112)</f>
        <v>106</v>
      </c>
      <c r="Q112" s="5" t="str">
        <f>IF(ISBLANK(Лист1!Q112),"",Лист1!Q112)</f>
        <v>Құрбанәлі  Аяулым  Ермекқызы</v>
      </c>
      <c r="R112" s="5" t="str">
        <f>IF(ISBLANK(Лист1!R112),"",Лист1!R112)</f>
        <v>образования</v>
      </c>
      <c r="S112" s="5" t="str">
        <f>IF(ISBLANK(Лист1!S112),"",Лист1!S112)</f>
        <v>"6B01705 - Иностранный язык: два иностранных языка (английский)", В018-Подготовка учителей иностранного языка</v>
      </c>
      <c r="T112" s="5" t="str">
        <f>IF(ISBLANK(Лист1!T112),"",Лист1!T112)</f>
        <v>очное</v>
      </c>
      <c r="U112" s="5" t="str">
        <f>IF(ISBLANK(Лист1!U112),"",Лист1!U112)</f>
        <v/>
      </c>
      <c r="V112" s="5" t="str">
        <f>IF(ISBLANK(Лист1!V112),"",Лист1!V112)</f>
        <v>28</v>
      </c>
      <c r="W112" s="5" t="str">
        <f>IF(ISBLANK(Лист1!W112),"",Лист1!W112)</f>
        <v>маусым</v>
      </c>
      <c r="X112" s="5" t="str">
        <f>IF(ISBLANK(Лист1!X112),"",Лист1!X112)</f>
        <v>030822601329</v>
      </c>
      <c r="Y112" s="5" t="str">
        <f>IF(ISERROR(VLOOKUP($X112,Лист2!$A$2:$G$498,1,FALSE)),"",VLOOKUP($X112,Лист2!$A$2:$G$498,1,FALSE))</f>
        <v>030822601329</v>
      </c>
      <c r="Z112" s="5" t="str">
        <f>IF(ISERROR(VLOOKUP($X112,Лист2!$A$2:$L$498,9,FALSE)),"",VLOOKUP($X112,Лист2!$A$2:$L$498,9,FALSE))</f>
        <v>BD</v>
      </c>
      <c r="AA112" s="5" t="str">
        <f>IF(ISERROR(VLOOKUP($X112,Лист2!$A$2:$L$498,10,FALSE)),"",VLOOKUP($X112,Лист2!$A$2:$L$498,10,FALSE))</f>
        <v>00025651525</v>
      </c>
      <c r="AB112" s="5" t="str">
        <f>IF(ISERROR(VLOOKUP($X112,Лист2!$A$2:$M$498,13,FALSE)),"",VLOOKUP($X112,Лист2!$A$2:$M$498,13,FALSE))</f>
        <v>https://epvo.kz/#/verification_education_document?iin=030822601329&amp;diplomaSeries=BD&amp;diplomaNumber=00025651525</v>
      </c>
    </row>
    <row r="113" spans="1:28" x14ac:dyDescent="0.25">
      <c r="A113" s="5" t="str">
        <f>IF(ISBLANK(Лист1!A113),"",Лист1!A113)</f>
        <v>21</v>
      </c>
      <c r="B113" s="5" t="str">
        <f>IF(ISBLANK(Лист1!B113),"",Лист1!B113)</f>
        <v>маусымдағы</v>
      </c>
      <c r="C113" s="5" t="str">
        <f>IF(ISBLANK(Лист1!C113),"",Лист1!C113)</f>
        <v>109</v>
      </c>
      <c r="D113" s="5" t="str">
        <f>IF(ISBLANK(Лист1!D113),"",Лист1!D113)</f>
        <v>Құрманәлі  Ақниет  Ахметқызына</v>
      </c>
      <c r="E113" s="5" t="str">
        <f>IF(ISBLANK(Лист1!E113),"",Лист1!E113)</f>
        <v>"6В01705 - Шетел тілі: екі шетел тілі (ағылшын)", В018-Шет тілі мұғалімдерін даярлау</v>
      </c>
      <c r="F113" s="5" t="str">
        <f>IF(ISBLANK(Лист1!F113),"",Лист1!F113)</f>
        <v>білім</v>
      </c>
      <c r="G113" s="5" t="str">
        <f>IF(ISBLANK(Лист1!G113),"",Лист1!G113)</f>
        <v>күндізгі</v>
      </c>
      <c r="H113" s="5" t="str">
        <f>IF(ISBLANK(Лист1!H113),"",Лист1!H113)</f>
        <v>Kurmanali  Akniyet</v>
      </c>
      <c r="I113" s="5" t="str">
        <f>IF(ISBLANK(Лист1!I113),"",Лист1!I113)</f>
        <v>Education</v>
      </c>
      <c r="J113" s="5" t="str">
        <f>IF(ISBLANK(Лист1!J113),"",Лист1!J113)</f>
        <v>"6B01705 - Foreign language: two foreign languages (English)", B018-Training of foreign language teachers</v>
      </c>
      <c r="K113" s="5" t="str">
        <f>IF(ISBLANK(Лист1!K113),"",Лист1!K113)</f>
        <v>full-time</v>
      </c>
      <c r="L113" s="5" t="str">
        <f>IF(ISBLANK(Лист1!L113),"",Лист1!L113)</f>
        <v>21</v>
      </c>
      <c r="M113" s="5" t="str">
        <f>IF(ISBLANK(Лист1!M113),"",Лист1!M113)</f>
        <v>June</v>
      </c>
      <c r="N113" s="5" t="str">
        <f>IF(ISBLANK(Лист1!N113),"",Лист1!N113)</f>
        <v>21</v>
      </c>
      <c r="O113" s="5" t="str">
        <f>IF(ISBLANK(Лист1!O113),"",Лист1!O113)</f>
        <v>июня</v>
      </c>
      <c r="P113" s="5" t="str">
        <f>IF(ISBLANK(Лист1!P113),"",Лист1!P113)</f>
        <v>109</v>
      </c>
      <c r="Q113" s="5" t="str">
        <f>IF(ISBLANK(Лист1!Q113),"",Лист1!Q113)</f>
        <v>Құрманәлі  Ақниет  Ахметқызы</v>
      </c>
      <c r="R113" s="5" t="str">
        <f>IF(ISBLANK(Лист1!R113),"",Лист1!R113)</f>
        <v>образования</v>
      </c>
      <c r="S113" s="5" t="str">
        <f>IF(ISBLANK(Лист1!S113),"",Лист1!S113)</f>
        <v>"6B01705 - Иностранный язык: два иностранных языка (английский)", В018-Подготовка учителей иностранного языка</v>
      </c>
      <c r="T113" s="5" t="str">
        <f>IF(ISBLANK(Лист1!T113),"",Лист1!T113)</f>
        <v>очное</v>
      </c>
      <c r="U113" s="5" t="str">
        <f>IF(ISBLANK(Лист1!U113),"",Лист1!U113)</f>
        <v/>
      </c>
      <c r="V113" s="5" t="str">
        <f>IF(ISBLANK(Лист1!V113),"",Лист1!V113)</f>
        <v>28</v>
      </c>
      <c r="W113" s="5" t="str">
        <f>IF(ISBLANK(Лист1!W113),"",Лист1!W113)</f>
        <v>маусым</v>
      </c>
      <c r="X113" s="5" t="str">
        <f>IF(ISBLANK(Лист1!X113),"",Лист1!X113)</f>
        <v>031231600599</v>
      </c>
      <c r="Y113" s="5" t="str">
        <f>IF(ISERROR(VLOOKUP($X113,Лист2!$A$2:$G$498,1,FALSE)),"",VLOOKUP($X113,Лист2!$A$2:$G$498,1,FALSE))</f>
        <v>031231600599</v>
      </c>
      <c r="Z113" s="5" t="str">
        <f>IF(ISERROR(VLOOKUP($X113,Лист2!$A$2:$L$498,9,FALSE)),"",VLOOKUP($X113,Лист2!$A$2:$L$498,9,FALSE))</f>
        <v>BD</v>
      </c>
      <c r="AA113" s="5" t="str">
        <f>IF(ISERROR(VLOOKUP($X113,Лист2!$A$2:$L$498,10,FALSE)),"",VLOOKUP($X113,Лист2!$A$2:$L$498,10,FALSE))</f>
        <v>00025651725</v>
      </c>
      <c r="AB113" s="5" t="str">
        <f>IF(ISERROR(VLOOKUP($X113,Лист2!$A$2:$M$498,13,FALSE)),"",VLOOKUP($X113,Лист2!$A$2:$M$498,13,FALSE))</f>
        <v>https://epvo.kz/#/verification_education_document?iin=031231600599&amp;diplomaSeries=BD&amp;diplomaNumber=00025651725</v>
      </c>
    </row>
    <row r="114" spans="1:28" x14ac:dyDescent="0.25">
      <c r="A114" s="5" t="str">
        <f>IF(ISBLANK(Лист1!A114),"",Лист1!A114)</f>
        <v>21</v>
      </c>
      <c r="B114" s="5" t="str">
        <f>IF(ISBLANK(Лист1!B114),"",Лист1!B114)</f>
        <v>маусымдағы</v>
      </c>
      <c r="C114" s="5" t="str">
        <f>IF(ISBLANK(Лист1!C114),"",Лист1!C114)</f>
        <v>107</v>
      </c>
      <c r="D114" s="5" t="str">
        <f>IF(ISBLANK(Лист1!D114),"",Лист1!D114)</f>
        <v>Қыдыралиев  Дархан  Дүйсенәліұлына</v>
      </c>
      <c r="E114" s="5" t="str">
        <f>IF(ISBLANK(Лист1!E114),"",Лист1!E114)</f>
        <v>"6В01705 - Шетел тілі: екі шетел тілі (ағылшын)", В018-Шет тілі мұғалімдерін даярлау</v>
      </c>
      <c r="F114" s="5" t="str">
        <f>IF(ISBLANK(Лист1!F114),"",Лист1!F114)</f>
        <v>білім</v>
      </c>
      <c r="G114" s="5" t="str">
        <f>IF(ISBLANK(Лист1!G114),"",Лист1!G114)</f>
        <v>күндізгі</v>
      </c>
      <c r="H114" s="5" t="str">
        <f>IF(ISBLANK(Лист1!H114),"",Лист1!H114)</f>
        <v>Kydyraliyev  Darkhan</v>
      </c>
      <c r="I114" s="5" t="str">
        <f>IF(ISBLANK(Лист1!I114),"",Лист1!I114)</f>
        <v>Education</v>
      </c>
      <c r="J114" s="5" t="str">
        <f>IF(ISBLANK(Лист1!J114),"",Лист1!J114)</f>
        <v>"6B01705 - Foreign language: two foreign languages (English)", B018-Training of foreign language teachers</v>
      </c>
      <c r="K114" s="5" t="str">
        <f>IF(ISBLANK(Лист1!K114),"",Лист1!K114)</f>
        <v>full-time</v>
      </c>
      <c r="L114" s="5" t="str">
        <f>IF(ISBLANK(Лист1!L114),"",Лист1!L114)</f>
        <v>21</v>
      </c>
      <c r="M114" s="5" t="str">
        <f>IF(ISBLANK(Лист1!M114),"",Лист1!M114)</f>
        <v>June</v>
      </c>
      <c r="N114" s="5" t="str">
        <f>IF(ISBLANK(Лист1!N114),"",Лист1!N114)</f>
        <v>21</v>
      </c>
      <c r="O114" s="5" t="str">
        <f>IF(ISBLANK(Лист1!O114),"",Лист1!O114)</f>
        <v>июня</v>
      </c>
      <c r="P114" s="5" t="str">
        <f>IF(ISBLANK(Лист1!P114),"",Лист1!P114)</f>
        <v>107</v>
      </c>
      <c r="Q114" s="5" t="str">
        <f>IF(ISBLANK(Лист1!Q114),"",Лист1!Q114)</f>
        <v>Қыдыралиев  Дархан  Дүйсенәліұлы</v>
      </c>
      <c r="R114" s="5" t="str">
        <f>IF(ISBLANK(Лист1!R114),"",Лист1!R114)</f>
        <v>образования</v>
      </c>
      <c r="S114" s="5" t="str">
        <f>IF(ISBLANK(Лист1!S114),"",Лист1!S114)</f>
        <v>"6B01705 - Иностранный язык: два иностранных языка (английский)", В018-Подготовка учителей иностранного языка</v>
      </c>
      <c r="T114" s="5" t="str">
        <f>IF(ISBLANK(Лист1!T114),"",Лист1!T114)</f>
        <v>очное</v>
      </c>
      <c r="U114" s="5" t="str">
        <f>IF(ISBLANK(Лист1!U114),"",Лист1!U114)</f>
        <v/>
      </c>
      <c r="V114" s="5" t="str">
        <f>IF(ISBLANK(Лист1!V114),"",Лист1!V114)</f>
        <v>28</v>
      </c>
      <c r="W114" s="5" t="str">
        <f>IF(ISBLANK(Лист1!W114),"",Лист1!W114)</f>
        <v>маусым</v>
      </c>
      <c r="X114" s="5" t="str">
        <f>IF(ISBLANK(Лист1!X114),"",Лист1!X114)</f>
        <v>040317500300</v>
      </c>
      <c r="Y114" s="5" t="str">
        <f>IF(ISERROR(VLOOKUP($X114,Лист2!$A$2:$G$498,1,FALSE)),"",VLOOKUP($X114,Лист2!$A$2:$G$498,1,FALSE))</f>
        <v>040317500300</v>
      </c>
      <c r="Z114" s="5" t="str">
        <f>IF(ISERROR(VLOOKUP($X114,Лист2!$A$2:$L$498,9,FALSE)),"",VLOOKUP($X114,Лист2!$A$2:$L$498,9,FALSE))</f>
        <v>BD</v>
      </c>
      <c r="AA114" s="5" t="str">
        <f>IF(ISERROR(VLOOKUP($X114,Лист2!$A$2:$L$498,10,FALSE)),"",VLOOKUP($X114,Лист2!$A$2:$L$498,10,FALSE))</f>
        <v>00025653825</v>
      </c>
      <c r="AB114" s="5" t="str">
        <f>IF(ISERROR(VLOOKUP($X114,Лист2!$A$2:$M$498,13,FALSE)),"",VLOOKUP($X114,Лист2!$A$2:$M$498,13,FALSE))</f>
        <v>https://epvo.kz/#/verification_education_document?iin=040317500300&amp;diplomaSeries=BD&amp;diplomaNumber=00025653825</v>
      </c>
    </row>
    <row r="115" spans="1:28" x14ac:dyDescent="0.25">
      <c r="A115" s="5" t="str">
        <f>IF(ISBLANK(Лист1!A115),"",Лист1!A115)</f>
        <v>21</v>
      </c>
      <c r="B115" s="5" t="str">
        <f>IF(ISBLANK(Лист1!B115),"",Лист1!B115)</f>
        <v>маусымдағы</v>
      </c>
      <c r="C115" s="5" t="str">
        <f>IF(ISBLANK(Лист1!C115),"",Лист1!C115)</f>
        <v>62</v>
      </c>
      <c r="D115" s="5" t="str">
        <f>IF(ISBLANK(Лист1!D115),"",Лист1!D115)</f>
        <v>Майлхан  Айнұрға</v>
      </c>
      <c r="E115" s="5" t="str">
        <f>IF(ISBLANK(Лист1!E115),"",Лист1!E115)</f>
        <v>"6В01705 - Шетел тілі: екі шетел тілі (ағылшын)", В018-Шет тілі мұғалімдерін даярлау</v>
      </c>
      <c r="F115" s="5" t="str">
        <f>IF(ISBLANK(Лист1!F115),"",Лист1!F115)</f>
        <v>білім</v>
      </c>
      <c r="G115" s="5" t="str">
        <f>IF(ISBLANK(Лист1!G115),"",Лист1!G115)</f>
        <v>күндізгі</v>
      </c>
      <c r="H115" s="5" t="str">
        <f>IF(ISBLANK(Лист1!H115),"",Лист1!H115)</f>
        <v>Mailkhan  Ainur</v>
      </c>
      <c r="I115" s="5" t="str">
        <f>IF(ISBLANK(Лист1!I115),"",Лист1!I115)</f>
        <v>Education</v>
      </c>
      <c r="J115" s="5" t="str">
        <f>IF(ISBLANK(Лист1!J115),"",Лист1!J115)</f>
        <v>"6B01705 - Foreign language: two foreign languages (English)", B018-Training of foreign language teachers</v>
      </c>
      <c r="K115" s="5" t="str">
        <f>IF(ISBLANK(Лист1!K115),"",Лист1!K115)</f>
        <v>full-time</v>
      </c>
      <c r="L115" s="5" t="str">
        <f>IF(ISBLANK(Лист1!L115),"",Лист1!L115)</f>
        <v>21</v>
      </c>
      <c r="M115" s="5" t="str">
        <f>IF(ISBLANK(Лист1!M115),"",Лист1!M115)</f>
        <v>June</v>
      </c>
      <c r="N115" s="5" t="str">
        <f>IF(ISBLANK(Лист1!N115),"",Лист1!N115)</f>
        <v>21</v>
      </c>
      <c r="O115" s="5" t="str">
        <f>IF(ISBLANK(Лист1!O115),"",Лист1!O115)</f>
        <v>июня</v>
      </c>
      <c r="P115" s="5" t="str">
        <f>IF(ISBLANK(Лист1!P115),"",Лист1!P115)</f>
        <v>62</v>
      </c>
      <c r="Q115" s="5" t="str">
        <f>IF(ISBLANK(Лист1!Q115),"",Лист1!Q115)</f>
        <v xml:space="preserve">Майлхан  Айнұр  </v>
      </c>
      <c r="R115" s="5" t="str">
        <f>IF(ISBLANK(Лист1!R115),"",Лист1!R115)</f>
        <v>образования</v>
      </c>
      <c r="S115" s="5" t="str">
        <f>IF(ISBLANK(Лист1!S115),"",Лист1!S115)</f>
        <v>"6B01705 - Иностранный язык: два иностранных языка (английский)", В018-Подготовка учителей иностранного языка</v>
      </c>
      <c r="T115" s="5" t="str">
        <f>IF(ISBLANK(Лист1!T115),"",Лист1!T115)</f>
        <v>очное</v>
      </c>
      <c r="U115" s="5" t="str">
        <f>IF(ISBLANK(Лист1!U115),"",Лист1!U115)</f>
        <v/>
      </c>
      <c r="V115" s="5" t="str">
        <f>IF(ISBLANK(Лист1!V115),"",Лист1!V115)</f>
        <v>28</v>
      </c>
      <c r="W115" s="5" t="str">
        <f>IF(ISBLANK(Лист1!W115),"",Лист1!W115)</f>
        <v>маусым</v>
      </c>
      <c r="X115" s="5" t="str">
        <f>IF(ISBLANK(Лист1!X115),"",Лист1!X115)</f>
        <v>040429651380</v>
      </c>
      <c r="Y115" s="5" t="str">
        <f>IF(ISERROR(VLOOKUP($X115,Лист2!$A$2:$G$498,1,FALSE)),"",VLOOKUP($X115,Лист2!$A$2:$G$498,1,FALSE))</f>
        <v>040429651380</v>
      </c>
      <c r="Z115" s="5" t="str">
        <f>IF(ISERROR(VLOOKUP($X115,Лист2!$A$2:$L$498,9,FALSE)),"",VLOOKUP($X115,Лист2!$A$2:$L$498,9,FALSE))</f>
        <v>BD</v>
      </c>
      <c r="AA115" s="5" t="str">
        <f>IF(ISERROR(VLOOKUP($X115,Лист2!$A$2:$L$498,10,FALSE)),"",VLOOKUP($X115,Лист2!$A$2:$L$498,10,FALSE))</f>
        <v>00025654125</v>
      </c>
      <c r="AB115" s="5" t="str">
        <f>IF(ISERROR(VLOOKUP($X115,Лист2!$A$2:$M$498,13,FALSE)),"",VLOOKUP($X115,Лист2!$A$2:$M$498,13,FALSE))</f>
        <v>https://epvo.kz/#/verification_education_document?iin=040429651380&amp;diplomaSeries=BD&amp;diplomaNumber=00025654125</v>
      </c>
    </row>
    <row r="116" spans="1:28" x14ac:dyDescent="0.25">
      <c r="A116" s="5" t="str">
        <f>IF(ISBLANK(Лист1!A116),"",Лист1!A116)</f>
        <v>21</v>
      </c>
      <c r="B116" s="5" t="str">
        <f>IF(ISBLANK(Лист1!B116),"",Лист1!B116)</f>
        <v>маусымдағы</v>
      </c>
      <c r="C116" s="5" t="str">
        <f>IF(ISBLANK(Лист1!C116),"",Лист1!C116)</f>
        <v>54</v>
      </c>
      <c r="D116" s="5" t="str">
        <f>IF(ISBLANK(Лист1!D116),"",Лист1!D116)</f>
        <v>Майрамбаева  Аида  Прімханқызына</v>
      </c>
      <c r="E116" s="5" t="str">
        <f>IF(ISBLANK(Лист1!E116),"",Лист1!E116)</f>
        <v>"6В01705 - Шетел тілі: екі шетел тілі (ағылшын)", В018-Шет тілі мұғалімдерін даярлау</v>
      </c>
      <c r="F116" s="5" t="str">
        <f>IF(ISBLANK(Лист1!F116),"",Лист1!F116)</f>
        <v>білім</v>
      </c>
      <c r="G116" s="5" t="str">
        <f>IF(ISBLANK(Лист1!G116),"",Лист1!G116)</f>
        <v>күндізгі</v>
      </c>
      <c r="H116" s="5" t="str">
        <f>IF(ISBLANK(Лист1!H116),"",Лист1!H116)</f>
        <v>Mairambayeva  Aida</v>
      </c>
      <c r="I116" s="5" t="str">
        <f>IF(ISBLANK(Лист1!I116),"",Лист1!I116)</f>
        <v>Education</v>
      </c>
      <c r="J116" s="5" t="str">
        <f>IF(ISBLANK(Лист1!J116),"",Лист1!J116)</f>
        <v>"6B01705 - Foreign language: two foreign languages (English)", B018-Training of foreign language teachers</v>
      </c>
      <c r="K116" s="5" t="str">
        <f>IF(ISBLANK(Лист1!K116),"",Лист1!K116)</f>
        <v>full-time</v>
      </c>
      <c r="L116" s="5" t="str">
        <f>IF(ISBLANK(Лист1!L116),"",Лист1!L116)</f>
        <v>21</v>
      </c>
      <c r="M116" s="5" t="str">
        <f>IF(ISBLANK(Лист1!M116),"",Лист1!M116)</f>
        <v>June</v>
      </c>
      <c r="N116" s="5" t="str">
        <f>IF(ISBLANK(Лист1!N116),"",Лист1!N116)</f>
        <v>21</v>
      </c>
      <c r="O116" s="5" t="str">
        <f>IF(ISBLANK(Лист1!O116),"",Лист1!O116)</f>
        <v>июня</v>
      </c>
      <c r="P116" s="5" t="str">
        <f>IF(ISBLANK(Лист1!P116),"",Лист1!P116)</f>
        <v>54</v>
      </c>
      <c r="Q116" s="5" t="str">
        <f>IF(ISBLANK(Лист1!Q116),"",Лист1!Q116)</f>
        <v>Майрамбаева  Аида  Прімханқызы</v>
      </c>
      <c r="R116" s="5" t="str">
        <f>IF(ISBLANK(Лист1!R116),"",Лист1!R116)</f>
        <v>образования</v>
      </c>
      <c r="S116" s="5" t="str">
        <f>IF(ISBLANK(Лист1!S116),"",Лист1!S116)</f>
        <v>"6B01705 - Иностранный язык: два иностранных языка (английский)", В018-Подготовка учителей иностранного языка</v>
      </c>
      <c r="T116" s="5" t="str">
        <f>IF(ISBLANK(Лист1!T116),"",Лист1!T116)</f>
        <v>очное</v>
      </c>
      <c r="U116" s="5" t="str">
        <f>IF(ISBLANK(Лист1!U116),"",Лист1!U116)</f>
        <v/>
      </c>
      <c r="V116" s="5" t="str">
        <f>IF(ISBLANK(Лист1!V116),"",Лист1!V116)</f>
        <v>28</v>
      </c>
      <c r="W116" s="5" t="str">
        <f>IF(ISBLANK(Лист1!W116),"",Лист1!W116)</f>
        <v>маусым</v>
      </c>
      <c r="X116" s="5" t="str">
        <f>IF(ISBLANK(Лист1!X116),"",Лист1!X116)</f>
        <v>030910651363</v>
      </c>
      <c r="Y116" s="5" t="str">
        <f>IF(ISERROR(VLOOKUP($X116,Лист2!$A$2:$G$498,1,FALSE)),"",VLOOKUP($X116,Лист2!$A$2:$G$498,1,FALSE))</f>
        <v>030910651363</v>
      </c>
      <c r="Z116" s="5" t="str">
        <f>IF(ISERROR(VLOOKUP($X116,Лист2!$A$2:$L$498,9,FALSE)),"",VLOOKUP($X116,Лист2!$A$2:$L$498,9,FALSE))</f>
        <v>BD</v>
      </c>
      <c r="AA116" s="5" t="str">
        <f>IF(ISERROR(VLOOKUP($X116,Лист2!$A$2:$L$498,10,FALSE)),"",VLOOKUP($X116,Лист2!$A$2:$L$498,10,FALSE))</f>
        <v>00025654525</v>
      </c>
      <c r="AB116" s="5" t="str">
        <f>IF(ISERROR(VLOOKUP($X116,Лист2!$A$2:$M$498,13,FALSE)),"",VLOOKUP($X116,Лист2!$A$2:$M$498,13,FALSE))</f>
        <v>https://epvo.kz/#/verification_education_document?iin=030910651363&amp;diplomaSeries=BD&amp;diplomaNumber=00025654525</v>
      </c>
    </row>
    <row r="117" spans="1:28" x14ac:dyDescent="0.25">
      <c r="A117" s="5" t="str">
        <f>IF(ISBLANK(Лист1!A117),"",Лист1!A117)</f>
        <v>21</v>
      </c>
      <c r="B117" s="5" t="str">
        <f>IF(ISBLANK(Лист1!B117),"",Лист1!B117)</f>
        <v>маусымдағы</v>
      </c>
      <c r="C117" s="5" t="str">
        <f>IF(ISBLANK(Лист1!C117),"",Лист1!C117)</f>
        <v>55</v>
      </c>
      <c r="D117" s="5" t="str">
        <f>IF(ISBLANK(Лист1!D117),"",Лист1!D117)</f>
        <v>Малаева  Арайлым  Саяхатовнаға</v>
      </c>
      <c r="E117" s="5" t="str">
        <f>IF(ISBLANK(Лист1!E117),"",Лист1!E117)</f>
        <v>"6В01705 - Шетел тілі: екі шетел тілі (ағылшын)", В018-Шет тілі мұғалімдерін даярлау</v>
      </c>
      <c r="F117" s="5" t="str">
        <f>IF(ISBLANK(Лист1!F117),"",Лист1!F117)</f>
        <v>білім</v>
      </c>
      <c r="G117" s="5" t="str">
        <f>IF(ISBLANK(Лист1!G117),"",Лист1!G117)</f>
        <v>күндізгі</v>
      </c>
      <c r="H117" s="5" t="str">
        <f>IF(ISBLANK(Лист1!H117),"",Лист1!H117)</f>
        <v>Malayeva  Arailym</v>
      </c>
      <c r="I117" s="5" t="str">
        <f>IF(ISBLANK(Лист1!I117),"",Лист1!I117)</f>
        <v>Education</v>
      </c>
      <c r="J117" s="5" t="str">
        <f>IF(ISBLANK(Лист1!J117),"",Лист1!J117)</f>
        <v>"6B01705 - Foreign language: two foreign languages (English)", B018-Training of foreign language teachers</v>
      </c>
      <c r="K117" s="5" t="str">
        <f>IF(ISBLANK(Лист1!K117),"",Лист1!K117)</f>
        <v>full-time</v>
      </c>
      <c r="L117" s="5" t="str">
        <f>IF(ISBLANK(Лист1!L117),"",Лист1!L117)</f>
        <v>21</v>
      </c>
      <c r="M117" s="5" t="str">
        <f>IF(ISBLANK(Лист1!M117),"",Лист1!M117)</f>
        <v>June</v>
      </c>
      <c r="N117" s="5" t="str">
        <f>IF(ISBLANK(Лист1!N117),"",Лист1!N117)</f>
        <v>21</v>
      </c>
      <c r="O117" s="5" t="str">
        <f>IF(ISBLANK(Лист1!O117),"",Лист1!O117)</f>
        <v>июня</v>
      </c>
      <c r="P117" s="5" t="str">
        <f>IF(ISBLANK(Лист1!P117),"",Лист1!P117)</f>
        <v>55</v>
      </c>
      <c r="Q117" s="5" t="str">
        <f>IF(ISBLANK(Лист1!Q117),"",Лист1!Q117)</f>
        <v>Малаевой  Арайлым  Саяхатовне</v>
      </c>
      <c r="R117" s="5" t="str">
        <f>IF(ISBLANK(Лист1!R117),"",Лист1!R117)</f>
        <v>образования</v>
      </c>
      <c r="S117" s="5" t="str">
        <f>IF(ISBLANK(Лист1!S117),"",Лист1!S117)</f>
        <v>"6B01705 - Иностранный язык: два иностранных языка (английский)", В018-Подготовка учителей иностранного языка</v>
      </c>
      <c r="T117" s="5" t="str">
        <f>IF(ISBLANK(Лист1!T117),"",Лист1!T117)</f>
        <v>очное</v>
      </c>
      <c r="U117" s="5" t="str">
        <f>IF(ISBLANK(Лист1!U117),"",Лист1!U117)</f>
        <v/>
      </c>
      <c r="V117" s="5" t="str">
        <f>IF(ISBLANK(Лист1!V117),"",Лист1!V117)</f>
        <v>28</v>
      </c>
      <c r="W117" s="5" t="str">
        <f>IF(ISBLANK(Лист1!W117),"",Лист1!W117)</f>
        <v>маусым</v>
      </c>
      <c r="X117" s="5" t="str">
        <f>IF(ISBLANK(Лист1!X117),"",Лист1!X117)</f>
        <v>031002601036</v>
      </c>
      <c r="Y117" s="5" t="str">
        <f>IF(ISERROR(VLOOKUP($X117,Лист2!$A$2:$G$498,1,FALSE)),"",VLOOKUP($X117,Лист2!$A$2:$G$498,1,FALSE))</f>
        <v>031002601036</v>
      </c>
      <c r="Z117" s="5" t="str">
        <f>IF(ISERROR(VLOOKUP($X117,Лист2!$A$2:$L$498,9,FALSE)),"",VLOOKUP($X117,Лист2!$A$2:$L$498,9,FALSE))</f>
        <v>BD</v>
      </c>
      <c r="AA117" s="5" t="str">
        <f>IF(ISERROR(VLOOKUP($X117,Лист2!$A$2:$L$498,10,FALSE)),"",VLOOKUP($X117,Лист2!$A$2:$L$498,10,FALSE))</f>
        <v>00025654925</v>
      </c>
      <c r="AB117" s="5" t="str">
        <f>IF(ISERROR(VLOOKUP($X117,Лист2!$A$2:$M$498,13,FALSE)),"",VLOOKUP($X117,Лист2!$A$2:$M$498,13,FALSE))</f>
        <v>https://epvo.kz/#/verification_education_document?iin=031002601036&amp;diplomaSeries=BD&amp;diplomaNumber=00025654925</v>
      </c>
    </row>
    <row r="118" spans="1:28" x14ac:dyDescent="0.25">
      <c r="A118" s="5" t="str">
        <f>IF(ISBLANK(Лист1!A118),"",Лист1!A118)</f>
        <v>21</v>
      </c>
      <c r="B118" s="5" t="str">
        <f>IF(ISBLANK(Лист1!B118),"",Лист1!B118)</f>
        <v>маусымдағы</v>
      </c>
      <c r="C118" s="5" t="str">
        <f>IF(ISBLANK(Лист1!C118),"",Лист1!C118)</f>
        <v>56</v>
      </c>
      <c r="D118" s="5" t="str">
        <f>IF(ISBLANK(Лист1!D118),"",Лист1!D118)</f>
        <v>Малик  Аружан  Адылханқызына</v>
      </c>
      <c r="E118" s="5" t="str">
        <f>IF(ISBLANK(Лист1!E118),"",Лист1!E118)</f>
        <v>"6В01705 - Шетел тілі: екі шетел тілі (ағылшын)", В018-Шет тілі мұғалімдерін даярлау</v>
      </c>
      <c r="F118" s="5" t="str">
        <f>IF(ISBLANK(Лист1!F118),"",Лист1!F118)</f>
        <v>білім</v>
      </c>
      <c r="G118" s="5" t="str">
        <f>IF(ISBLANK(Лист1!G118),"",Лист1!G118)</f>
        <v>күндізгі</v>
      </c>
      <c r="H118" s="5" t="str">
        <f>IF(ISBLANK(Лист1!H118),"",Лист1!H118)</f>
        <v>Malik  Aruzhan</v>
      </c>
      <c r="I118" s="5" t="str">
        <f>IF(ISBLANK(Лист1!I118),"",Лист1!I118)</f>
        <v>Education</v>
      </c>
      <c r="J118" s="5" t="str">
        <f>IF(ISBLANK(Лист1!J118),"",Лист1!J118)</f>
        <v>"6B01705 - Foreign language: two foreign languages (English)", B018-Training of foreign language teachers</v>
      </c>
      <c r="K118" s="5" t="str">
        <f>IF(ISBLANK(Лист1!K118),"",Лист1!K118)</f>
        <v>full-time</v>
      </c>
      <c r="L118" s="5" t="str">
        <f>IF(ISBLANK(Лист1!L118),"",Лист1!L118)</f>
        <v>21</v>
      </c>
      <c r="M118" s="5" t="str">
        <f>IF(ISBLANK(Лист1!M118),"",Лист1!M118)</f>
        <v>June</v>
      </c>
      <c r="N118" s="5" t="str">
        <f>IF(ISBLANK(Лист1!N118),"",Лист1!N118)</f>
        <v>21</v>
      </c>
      <c r="O118" s="5" t="str">
        <f>IF(ISBLANK(Лист1!O118),"",Лист1!O118)</f>
        <v>июня</v>
      </c>
      <c r="P118" s="5" t="str">
        <f>IF(ISBLANK(Лист1!P118),"",Лист1!P118)</f>
        <v>56</v>
      </c>
      <c r="Q118" s="5" t="str">
        <f>IF(ISBLANK(Лист1!Q118),"",Лист1!Q118)</f>
        <v>Малик  Аружан  Адылханқызы</v>
      </c>
      <c r="R118" s="5" t="str">
        <f>IF(ISBLANK(Лист1!R118),"",Лист1!R118)</f>
        <v>образования</v>
      </c>
      <c r="S118" s="5" t="str">
        <f>IF(ISBLANK(Лист1!S118),"",Лист1!S118)</f>
        <v>"6B01705 - Иностранный язык: два иностранных языка (английский)", В018-Подготовка учителей иностранного языка</v>
      </c>
      <c r="T118" s="5" t="str">
        <f>IF(ISBLANK(Лист1!T118),"",Лист1!T118)</f>
        <v>очное</v>
      </c>
      <c r="U118" s="5" t="str">
        <f>IF(ISBLANK(Лист1!U118),"",Лист1!U118)</f>
        <v/>
      </c>
      <c r="V118" s="5" t="str">
        <f>IF(ISBLANK(Лист1!V118),"",Лист1!V118)</f>
        <v>28</v>
      </c>
      <c r="W118" s="5" t="str">
        <f>IF(ISBLANK(Лист1!W118),"",Лист1!W118)</f>
        <v>маусым</v>
      </c>
      <c r="X118" s="5" t="str">
        <f>IF(ISBLANK(Лист1!X118),"",Лист1!X118)</f>
        <v>031220600221</v>
      </c>
      <c r="Y118" s="5" t="str">
        <f>IF(ISERROR(VLOOKUP($X118,Лист2!$A$2:$G$498,1,FALSE)),"",VLOOKUP($X118,Лист2!$A$2:$G$498,1,FALSE))</f>
        <v>031220600221</v>
      </c>
      <c r="Z118" s="5" t="str">
        <f>IF(ISERROR(VLOOKUP($X118,Лист2!$A$2:$L$498,9,FALSE)),"",VLOOKUP($X118,Лист2!$A$2:$L$498,9,FALSE))</f>
        <v>BD</v>
      </c>
      <c r="AA118" s="5" t="str">
        <f>IF(ISERROR(VLOOKUP($X118,Лист2!$A$2:$L$498,10,FALSE)),"",VLOOKUP($X118,Лист2!$A$2:$L$498,10,FALSE))</f>
        <v>00025690225</v>
      </c>
      <c r="AB118" s="5" t="str">
        <f>IF(ISERROR(VLOOKUP($X118,Лист2!$A$2:$M$498,13,FALSE)),"",VLOOKUP($X118,Лист2!$A$2:$M$498,13,FALSE))</f>
        <v>https://epvo.kz/#/verification_education_document?iin=031220600221&amp;diplomaSeries=BD&amp;diplomaNumber=00025690225</v>
      </c>
    </row>
    <row r="119" spans="1:28" x14ac:dyDescent="0.25">
      <c r="A119" s="5" t="str">
        <f>IF(ISBLANK(Лист1!A119),"",Лист1!A119)</f>
        <v>21</v>
      </c>
      <c r="B119" s="5" t="str">
        <f>IF(ISBLANK(Лист1!B119),"",Лист1!B119)</f>
        <v>маусымдағы</v>
      </c>
      <c r="C119" s="5" t="str">
        <f>IF(ISBLANK(Лист1!C119),"",Лист1!C119)</f>
        <v>241</v>
      </c>
      <c r="D119" s="5" t="str">
        <f>IF(ISBLANK(Лист1!D119),"",Лист1!D119)</f>
        <v>Маратқызы  Сәнияға</v>
      </c>
      <c r="E119" s="5" t="str">
        <f>IF(ISBLANK(Лист1!E119),"",Лист1!E119)</f>
        <v>"6В01705 - Шетел тілі: екі шетел тілі (ағылшын)", В018-Шет тілі мұғалімдерін даярлау</v>
      </c>
      <c r="F119" s="5" t="str">
        <f>IF(ISBLANK(Лист1!F119),"",Лист1!F119)</f>
        <v>білім</v>
      </c>
      <c r="G119" s="5" t="str">
        <f>IF(ISBLANK(Лист1!G119),"",Лист1!G119)</f>
        <v>күндізгі</v>
      </c>
      <c r="H119" s="5" t="str">
        <f>IF(ISBLANK(Лист1!H119),"",Лист1!H119)</f>
        <v>Maratkyzy  Saniya</v>
      </c>
      <c r="I119" s="5" t="str">
        <f>IF(ISBLANK(Лист1!I119),"",Лист1!I119)</f>
        <v>Education</v>
      </c>
      <c r="J119" s="5" t="str">
        <f>IF(ISBLANK(Лист1!J119),"",Лист1!J119)</f>
        <v>"6B01705 - Foreign language: two foreign languages (English)", B018-Training of foreign language teachers</v>
      </c>
      <c r="K119" s="5" t="str">
        <f>IF(ISBLANK(Лист1!K119),"",Лист1!K119)</f>
        <v>full-time</v>
      </c>
      <c r="L119" s="5" t="str">
        <f>IF(ISBLANK(Лист1!L119),"",Лист1!L119)</f>
        <v>21</v>
      </c>
      <c r="M119" s="5" t="str">
        <f>IF(ISBLANK(Лист1!M119),"",Лист1!M119)</f>
        <v>June</v>
      </c>
      <c r="N119" s="5" t="str">
        <f>IF(ISBLANK(Лист1!N119),"",Лист1!N119)</f>
        <v>21</v>
      </c>
      <c r="O119" s="5" t="str">
        <f>IF(ISBLANK(Лист1!O119),"",Лист1!O119)</f>
        <v>июня</v>
      </c>
      <c r="P119" s="5" t="str">
        <f>IF(ISBLANK(Лист1!P119),"",Лист1!P119)</f>
        <v>241</v>
      </c>
      <c r="Q119" s="5" t="str">
        <f>IF(ISBLANK(Лист1!Q119),"",Лист1!Q119)</f>
        <v xml:space="preserve">Маратқызы  Сәния  </v>
      </c>
      <c r="R119" s="5" t="str">
        <f>IF(ISBLANK(Лист1!R119),"",Лист1!R119)</f>
        <v>образования</v>
      </c>
      <c r="S119" s="5" t="str">
        <f>IF(ISBLANK(Лист1!S119),"",Лист1!S119)</f>
        <v>"6B01705 - Иностранный язык: два иностранных языка (английский)", В018-Подготовка учителей иностранного языка</v>
      </c>
      <c r="T119" s="5" t="str">
        <f>IF(ISBLANK(Лист1!T119),"",Лист1!T119)</f>
        <v>очное</v>
      </c>
      <c r="U119" s="5" t="str">
        <f>IF(ISBLANK(Лист1!U119),"",Лист1!U119)</f>
        <v/>
      </c>
      <c r="V119" s="5" t="str">
        <f>IF(ISBLANK(Лист1!V119),"",Лист1!V119)</f>
        <v>28</v>
      </c>
      <c r="W119" s="5" t="str">
        <f>IF(ISBLANK(Лист1!W119),"",Лист1!W119)</f>
        <v>маусым</v>
      </c>
      <c r="X119" s="5" t="str">
        <f>IF(ISBLANK(Лист1!X119),"",Лист1!X119)</f>
        <v>031028600199</v>
      </c>
      <c r="Y119" s="5" t="str">
        <f>IF(ISERROR(VLOOKUP($X119,Лист2!$A$2:$G$498,1,FALSE)),"",VLOOKUP($X119,Лист2!$A$2:$G$498,1,FALSE))</f>
        <v>031028600199</v>
      </c>
      <c r="Z119" s="5" t="str">
        <f>IF(ISERROR(VLOOKUP($X119,Лист2!$A$2:$L$498,9,FALSE)),"",VLOOKUP($X119,Лист2!$A$2:$L$498,9,FALSE))</f>
        <v>BD</v>
      </c>
      <c r="AA119" s="5" t="str">
        <f>IF(ISERROR(VLOOKUP($X119,Лист2!$A$2:$L$498,10,FALSE)),"",VLOOKUP($X119,Лист2!$A$2:$L$498,10,FALSE))</f>
        <v>00025690325</v>
      </c>
      <c r="AB119" s="5" t="str">
        <f>IF(ISERROR(VLOOKUP($X119,Лист2!$A$2:$M$498,13,FALSE)),"",VLOOKUP($X119,Лист2!$A$2:$M$498,13,FALSE))</f>
        <v>https://epvo.kz/#/verification_education_document?iin=031028600199&amp;diplomaSeries=BD&amp;diplomaNumber=00025690325</v>
      </c>
    </row>
    <row r="120" spans="1:28" x14ac:dyDescent="0.25">
      <c r="A120" s="5" t="str">
        <f>IF(ISBLANK(Лист1!A120),"",Лист1!A120)</f>
        <v>21</v>
      </c>
      <c r="B120" s="5" t="str">
        <f>IF(ISBLANK(Лист1!B120),"",Лист1!B120)</f>
        <v>маусымдағы</v>
      </c>
      <c r="C120" s="5" t="str">
        <f>IF(ISBLANK(Лист1!C120),"",Лист1!C120)</f>
        <v>57</v>
      </c>
      <c r="D120" s="5" t="str">
        <f>IF(ISBLANK(Лист1!D120),"",Лист1!D120)</f>
        <v>Махатбек  Әсем  Сакенқызына</v>
      </c>
      <c r="E120" s="5" t="str">
        <f>IF(ISBLANK(Лист1!E120),"",Лист1!E120)</f>
        <v>"6В01705 - Шетел тілі: екі шетел тілі (ағылшын)", В018-Шет тілі мұғалімдерін даярлау</v>
      </c>
      <c r="F120" s="5" t="str">
        <f>IF(ISBLANK(Лист1!F120),"",Лист1!F120)</f>
        <v>білім</v>
      </c>
      <c r="G120" s="5" t="str">
        <f>IF(ISBLANK(Лист1!G120),"",Лист1!G120)</f>
        <v>күндізгі</v>
      </c>
      <c r="H120" s="5" t="str">
        <f>IF(ISBLANK(Лист1!H120),"",Лист1!H120)</f>
        <v>Makhatbek  Assem</v>
      </c>
      <c r="I120" s="5" t="str">
        <f>IF(ISBLANK(Лист1!I120),"",Лист1!I120)</f>
        <v>Education</v>
      </c>
      <c r="J120" s="5" t="str">
        <f>IF(ISBLANK(Лист1!J120),"",Лист1!J120)</f>
        <v>"6B01705 - Foreign language: two foreign languages (English)", B018-Training of foreign language teachers</v>
      </c>
      <c r="K120" s="5" t="str">
        <f>IF(ISBLANK(Лист1!K120),"",Лист1!K120)</f>
        <v>full-time</v>
      </c>
      <c r="L120" s="5" t="str">
        <f>IF(ISBLANK(Лист1!L120),"",Лист1!L120)</f>
        <v>21</v>
      </c>
      <c r="M120" s="5" t="str">
        <f>IF(ISBLANK(Лист1!M120),"",Лист1!M120)</f>
        <v>June</v>
      </c>
      <c r="N120" s="5" t="str">
        <f>IF(ISBLANK(Лист1!N120),"",Лист1!N120)</f>
        <v>21</v>
      </c>
      <c r="O120" s="5" t="str">
        <f>IF(ISBLANK(Лист1!O120),"",Лист1!O120)</f>
        <v>июня</v>
      </c>
      <c r="P120" s="5" t="str">
        <f>IF(ISBLANK(Лист1!P120),"",Лист1!P120)</f>
        <v>57</v>
      </c>
      <c r="Q120" s="5" t="str">
        <f>IF(ISBLANK(Лист1!Q120),"",Лист1!Q120)</f>
        <v>Махатбек  Әсем  Сакенқызы</v>
      </c>
      <c r="R120" s="5" t="str">
        <f>IF(ISBLANK(Лист1!R120),"",Лист1!R120)</f>
        <v>образования</v>
      </c>
      <c r="S120" s="5" t="str">
        <f>IF(ISBLANK(Лист1!S120),"",Лист1!S120)</f>
        <v>"6B01705 - Иностранный язык: два иностранных языка (английский)", В018-Подготовка учителей иностранного языка</v>
      </c>
      <c r="T120" s="5" t="str">
        <f>IF(ISBLANK(Лист1!T120),"",Лист1!T120)</f>
        <v>очное</v>
      </c>
      <c r="U120" s="5" t="str">
        <f>IF(ISBLANK(Лист1!U120),"",Лист1!U120)</f>
        <v/>
      </c>
      <c r="V120" s="5" t="str">
        <f>IF(ISBLANK(Лист1!V120),"",Лист1!V120)</f>
        <v>28</v>
      </c>
      <c r="W120" s="5" t="str">
        <f>IF(ISBLANK(Лист1!W120),"",Лист1!W120)</f>
        <v>маусым</v>
      </c>
      <c r="X120" s="5" t="str">
        <f>IF(ISBLANK(Лист1!X120),"",Лист1!X120)</f>
        <v>040517601035</v>
      </c>
      <c r="Y120" s="5" t="str">
        <f>IF(ISERROR(VLOOKUP($X120,Лист2!$A$2:$G$498,1,FALSE)),"",VLOOKUP($X120,Лист2!$A$2:$G$498,1,FALSE))</f>
        <v>040517601035</v>
      </c>
      <c r="Z120" s="5" t="str">
        <f>IF(ISERROR(VLOOKUP($X120,Лист2!$A$2:$L$498,9,FALSE)),"",VLOOKUP($X120,Лист2!$A$2:$L$498,9,FALSE))</f>
        <v>BD</v>
      </c>
      <c r="AA120" s="5" t="str">
        <f>IF(ISERROR(VLOOKUP($X120,Лист2!$A$2:$L$498,10,FALSE)),"",VLOOKUP($X120,Лист2!$A$2:$L$498,10,FALSE))</f>
        <v>00025690625</v>
      </c>
      <c r="AB120" s="5" t="str">
        <f>IF(ISERROR(VLOOKUP($X120,Лист2!$A$2:$M$498,13,FALSE)),"",VLOOKUP($X120,Лист2!$A$2:$M$498,13,FALSE))</f>
        <v>https://epvo.kz/#/verification_education_document?iin=040517601035&amp;diplomaSeries=BD&amp;diplomaNumber=00025690625</v>
      </c>
    </row>
    <row r="121" spans="1:28" x14ac:dyDescent="0.25">
      <c r="A121" s="5" t="str">
        <f>IF(ISBLANK(Лист1!A121),"",Лист1!A121)</f>
        <v>21</v>
      </c>
      <c r="B121" s="5" t="str">
        <f>IF(ISBLANK(Лист1!B121),"",Лист1!B121)</f>
        <v>маусымдағы</v>
      </c>
      <c r="C121" s="5" t="str">
        <f>IF(ISBLANK(Лист1!C121),"",Лист1!C121)</f>
        <v>217</v>
      </c>
      <c r="D121" s="5" t="str">
        <f>IF(ISBLANK(Лист1!D121),"",Лист1!D121)</f>
        <v>Мейрамова  Жарқынай  Бейбітқызына</v>
      </c>
      <c r="E121" s="5" t="str">
        <f>IF(ISBLANK(Лист1!E121),"",Лист1!E121)</f>
        <v>"6В01705 - Шетел тілі: екі шетел тілі (ағылшын)", В018-Шет тілі мұғалімдерін даярлау</v>
      </c>
      <c r="F121" s="5" t="str">
        <f>IF(ISBLANK(Лист1!F121),"",Лист1!F121)</f>
        <v>білім</v>
      </c>
      <c r="G121" s="5" t="str">
        <f>IF(ISBLANK(Лист1!G121),"",Лист1!G121)</f>
        <v>күндізгі</v>
      </c>
      <c r="H121" s="5" t="str">
        <f>IF(ISBLANK(Лист1!H121),"",Лист1!H121)</f>
        <v>Meiramova  Zharkynay</v>
      </c>
      <c r="I121" s="5" t="str">
        <f>IF(ISBLANK(Лист1!I121),"",Лист1!I121)</f>
        <v>Education</v>
      </c>
      <c r="J121" s="5" t="str">
        <f>IF(ISBLANK(Лист1!J121),"",Лист1!J121)</f>
        <v>"6B01705 - Foreign language: two foreign languages (English)", B018-Training of foreign language teachers</v>
      </c>
      <c r="K121" s="5" t="str">
        <f>IF(ISBLANK(Лист1!K121),"",Лист1!K121)</f>
        <v>full-time</v>
      </c>
      <c r="L121" s="5" t="str">
        <f>IF(ISBLANK(Лист1!L121),"",Лист1!L121)</f>
        <v>21</v>
      </c>
      <c r="M121" s="5" t="str">
        <f>IF(ISBLANK(Лист1!M121),"",Лист1!M121)</f>
        <v>June</v>
      </c>
      <c r="N121" s="5" t="str">
        <f>IF(ISBLANK(Лист1!N121),"",Лист1!N121)</f>
        <v>21</v>
      </c>
      <c r="O121" s="5" t="str">
        <f>IF(ISBLANK(Лист1!O121),"",Лист1!O121)</f>
        <v>июня</v>
      </c>
      <c r="P121" s="5" t="str">
        <f>IF(ISBLANK(Лист1!P121),"",Лист1!P121)</f>
        <v>217</v>
      </c>
      <c r="Q121" s="5" t="str">
        <f>IF(ISBLANK(Лист1!Q121),"",Лист1!Q121)</f>
        <v>Мейрамова  Жарқынай  Бейбітқызы</v>
      </c>
      <c r="R121" s="5" t="str">
        <f>IF(ISBLANK(Лист1!R121),"",Лист1!R121)</f>
        <v>образования</v>
      </c>
      <c r="S121" s="5" t="str">
        <f>IF(ISBLANK(Лист1!S121),"",Лист1!S121)</f>
        <v>"6B01705 - Иностранный язык: два иностранных языка (английский)", В018-Подготовка учителей иностранного языка</v>
      </c>
      <c r="T121" s="5" t="str">
        <f>IF(ISBLANK(Лист1!T121),"",Лист1!T121)</f>
        <v>очное</v>
      </c>
      <c r="U121" s="5" t="str">
        <f>IF(ISBLANK(Лист1!U121),"",Лист1!U121)</f>
        <v/>
      </c>
      <c r="V121" s="5" t="str">
        <f>IF(ISBLANK(Лист1!V121),"",Лист1!V121)</f>
        <v>28</v>
      </c>
      <c r="W121" s="5" t="str">
        <f>IF(ISBLANK(Лист1!W121),"",Лист1!W121)</f>
        <v>маусым</v>
      </c>
      <c r="X121" s="5" t="str">
        <f>IF(ISBLANK(Лист1!X121),"",Лист1!X121)</f>
        <v>040208650192</v>
      </c>
      <c r="Y121" s="5" t="str">
        <f>IF(ISERROR(VLOOKUP($X121,Лист2!$A$2:$G$498,1,FALSE)),"",VLOOKUP($X121,Лист2!$A$2:$G$498,1,FALSE))</f>
        <v>040208650192</v>
      </c>
      <c r="Z121" s="5" t="str">
        <f>IF(ISERROR(VLOOKUP($X121,Лист2!$A$2:$L$498,9,FALSE)),"",VLOOKUP($X121,Лист2!$A$2:$L$498,9,FALSE))</f>
        <v>BD</v>
      </c>
      <c r="AA121" s="5" t="str">
        <f>IF(ISERROR(VLOOKUP($X121,Лист2!$A$2:$L$498,10,FALSE)),"",VLOOKUP($X121,Лист2!$A$2:$L$498,10,FALSE))</f>
        <v>00025656425</v>
      </c>
      <c r="AB121" s="5" t="str">
        <f>IF(ISERROR(VLOOKUP($X121,Лист2!$A$2:$M$498,13,FALSE)),"",VLOOKUP($X121,Лист2!$A$2:$M$498,13,FALSE))</f>
        <v>https://epvo.kz/#/verification_education_document?iin=040208650192&amp;diplomaSeries=BD&amp;diplomaNumber=00025656425</v>
      </c>
    </row>
    <row r="122" spans="1:28" x14ac:dyDescent="0.25">
      <c r="A122" s="5" t="str">
        <f>IF(ISBLANK(Лист1!A122),"",Лист1!A122)</f>
        <v>21</v>
      </c>
      <c r="B122" s="5" t="str">
        <f>IF(ISBLANK(Лист1!B122),"",Лист1!B122)</f>
        <v>маусымдағы</v>
      </c>
      <c r="C122" s="5" t="str">
        <f>IF(ISBLANK(Лист1!C122),"",Лист1!C122)</f>
        <v>110</v>
      </c>
      <c r="D122" s="5" t="str">
        <f>IF(ISBLANK(Лист1!D122),"",Лист1!D122)</f>
        <v>Молдан  Ерсұлтан  Қуанышұлына</v>
      </c>
      <c r="E122" s="5" t="str">
        <f>IF(ISBLANK(Лист1!E122),"",Лист1!E122)</f>
        <v>"6В01705 - Шетел тілі: екі шетел тілі (ағылшын)", В018-Шет тілі мұғалімдерін даярлау</v>
      </c>
      <c r="F122" s="5" t="str">
        <f>IF(ISBLANK(Лист1!F122),"",Лист1!F122)</f>
        <v>білім</v>
      </c>
      <c r="G122" s="5" t="str">
        <f>IF(ISBLANK(Лист1!G122),"",Лист1!G122)</f>
        <v>күндізгі</v>
      </c>
      <c r="H122" s="5" t="str">
        <f>IF(ISBLANK(Лист1!H122),"",Лист1!H122)</f>
        <v>Moldan  Yersultan</v>
      </c>
      <c r="I122" s="5" t="str">
        <f>IF(ISBLANK(Лист1!I122),"",Лист1!I122)</f>
        <v>Education</v>
      </c>
      <c r="J122" s="5" t="str">
        <f>IF(ISBLANK(Лист1!J122),"",Лист1!J122)</f>
        <v>"6B01705 - Foreign language: two foreign languages (English)", B018-Training of foreign language teachers</v>
      </c>
      <c r="K122" s="5" t="str">
        <f>IF(ISBLANK(Лист1!K122),"",Лист1!K122)</f>
        <v>full-time</v>
      </c>
      <c r="L122" s="5" t="str">
        <f>IF(ISBLANK(Лист1!L122),"",Лист1!L122)</f>
        <v>21</v>
      </c>
      <c r="M122" s="5" t="str">
        <f>IF(ISBLANK(Лист1!M122),"",Лист1!M122)</f>
        <v>June</v>
      </c>
      <c r="N122" s="5" t="str">
        <f>IF(ISBLANK(Лист1!N122),"",Лист1!N122)</f>
        <v>21</v>
      </c>
      <c r="O122" s="5" t="str">
        <f>IF(ISBLANK(Лист1!O122),"",Лист1!O122)</f>
        <v>июня</v>
      </c>
      <c r="P122" s="5" t="str">
        <f>IF(ISBLANK(Лист1!P122),"",Лист1!P122)</f>
        <v>110</v>
      </c>
      <c r="Q122" s="5" t="str">
        <f>IF(ISBLANK(Лист1!Q122),"",Лист1!Q122)</f>
        <v>Молдан  Ерсұлтан  Қуанышұлы</v>
      </c>
      <c r="R122" s="5" t="str">
        <f>IF(ISBLANK(Лист1!R122),"",Лист1!R122)</f>
        <v>образования</v>
      </c>
      <c r="S122" s="5" t="str">
        <f>IF(ISBLANK(Лист1!S122),"",Лист1!S122)</f>
        <v>"6B01705 - Иностранный язык: два иностранных языка (английский)", В018-Подготовка учителей иностранного языка</v>
      </c>
      <c r="T122" s="5" t="str">
        <f>IF(ISBLANK(Лист1!T122),"",Лист1!T122)</f>
        <v>очное</v>
      </c>
      <c r="U122" s="5" t="str">
        <f>IF(ISBLANK(Лист1!U122),"",Лист1!U122)</f>
        <v/>
      </c>
      <c r="V122" s="5" t="str">
        <f>IF(ISBLANK(Лист1!V122),"",Лист1!V122)</f>
        <v>28</v>
      </c>
      <c r="W122" s="5" t="str">
        <f>IF(ISBLANK(Лист1!W122),"",Лист1!W122)</f>
        <v>маусым</v>
      </c>
      <c r="X122" s="5" t="str">
        <f>IF(ISBLANK(Лист1!X122),"",Лист1!X122)</f>
        <v>040521500578</v>
      </c>
      <c r="Y122" s="5" t="str">
        <f>IF(ISERROR(VLOOKUP($X122,Лист2!$A$2:$G$498,1,FALSE)),"",VLOOKUP($X122,Лист2!$A$2:$G$498,1,FALSE))</f>
        <v>040521500578</v>
      </c>
      <c r="Z122" s="5" t="str">
        <f>IF(ISERROR(VLOOKUP($X122,Лист2!$A$2:$L$498,9,FALSE)),"",VLOOKUP($X122,Лист2!$A$2:$L$498,9,FALSE))</f>
        <v>BD</v>
      </c>
      <c r="AA122" s="5" t="str">
        <f>IF(ISERROR(VLOOKUP($X122,Лист2!$A$2:$L$498,10,FALSE)),"",VLOOKUP($X122,Лист2!$A$2:$L$498,10,FALSE))</f>
        <v>00025656725</v>
      </c>
      <c r="AB122" s="5" t="str">
        <f>IF(ISERROR(VLOOKUP($X122,Лист2!$A$2:$M$498,13,FALSE)),"",VLOOKUP($X122,Лист2!$A$2:$M$498,13,FALSE))</f>
        <v>https://epvo.kz/#/verification_education_document?iin=040521500578&amp;diplomaSeries=BD&amp;diplomaNumber=00025656725</v>
      </c>
    </row>
    <row r="123" spans="1:28" x14ac:dyDescent="0.25">
      <c r="A123" s="5" t="str">
        <f>IF(ISBLANK(Лист1!A123),"",Лист1!A123)</f>
        <v>21</v>
      </c>
      <c r="B123" s="5" t="str">
        <f>IF(ISBLANK(Лист1!B123),"",Лист1!B123)</f>
        <v>маусымдағы</v>
      </c>
      <c r="C123" s="5" t="str">
        <f>IF(ISBLANK(Лист1!C123),"",Лист1!C123)</f>
        <v>95</v>
      </c>
      <c r="D123" s="5" t="str">
        <f>IF(ISBLANK(Лист1!D123),"",Лист1!D123)</f>
        <v>Мукатаева  Дияра  Саябековнаға</v>
      </c>
      <c r="E123" s="5" t="str">
        <f>IF(ISBLANK(Лист1!E123),"",Лист1!E123)</f>
        <v>"6В01705 - Шетел тілі: екі шетел тілі (ағылшын)", В018-Шет тілі мұғалімдерін даярлау</v>
      </c>
      <c r="F123" s="5" t="str">
        <f>IF(ISBLANK(Лист1!F123),"",Лист1!F123)</f>
        <v>білім</v>
      </c>
      <c r="G123" s="5" t="str">
        <f>IF(ISBLANK(Лист1!G123),"",Лист1!G123)</f>
        <v>күндізгі</v>
      </c>
      <c r="H123" s="5" t="str">
        <f>IF(ISBLANK(Лист1!H123),"",Лист1!H123)</f>
        <v>Mukatayeva  Diyara</v>
      </c>
      <c r="I123" s="5" t="str">
        <f>IF(ISBLANK(Лист1!I123),"",Лист1!I123)</f>
        <v>Education</v>
      </c>
      <c r="J123" s="5" t="str">
        <f>IF(ISBLANK(Лист1!J123),"",Лист1!J123)</f>
        <v>"6B01705 - Foreign language: two foreign languages (English)", B018-Training of foreign language teachers</v>
      </c>
      <c r="K123" s="5" t="str">
        <f>IF(ISBLANK(Лист1!K123),"",Лист1!K123)</f>
        <v>full-time</v>
      </c>
      <c r="L123" s="5" t="str">
        <f>IF(ISBLANK(Лист1!L123),"",Лист1!L123)</f>
        <v>21</v>
      </c>
      <c r="M123" s="5" t="str">
        <f>IF(ISBLANK(Лист1!M123),"",Лист1!M123)</f>
        <v>June</v>
      </c>
      <c r="N123" s="5" t="str">
        <f>IF(ISBLANK(Лист1!N123),"",Лист1!N123)</f>
        <v>21</v>
      </c>
      <c r="O123" s="5" t="str">
        <f>IF(ISBLANK(Лист1!O123),"",Лист1!O123)</f>
        <v>июня</v>
      </c>
      <c r="P123" s="5" t="str">
        <f>IF(ISBLANK(Лист1!P123),"",Лист1!P123)</f>
        <v>95</v>
      </c>
      <c r="Q123" s="5" t="str">
        <f>IF(ISBLANK(Лист1!Q123),"",Лист1!Q123)</f>
        <v>Мукатаевой  Дияре  Саябековне</v>
      </c>
      <c r="R123" s="5" t="str">
        <f>IF(ISBLANK(Лист1!R123),"",Лист1!R123)</f>
        <v>образования</v>
      </c>
      <c r="S123" s="5" t="str">
        <f>IF(ISBLANK(Лист1!S123),"",Лист1!S123)</f>
        <v>"6B01705 - Иностранный язык: два иностранных языка (английский)", В018-Подготовка учителей иностранного языка</v>
      </c>
      <c r="T123" s="5" t="str">
        <f>IF(ISBLANK(Лист1!T123),"",Лист1!T123)</f>
        <v>очное</v>
      </c>
      <c r="U123" s="5" t="str">
        <f>IF(ISBLANK(Лист1!U123),"",Лист1!U123)</f>
        <v/>
      </c>
      <c r="V123" s="5" t="str">
        <f>IF(ISBLANK(Лист1!V123),"",Лист1!V123)</f>
        <v>28</v>
      </c>
      <c r="W123" s="5" t="str">
        <f>IF(ISBLANK(Лист1!W123),"",Лист1!W123)</f>
        <v>маусым</v>
      </c>
      <c r="X123" s="5" t="str">
        <f>IF(ISBLANK(Лист1!X123),"",Лист1!X123)</f>
        <v>030711651629</v>
      </c>
      <c r="Y123" s="5" t="str">
        <f>IF(ISERROR(VLOOKUP($X123,Лист2!$A$2:$G$498,1,FALSE)),"",VLOOKUP($X123,Лист2!$A$2:$G$498,1,FALSE))</f>
        <v>030711651629</v>
      </c>
      <c r="Z123" s="5" t="str">
        <f>IF(ISERROR(VLOOKUP($X123,Лист2!$A$2:$L$498,9,FALSE)),"",VLOOKUP($X123,Лист2!$A$2:$L$498,9,FALSE))</f>
        <v>BD</v>
      </c>
      <c r="AA123" s="5" t="str">
        <f>IF(ISERROR(VLOOKUP($X123,Лист2!$A$2:$L$498,10,FALSE)),"",VLOOKUP($X123,Лист2!$A$2:$L$498,10,FALSE))</f>
        <v>00025656925</v>
      </c>
      <c r="AB123" s="5" t="str">
        <f>IF(ISERROR(VLOOKUP($X123,Лист2!$A$2:$M$498,13,FALSE)),"",VLOOKUP($X123,Лист2!$A$2:$M$498,13,FALSE))</f>
        <v>https://epvo.kz/#/verification_education_document?iin=030711651629&amp;diplomaSeries=BD&amp;diplomaNumber=00025656925</v>
      </c>
    </row>
    <row r="124" spans="1:28" x14ac:dyDescent="0.25">
      <c r="A124" s="5" t="str">
        <f>IF(ISBLANK(Лист1!A124),"",Лист1!A124)</f>
        <v>21</v>
      </c>
      <c r="B124" s="5" t="str">
        <f>IF(ISBLANK(Лист1!B124),"",Лист1!B124)</f>
        <v>маусымдағы</v>
      </c>
      <c r="C124" s="5" t="str">
        <f>IF(ISBLANK(Лист1!C124),"",Лист1!C124)</f>
        <v>31</v>
      </c>
      <c r="D124" s="5" t="str">
        <f>IF(ISBLANK(Лист1!D124),"",Лист1!D124)</f>
        <v>Мукушева  Дарина  Жоламановнаға</v>
      </c>
      <c r="E124" s="5" t="str">
        <f>IF(ISBLANK(Лист1!E124),"",Лист1!E124)</f>
        <v>"6В01705 - Шетел тілі: екі шетел тілі (ағылшын)", В018-Шет тілі мұғалімдерін даярлау</v>
      </c>
      <c r="F124" s="5" t="str">
        <f>IF(ISBLANK(Лист1!F124),"",Лист1!F124)</f>
        <v>білім</v>
      </c>
      <c r="G124" s="5" t="str">
        <f>IF(ISBLANK(Лист1!G124),"",Лист1!G124)</f>
        <v>күндізгі</v>
      </c>
      <c r="H124" s="5" t="str">
        <f>IF(ISBLANK(Лист1!H124),"",Лист1!H124)</f>
        <v>Mukusheva  Darina</v>
      </c>
      <c r="I124" s="5" t="str">
        <f>IF(ISBLANK(Лист1!I124),"",Лист1!I124)</f>
        <v>Education</v>
      </c>
      <c r="J124" s="5" t="str">
        <f>IF(ISBLANK(Лист1!J124),"",Лист1!J124)</f>
        <v>"6B01705 - Foreign language: two foreign languages (English)", B018-Training of foreign language teachers</v>
      </c>
      <c r="K124" s="5" t="str">
        <f>IF(ISBLANK(Лист1!K124),"",Лист1!K124)</f>
        <v>full-time</v>
      </c>
      <c r="L124" s="5" t="str">
        <f>IF(ISBLANK(Лист1!L124),"",Лист1!L124)</f>
        <v>21</v>
      </c>
      <c r="M124" s="5" t="str">
        <f>IF(ISBLANK(Лист1!M124),"",Лист1!M124)</f>
        <v>June</v>
      </c>
      <c r="N124" s="5" t="str">
        <f>IF(ISBLANK(Лист1!N124),"",Лист1!N124)</f>
        <v>21</v>
      </c>
      <c r="O124" s="5" t="str">
        <f>IF(ISBLANK(Лист1!O124),"",Лист1!O124)</f>
        <v>июня</v>
      </c>
      <c r="P124" s="5" t="str">
        <f>IF(ISBLANK(Лист1!P124),"",Лист1!P124)</f>
        <v>31</v>
      </c>
      <c r="Q124" s="5" t="str">
        <f>IF(ISBLANK(Лист1!Q124),"",Лист1!Q124)</f>
        <v>Мукушевой  Дарине  Жоламановне</v>
      </c>
      <c r="R124" s="5" t="str">
        <f>IF(ISBLANK(Лист1!R124),"",Лист1!R124)</f>
        <v>образования</v>
      </c>
      <c r="S124" s="5" t="str">
        <f>IF(ISBLANK(Лист1!S124),"",Лист1!S124)</f>
        <v>"6B01705 - Иностранный язык: два иностранных языка (английский)", В018-Подготовка учителей иностранного языка</v>
      </c>
      <c r="T124" s="5" t="str">
        <f>IF(ISBLANK(Лист1!T124),"",Лист1!T124)</f>
        <v>очное</v>
      </c>
      <c r="U124" s="5" t="str">
        <f>IF(ISBLANK(Лист1!U124),"",Лист1!U124)</f>
        <v/>
      </c>
      <c r="V124" s="5" t="str">
        <f>IF(ISBLANK(Лист1!V124),"",Лист1!V124)</f>
        <v>28</v>
      </c>
      <c r="W124" s="5" t="str">
        <f>IF(ISBLANK(Лист1!W124),"",Лист1!W124)</f>
        <v>маусым</v>
      </c>
      <c r="X124" s="5" t="str">
        <f>IF(ISBLANK(Лист1!X124),"",Лист1!X124)</f>
        <v>031017651351</v>
      </c>
      <c r="Y124" s="5" t="str">
        <f>IF(ISERROR(VLOOKUP($X124,Лист2!$A$2:$G$498,1,FALSE)),"",VLOOKUP($X124,Лист2!$A$2:$G$498,1,FALSE))</f>
        <v>031017651351</v>
      </c>
      <c r="Z124" s="5" t="str">
        <f>IF(ISERROR(VLOOKUP($X124,Лист2!$A$2:$L$498,9,FALSE)),"",VLOOKUP($X124,Лист2!$A$2:$L$498,9,FALSE))</f>
        <v>BD</v>
      </c>
      <c r="AA124" s="5" t="str">
        <f>IF(ISERROR(VLOOKUP($X124,Лист2!$A$2:$L$498,10,FALSE)),"",VLOOKUP($X124,Лист2!$A$2:$L$498,10,FALSE))</f>
        <v>00025657125</v>
      </c>
      <c r="AB124" s="5" t="str">
        <f>IF(ISERROR(VLOOKUP($X124,Лист2!$A$2:$M$498,13,FALSE)),"",VLOOKUP($X124,Лист2!$A$2:$M$498,13,FALSE))</f>
        <v>https://epvo.kz/#/verification_education_document?iin=031017651351&amp;diplomaSeries=BD&amp;diplomaNumber=00025657125</v>
      </c>
    </row>
    <row r="125" spans="1:28" x14ac:dyDescent="0.25">
      <c r="A125" s="5" t="str">
        <f>IF(ISBLANK(Лист1!A125),"",Лист1!A125)</f>
        <v>21</v>
      </c>
      <c r="B125" s="5" t="str">
        <f>IF(ISBLANK(Лист1!B125),"",Лист1!B125)</f>
        <v>маусымдағы</v>
      </c>
      <c r="C125" s="5" t="str">
        <f>IF(ISBLANK(Лист1!C125),"",Лист1!C125)</f>
        <v>58</v>
      </c>
      <c r="D125" s="5" t="str">
        <f>IF(ISBLANK(Лист1!D125),"",Лист1!D125)</f>
        <v>Мусаев  Нурислам  Манасулына</v>
      </c>
      <c r="E125" s="5" t="str">
        <f>IF(ISBLANK(Лист1!E125),"",Лист1!E125)</f>
        <v>"6В01705 - Шетел тілі: екі шетел тілі (ағылшын)", В018-Шет тілі мұғалімдерін даярлау</v>
      </c>
      <c r="F125" s="5" t="str">
        <f>IF(ISBLANK(Лист1!F125),"",Лист1!F125)</f>
        <v>білім</v>
      </c>
      <c r="G125" s="5" t="str">
        <f>IF(ISBLANK(Лист1!G125),"",Лист1!G125)</f>
        <v>күндізгі</v>
      </c>
      <c r="H125" s="5" t="str">
        <f>IF(ISBLANK(Лист1!H125),"",Лист1!H125)</f>
        <v>Mussayev  Nurislam</v>
      </c>
      <c r="I125" s="5" t="str">
        <f>IF(ISBLANK(Лист1!I125),"",Лист1!I125)</f>
        <v>Education</v>
      </c>
      <c r="J125" s="5" t="str">
        <f>IF(ISBLANK(Лист1!J125),"",Лист1!J125)</f>
        <v>"6B01705 - Foreign language: two foreign languages (English)", B018-Training of foreign language teachers</v>
      </c>
      <c r="K125" s="5" t="str">
        <f>IF(ISBLANK(Лист1!K125),"",Лист1!K125)</f>
        <v>full-time</v>
      </c>
      <c r="L125" s="5" t="str">
        <f>IF(ISBLANK(Лист1!L125),"",Лист1!L125)</f>
        <v>21</v>
      </c>
      <c r="M125" s="5" t="str">
        <f>IF(ISBLANK(Лист1!M125),"",Лист1!M125)</f>
        <v>June</v>
      </c>
      <c r="N125" s="5" t="str">
        <f>IF(ISBLANK(Лист1!N125),"",Лист1!N125)</f>
        <v>21</v>
      </c>
      <c r="O125" s="5" t="str">
        <f>IF(ISBLANK(Лист1!O125),"",Лист1!O125)</f>
        <v>июня</v>
      </c>
      <c r="P125" s="5" t="str">
        <f>IF(ISBLANK(Лист1!P125),"",Лист1!P125)</f>
        <v>58</v>
      </c>
      <c r="Q125" s="5" t="str">
        <f>IF(ISBLANK(Лист1!Q125),"",Лист1!Q125)</f>
        <v>Мусаеву  Нурисламу  Манасулы</v>
      </c>
      <c r="R125" s="5" t="str">
        <f>IF(ISBLANK(Лист1!R125),"",Лист1!R125)</f>
        <v>образования</v>
      </c>
      <c r="S125" s="5" t="str">
        <f>IF(ISBLANK(Лист1!S125),"",Лист1!S125)</f>
        <v>"6B01705 - Иностранный язык: два иностранных языка (английский)", В018-Подготовка учителей иностранного языка</v>
      </c>
      <c r="T125" s="5" t="str">
        <f>IF(ISBLANK(Лист1!T125),"",Лист1!T125)</f>
        <v>очное</v>
      </c>
      <c r="U125" s="5" t="str">
        <f>IF(ISBLANK(Лист1!U125),"",Лист1!U125)</f>
        <v/>
      </c>
      <c r="V125" s="5" t="str">
        <f>IF(ISBLANK(Лист1!V125),"",Лист1!V125)</f>
        <v>28</v>
      </c>
      <c r="W125" s="5" t="str">
        <f>IF(ISBLANK(Лист1!W125),"",Лист1!W125)</f>
        <v>маусым</v>
      </c>
      <c r="X125" s="5" t="str">
        <f>IF(ISBLANK(Лист1!X125),"",Лист1!X125)</f>
        <v>031227500401</v>
      </c>
      <c r="Y125" s="5" t="str">
        <f>IF(ISERROR(VLOOKUP($X125,Лист2!$A$2:$G$498,1,FALSE)),"",VLOOKUP($X125,Лист2!$A$2:$G$498,1,FALSE))</f>
        <v>031227500401</v>
      </c>
      <c r="Z125" s="5" t="str">
        <f>IF(ISERROR(VLOOKUP($X125,Лист2!$A$2:$L$498,9,FALSE)),"",VLOOKUP($X125,Лист2!$A$2:$L$498,9,FALSE))</f>
        <v>BD</v>
      </c>
      <c r="AA125" s="5" t="str">
        <f>IF(ISERROR(VLOOKUP($X125,Лист2!$A$2:$L$498,10,FALSE)),"",VLOOKUP($X125,Лист2!$A$2:$L$498,10,FALSE))</f>
        <v>00025657425</v>
      </c>
      <c r="AB125" s="5" t="str">
        <f>IF(ISERROR(VLOOKUP($X125,Лист2!$A$2:$M$498,13,FALSE)),"",VLOOKUP($X125,Лист2!$A$2:$M$498,13,FALSE))</f>
        <v>https://epvo.kz/#/verification_education_document?iin=031227500401&amp;diplomaSeries=BD&amp;diplomaNumber=00025657425</v>
      </c>
    </row>
    <row r="126" spans="1:28" x14ac:dyDescent="0.25">
      <c r="A126" s="5" t="str">
        <f>IF(ISBLANK(Лист1!A126),"",Лист1!A126)</f>
        <v>21</v>
      </c>
      <c r="B126" s="5" t="str">
        <f>IF(ISBLANK(Лист1!B126),"",Лист1!B126)</f>
        <v>маусымдағы</v>
      </c>
      <c r="C126" s="5" t="str">
        <f>IF(ISBLANK(Лист1!C126),"",Лист1!C126)</f>
        <v>59</v>
      </c>
      <c r="D126" s="5" t="str">
        <f>IF(ISBLANK(Лист1!D126),"",Лист1!D126)</f>
        <v>Муталипова  Севара  Хасанқызына</v>
      </c>
      <c r="E126" s="5" t="str">
        <f>IF(ISBLANK(Лист1!E126),"",Лист1!E126)</f>
        <v>"6В01705 - Шетел тілі: екі шетел тілі (ағылшын)", В018-Шет тілі мұғалімдерін даярлау</v>
      </c>
      <c r="F126" s="5" t="str">
        <f>IF(ISBLANK(Лист1!F126),"",Лист1!F126)</f>
        <v>білім</v>
      </c>
      <c r="G126" s="5" t="str">
        <f>IF(ISBLANK(Лист1!G126),"",Лист1!G126)</f>
        <v>күндізгі</v>
      </c>
      <c r="H126" s="5" t="str">
        <f>IF(ISBLANK(Лист1!H126),"",Лист1!H126)</f>
        <v>Mutalipova  Sevara</v>
      </c>
      <c r="I126" s="5" t="str">
        <f>IF(ISBLANK(Лист1!I126),"",Лист1!I126)</f>
        <v>Education</v>
      </c>
      <c r="J126" s="5" t="str">
        <f>IF(ISBLANK(Лист1!J126),"",Лист1!J126)</f>
        <v>"6B01705 - Foreign language: two foreign languages (English)", B018-Training of foreign language teachers</v>
      </c>
      <c r="K126" s="5" t="str">
        <f>IF(ISBLANK(Лист1!K126),"",Лист1!K126)</f>
        <v>full-time</v>
      </c>
      <c r="L126" s="5" t="str">
        <f>IF(ISBLANK(Лист1!L126),"",Лист1!L126)</f>
        <v>21</v>
      </c>
      <c r="M126" s="5" t="str">
        <f>IF(ISBLANK(Лист1!M126),"",Лист1!M126)</f>
        <v>June</v>
      </c>
      <c r="N126" s="5" t="str">
        <f>IF(ISBLANK(Лист1!N126),"",Лист1!N126)</f>
        <v>21</v>
      </c>
      <c r="O126" s="5" t="str">
        <f>IF(ISBLANK(Лист1!O126),"",Лист1!O126)</f>
        <v>июня</v>
      </c>
      <c r="P126" s="5" t="str">
        <f>IF(ISBLANK(Лист1!P126),"",Лист1!P126)</f>
        <v>59</v>
      </c>
      <c r="Q126" s="5" t="str">
        <f>IF(ISBLANK(Лист1!Q126),"",Лист1!Q126)</f>
        <v>Муталипова  Севара  Хасанқызы</v>
      </c>
      <c r="R126" s="5" t="str">
        <f>IF(ISBLANK(Лист1!R126),"",Лист1!R126)</f>
        <v>образования</v>
      </c>
      <c r="S126" s="5" t="str">
        <f>IF(ISBLANK(Лист1!S126),"",Лист1!S126)</f>
        <v>"6B01705 - Иностранный язык: два иностранных языка (английский)", В018-Подготовка учителей иностранного языка</v>
      </c>
      <c r="T126" s="5" t="str">
        <f>IF(ISBLANK(Лист1!T126),"",Лист1!T126)</f>
        <v>очное</v>
      </c>
      <c r="U126" s="5" t="str">
        <f>IF(ISBLANK(Лист1!U126),"",Лист1!U126)</f>
        <v/>
      </c>
      <c r="V126" s="5" t="str">
        <f>IF(ISBLANK(Лист1!V126),"",Лист1!V126)</f>
        <v>28</v>
      </c>
      <c r="W126" s="5" t="str">
        <f>IF(ISBLANK(Лист1!W126),"",Лист1!W126)</f>
        <v>маусым</v>
      </c>
      <c r="X126" s="5" t="str">
        <f>IF(ISBLANK(Лист1!X126),"",Лист1!X126)</f>
        <v>040405601036</v>
      </c>
      <c r="Y126" s="5" t="str">
        <f>IF(ISERROR(VLOOKUP($X126,Лист2!$A$2:$G$498,1,FALSE)),"",VLOOKUP($X126,Лист2!$A$2:$G$498,1,FALSE))</f>
        <v>040405601036</v>
      </c>
      <c r="Z126" s="5" t="str">
        <f>IF(ISERROR(VLOOKUP($X126,Лист2!$A$2:$L$498,9,FALSE)),"",VLOOKUP($X126,Лист2!$A$2:$L$498,9,FALSE))</f>
        <v>BD</v>
      </c>
      <c r="AA126" s="5" t="str">
        <f>IF(ISERROR(VLOOKUP($X126,Лист2!$A$2:$L$498,10,FALSE)),"",VLOOKUP($X126,Лист2!$A$2:$L$498,10,FALSE))</f>
        <v>00025657625</v>
      </c>
      <c r="AB126" s="5" t="str">
        <f>IF(ISERROR(VLOOKUP($X126,Лист2!$A$2:$M$498,13,FALSE)),"",VLOOKUP($X126,Лист2!$A$2:$M$498,13,FALSE))</f>
        <v>https://epvo.kz/#/verification_education_document?iin=040405601036&amp;diplomaSeries=BD&amp;diplomaNumber=00025657625</v>
      </c>
    </row>
    <row r="127" spans="1:28" x14ac:dyDescent="0.25">
      <c r="A127" s="5" t="str">
        <f>IF(ISBLANK(Лист1!A127),"",Лист1!A127)</f>
        <v>21</v>
      </c>
      <c r="B127" s="5" t="str">
        <f>IF(ISBLANK(Лист1!B127),"",Лист1!B127)</f>
        <v>маусымдағы</v>
      </c>
      <c r="C127" s="5" t="str">
        <f>IF(ISBLANK(Лист1!C127),"",Лист1!C127)</f>
        <v>222</v>
      </c>
      <c r="D127" s="5" t="str">
        <f>IF(ISBLANK(Лист1!D127),"",Лист1!D127)</f>
        <v>Мұхтар  Аружан  Абенқызына</v>
      </c>
      <c r="E127" s="5" t="str">
        <f>IF(ISBLANK(Лист1!E127),"",Лист1!E127)</f>
        <v>"6В01705 - Шетел тілі: екі шетел тілі (ағылшын)", В018-Шет тілі мұғалімдерін даярлау</v>
      </c>
      <c r="F127" s="5" t="str">
        <f>IF(ISBLANK(Лист1!F127),"",Лист1!F127)</f>
        <v>білім</v>
      </c>
      <c r="G127" s="5" t="str">
        <f>IF(ISBLANK(Лист1!G127),"",Лист1!G127)</f>
        <v>күндізгі</v>
      </c>
      <c r="H127" s="5" t="str">
        <f>IF(ISBLANK(Лист1!H127),"",Лист1!H127)</f>
        <v>Mukhtar  Aruzhan</v>
      </c>
      <c r="I127" s="5" t="str">
        <f>IF(ISBLANK(Лист1!I127),"",Лист1!I127)</f>
        <v>Education</v>
      </c>
      <c r="J127" s="5" t="str">
        <f>IF(ISBLANK(Лист1!J127),"",Лист1!J127)</f>
        <v>"6B01705 - Foreign language: two foreign languages (English)", B018-Training of foreign language teachers</v>
      </c>
      <c r="K127" s="5" t="str">
        <f>IF(ISBLANK(Лист1!K127),"",Лист1!K127)</f>
        <v>full-time</v>
      </c>
      <c r="L127" s="5" t="str">
        <f>IF(ISBLANK(Лист1!L127),"",Лист1!L127)</f>
        <v>21</v>
      </c>
      <c r="M127" s="5" t="str">
        <f>IF(ISBLANK(Лист1!M127),"",Лист1!M127)</f>
        <v>June</v>
      </c>
      <c r="N127" s="5" t="str">
        <f>IF(ISBLANK(Лист1!N127),"",Лист1!N127)</f>
        <v>21</v>
      </c>
      <c r="O127" s="5" t="str">
        <f>IF(ISBLANK(Лист1!O127),"",Лист1!O127)</f>
        <v>июня</v>
      </c>
      <c r="P127" s="5" t="str">
        <f>IF(ISBLANK(Лист1!P127),"",Лист1!P127)</f>
        <v>222</v>
      </c>
      <c r="Q127" s="5" t="str">
        <f>IF(ISBLANK(Лист1!Q127),"",Лист1!Q127)</f>
        <v>Мұхтар  Аружан  Абенқызы</v>
      </c>
      <c r="R127" s="5" t="str">
        <f>IF(ISBLANK(Лист1!R127),"",Лист1!R127)</f>
        <v>образования</v>
      </c>
      <c r="S127" s="5" t="str">
        <f>IF(ISBLANK(Лист1!S127),"",Лист1!S127)</f>
        <v>"6B01705 - Иностранный язык: два иностранных языка (английский)", В018-Подготовка учителей иностранного языка</v>
      </c>
      <c r="T127" s="5" t="str">
        <f>IF(ISBLANK(Лист1!T127),"",Лист1!T127)</f>
        <v>очное</v>
      </c>
      <c r="U127" s="5" t="str">
        <f>IF(ISBLANK(Лист1!U127),"",Лист1!U127)</f>
        <v/>
      </c>
      <c r="V127" s="5" t="str">
        <f>IF(ISBLANK(Лист1!V127),"",Лист1!V127)</f>
        <v>28</v>
      </c>
      <c r="W127" s="5" t="str">
        <f>IF(ISBLANK(Лист1!W127),"",Лист1!W127)</f>
        <v>маусым</v>
      </c>
      <c r="X127" s="5" t="str">
        <f>IF(ISBLANK(Лист1!X127),"",Лист1!X127)</f>
        <v>041208600723</v>
      </c>
      <c r="Y127" s="5" t="str">
        <f>IF(ISERROR(VLOOKUP($X127,Лист2!$A$2:$G$498,1,FALSE)),"",VLOOKUP($X127,Лист2!$A$2:$G$498,1,FALSE))</f>
        <v>041208600723</v>
      </c>
      <c r="Z127" s="5" t="str">
        <f>IF(ISERROR(VLOOKUP($X127,Лист2!$A$2:$L$498,9,FALSE)),"",VLOOKUP($X127,Лист2!$A$2:$L$498,9,FALSE))</f>
        <v>BD</v>
      </c>
      <c r="AA127" s="5" t="str">
        <f>IF(ISERROR(VLOOKUP($X127,Лист2!$A$2:$L$498,10,FALSE)),"",VLOOKUP($X127,Лист2!$A$2:$L$498,10,FALSE))</f>
        <v>00025657925</v>
      </c>
      <c r="AB127" s="5" t="str">
        <f>IF(ISERROR(VLOOKUP($X127,Лист2!$A$2:$M$498,13,FALSE)),"",VLOOKUP($X127,Лист2!$A$2:$M$498,13,FALSE))</f>
        <v>https://epvo.kz/#/verification_education_document?iin=041208600723&amp;diplomaSeries=BD&amp;diplomaNumber=00025657925</v>
      </c>
    </row>
    <row r="128" spans="1:28" x14ac:dyDescent="0.25">
      <c r="A128" s="5" t="str">
        <f>IF(ISBLANK(Лист1!A128),"",Лист1!A128)</f>
        <v>21</v>
      </c>
      <c r="B128" s="5" t="str">
        <f>IF(ISBLANK(Лист1!B128),"",Лист1!B128)</f>
        <v>маусымдағы</v>
      </c>
      <c r="C128" s="5" t="str">
        <f>IF(ISBLANK(Лист1!C128),"",Лист1!C128)</f>
        <v>88</v>
      </c>
      <c r="D128" s="5" t="str">
        <f>IF(ISBLANK(Лист1!D128),"",Лист1!D128)</f>
        <v>Мырзабек  Ақнұр  Ерикқызына</v>
      </c>
      <c r="E128" s="5" t="str">
        <f>IF(ISBLANK(Лист1!E128),"",Лист1!E128)</f>
        <v>"6В01705 - Шетел тілі: екі шетел тілі (ағылшын)", В018-Шет тілі мұғалімдерін даярлау</v>
      </c>
      <c r="F128" s="5" t="str">
        <f>IF(ISBLANK(Лист1!F128),"",Лист1!F128)</f>
        <v>білім</v>
      </c>
      <c r="G128" s="5" t="str">
        <f>IF(ISBLANK(Лист1!G128),"",Лист1!G128)</f>
        <v>күндізгі</v>
      </c>
      <c r="H128" s="5" t="str">
        <f>IF(ISBLANK(Лист1!H128),"",Лист1!H128)</f>
        <v>Myrzabek  Aknur</v>
      </c>
      <c r="I128" s="5" t="str">
        <f>IF(ISBLANK(Лист1!I128),"",Лист1!I128)</f>
        <v>Education</v>
      </c>
      <c r="J128" s="5" t="str">
        <f>IF(ISBLANK(Лист1!J128),"",Лист1!J128)</f>
        <v>"6B01705 - Foreign language: two foreign languages (English)", B018-Training of foreign language teachers</v>
      </c>
      <c r="K128" s="5" t="str">
        <f>IF(ISBLANK(Лист1!K128),"",Лист1!K128)</f>
        <v>full-time</v>
      </c>
      <c r="L128" s="5" t="str">
        <f>IF(ISBLANK(Лист1!L128),"",Лист1!L128)</f>
        <v>21</v>
      </c>
      <c r="M128" s="5" t="str">
        <f>IF(ISBLANK(Лист1!M128),"",Лист1!M128)</f>
        <v>June</v>
      </c>
      <c r="N128" s="5" t="str">
        <f>IF(ISBLANK(Лист1!N128),"",Лист1!N128)</f>
        <v>21</v>
      </c>
      <c r="O128" s="5" t="str">
        <f>IF(ISBLANK(Лист1!O128),"",Лист1!O128)</f>
        <v>июня</v>
      </c>
      <c r="P128" s="5" t="str">
        <f>IF(ISBLANK(Лист1!P128),"",Лист1!P128)</f>
        <v>88</v>
      </c>
      <c r="Q128" s="5" t="str">
        <f>IF(ISBLANK(Лист1!Q128),"",Лист1!Q128)</f>
        <v>Мырзабек  Ақнұр  Ерикқызы</v>
      </c>
      <c r="R128" s="5" t="str">
        <f>IF(ISBLANK(Лист1!R128),"",Лист1!R128)</f>
        <v>образования</v>
      </c>
      <c r="S128" s="5" t="str">
        <f>IF(ISBLANK(Лист1!S128),"",Лист1!S128)</f>
        <v>"6B01705 - Иностранный язык: два иностранных языка (английский)", В018-Подготовка учителей иностранного языка</v>
      </c>
      <c r="T128" s="5" t="str">
        <f>IF(ISBLANK(Лист1!T128),"",Лист1!T128)</f>
        <v>очное</v>
      </c>
      <c r="U128" s="5" t="str">
        <f>IF(ISBLANK(Лист1!U128),"",Лист1!U128)</f>
        <v/>
      </c>
      <c r="V128" s="5" t="str">
        <f>IF(ISBLANK(Лист1!V128),"",Лист1!V128)</f>
        <v>28</v>
      </c>
      <c r="W128" s="5" t="str">
        <f>IF(ISBLANK(Лист1!W128),"",Лист1!W128)</f>
        <v>маусым</v>
      </c>
      <c r="X128" s="5" t="str">
        <f>IF(ISBLANK(Лист1!X128),"",Лист1!X128)</f>
        <v>040326601196</v>
      </c>
      <c r="Y128" s="5" t="str">
        <f>IF(ISERROR(VLOOKUP($X128,Лист2!$A$2:$G$498,1,FALSE)),"",VLOOKUP($X128,Лист2!$A$2:$G$498,1,FALSE))</f>
        <v>040326601196</v>
      </c>
      <c r="Z128" s="5" t="str">
        <f>IF(ISERROR(VLOOKUP($X128,Лист2!$A$2:$L$498,9,FALSE)),"",VLOOKUP($X128,Лист2!$A$2:$L$498,9,FALSE))</f>
        <v>BD</v>
      </c>
      <c r="AA128" s="5" t="str">
        <f>IF(ISERROR(VLOOKUP($X128,Лист2!$A$2:$L$498,10,FALSE)),"",VLOOKUP($X128,Лист2!$A$2:$L$498,10,FALSE))</f>
        <v>00025658025</v>
      </c>
      <c r="AB128" s="5" t="str">
        <f>IF(ISERROR(VLOOKUP($X128,Лист2!$A$2:$M$498,13,FALSE)),"",VLOOKUP($X128,Лист2!$A$2:$M$498,13,FALSE))</f>
        <v>https://epvo.kz/#/verification_education_document?iin=040326601196&amp;diplomaSeries=BD&amp;diplomaNumber=00025658025</v>
      </c>
    </row>
    <row r="129" spans="1:28" x14ac:dyDescent="0.25">
      <c r="A129" s="5" t="str">
        <f>IF(ISBLANK(Лист1!A129),"",Лист1!A129)</f>
        <v>21</v>
      </c>
      <c r="B129" s="5" t="str">
        <f>IF(ISBLANK(Лист1!B129),"",Лист1!B129)</f>
        <v>маусымдағы</v>
      </c>
      <c r="C129" s="5" t="str">
        <f>IF(ISBLANK(Лист1!C129),"",Лист1!C129)</f>
        <v>63</v>
      </c>
      <c r="D129" s="5" t="str">
        <f>IF(ISBLANK(Лист1!D129),"",Лист1!D129)</f>
        <v>Мырзағалиқызы  Балжанға</v>
      </c>
      <c r="E129" s="5" t="str">
        <f>IF(ISBLANK(Лист1!E129),"",Лист1!E129)</f>
        <v>"6В01705 - Шетел тілі: екі шетел тілі (ағылшын)", В018-Шет тілі мұғалімдерін даярлау</v>
      </c>
      <c r="F129" s="5" t="str">
        <f>IF(ISBLANK(Лист1!F129),"",Лист1!F129)</f>
        <v>білім</v>
      </c>
      <c r="G129" s="5" t="str">
        <f>IF(ISBLANK(Лист1!G129),"",Лист1!G129)</f>
        <v>күндізгі</v>
      </c>
      <c r="H129" s="5" t="str">
        <f>IF(ISBLANK(Лист1!H129),"",Лист1!H129)</f>
        <v>Myrzagalikyzy  Balzhan</v>
      </c>
      <c r="I129" s="5" t="str">
        <f>IF(ISBLANK(Лист1!I129),"",Лист1!I129)</f>
        <v>Education</v>
      </c>
      <c r="J129" s="5" t="str">
        <f>IF(ISBLANK(Лист1!J129),"",Лист1!J129)</f>
        <v>"6B01705 - Foreign language: two foreign languages (English)", B018-Training of foreign language teachers</v>
      </c>
      <c r="K129" s="5" t="str">
        <f>IF(ISBLANK(Лист1!K129),"",Лист1!K129)</f>
        <v>full-time</v>
      </c>
      <c r="L129" s="5" t="str">
        <f>IF(ISBLANK(Лист1!L129),"",Лист1!L129)</f>
        <v>21</v>
      </c>
      <c r="M129" s="5" t="str">
        <f>IF(ISBLANK(Лист1!M129),"",Лист1!M129)</f>
        <v>June</v>
      </c>
      <c r="N129" s="5" t="str">
        <f>IF(ISBLANK(Лист1!N129),"",Лист1!N129)</f>
        <v>21</v>
      </c>
      <c r="O129" s="5" t="str">
        <f>IF(ISBLANK(Лист1!O129),"",Лист1!O129)</f>
        <v>июня</v>
      </c>
      <c r="P129" s="5" t="str">
        <f>IF(ISBLANK(Лист1!P129),"",Лист1!P129)</f>
        <v>63</v>
      </c>
      <c r="Q129" s="5" t="str">
        <f>IF(ISBLANK(Лист1!Q129),"",Лист1!Q129)</f>
        <v xml:space="preserve">Мырзағалиқызы  Балжан  </v>
      </c>
      <c r="R129" s="5" t="str">
        <f>IF(ISBLANK(Лист1!R129),"",Лист1!R129)</f>
        <v>образования</v>
      </c>
      <c r="S129" s="5" t="str">
        <f>IF(ISBLANK(Лист1!S129),"",Лист1!S129)</f>
        <v>"6B01705 - Иностранный язык: два иностранных языка (английский)", В018-Подготовка учителей иностранного языка</v>
      </c>
      <c r="T129" s="5" t="str">
        <f>IF(ISBLANK(Лист1!T129),"",Лист1!T129)</f>
        <v>очное</v>
      </c>
      <c r="U129" s="5" t="str">
        <f>IF(ISBLANK(Лист1!U129),"",Лист1!U129)</f>
        <v/>
      </c>
      <c r="V129" s="5" t="str">
        <f>IF(ISBLANK(Лист1!V129),"",Лист1!V129)</f>
        <v>28</v>
      </c>
      <c r="W129" s="5" t="str">
        <f>IF(ISBLANK(Лист1!W129),"",Лист1!W129)</f>
        <v>маусым</v>
      </c>
      <c r="X129" s="5" t="str">
        <f>IF(ISBLANK(Лист1!X129),"",Лист1!X129)</f>
        <v>040206600978</v>
      </c>
      <c r="Y129" s="5" t="str">
        <f>IF(ISERROR(VLOOKUP($X129,Лист2!$A$2:$G$498,1,FALSE)),"",VLOOKUP($X129,Лист2!$A$2:$G$498,1,FALSE))</f>
        <v>040206600978</v>
      </c>
      <c r="Z129" s="5" t="str">
        <f>IF(ISERROR(VLOOKUP($X129,Лист2!$A$2:$L$498,9,FALSE)),"",VLOOKUP($X129,Лист2!$A$2:$L$498,9,FALSE))</f>
        <v>BD</v>
      </c>
      <c r="AA129" s="5" t="str">
        <f>IF(ISERROR(VLOOKUP($X129,Лист2!$A$2:$L$498,10,FALSE)),"",VLOOKUP($X129,Лист2!$A$2:$L$498,10,FALSE))</f>
        <v>00025658125</v>
      </c>
      <c r="AB129" s="5" t="str">
        <f>IF(ISERROR(VLOOKUP($X129,Лист2!$A$2:$M$498,13,FALSE)),"",VLOOKUP($X129,Лист2!$A$2:$M$498,13,FALSE))</f>
        <v>https://epvo.kz/#/verification_education_document?iin=040206600978&amp;diplomaSeries=BD&amp;diplomaNumber=00025658125</v>
      </c>
    </row>
    <row r="130" spans="1:28" x14ac:dyDescent="0.25">
      <c r="A130" s="5" t="str">
        <f>IF(ISBLANK(Лист1!A130),"",Лист1!A130)</f>
        <v>21</v>
      </c>
      <c r="B130" s="5" t="str">
        <f>IF(ISBLANK(Лист1!B130),"",Лист1!B130)</f>
        <v>маусымдағы</v>
      </c>
      <c r="C130" s="5" t="str">
        <f>IF(ISBLANK(Лист1!C130),"",Лист1!C130)</f>
        <v>223</v>
      </c>
      <c r="D130" s="5" t="str">
        <f>IF(ISBLANK(Лист1!D130),"",Лист1!D130)</f>
        <v>Мырзатай  Ақбота  Сейтхалқызына</v>
      </c>
      <c r="E130" s="5" t="str">
        <f>IF(ISBLANK(Лист1!E130),"",Лист1!E130)</f>
        <v>"6В01705 - Шетел тілі: екі шетел тілі (ағылшын)", В018-Шет тілі мұғалімдерін даярлау</v>
      </c>
      <c r="F130" s="5" t="str">
        <f>IF(ISBLANK(Лист1!F130),"",Лист1!F130)</f>
        <v>білім</v>
      </c>
      <c r="G130" s="5" t="str">
        <f>IF(ISBLANK(Лист1!G130),"",Лист1!G130)</f>
        <v>күндізгі</v>
      </c>
      <c r="H130" s="5" t="str">
        <f>IF(ISBLANK(Лист1!H130),"",Лист1!H130)</f>
        <v>Myrzatay  Akbota</v>
      </c>
      <c r="I130" s="5" t="str">
        <f>IF(ISBLANK(Лист1!I130),"",Лист1!I130)</f>
        <v>Education</v>
      </c>
      <c r="J130" s="5" t="str">
        <f>IF(ISBLANK(Лист1!J130),"",Лист1!J130)</f>
        <v>"6B01705 - Foreign language: two foreign languages (English)", B018-Training of foreign language teachers</v>
      </c>
      <c r="K130" s="5" t="str">
        <f>IF(ISBLANK(Лист1!K130),"",Лист1!K130)</f>
        <v>full-time</v>
      </c>
      <c r="L130" s="5" t="str">
        <f>IF(ISBLANK(Лист1!L130),"",Лист1!L130)</f>
        <v>21</v>
      </c>
      <c r="M130" s="5" t="str">
        <f>IF(ISBLANK(Лист1!M130),"",Лист1!M130)</f>
        <v>June</v>
      </c>
      <c r="N130" s="5" t="str">
        <f>IF(ISBLANK(Лист1!N130),"",Лист1!N130)</f>
        <v>21</v>
      </c>
      <c r="O130" s="5" t="str">
        <f>IF(ISBLANK(Лист1!O130),"",Лист1!O130)</f>
        <v>июня</v>
      </c>
      <c r="P130" s="5" t="str">
        <f>IF(ISBLANK(Лист1!P130),"",Лист1!P130)</f>
        <v>223</v>
      </c>
      <c r="Q130" s="5" t="str">
        <f>IF(ISBLANK(Лист1!Q130),"",Лист1!Q130)</f>
        <v>Мырзатай  Ақбота  Сейтхалқызы</v>
      </c>
      <c r="R130" s="5" t="str">
        <f>IF(ISBLANK(Лист1!R130),"",Лист1!R130)</f>
        <v>образования</v>
      </c>
      <c r="S130" s="5" t="str">
        <f>IF(ISBLANK(Лист1!S130),"",Лист1!S130)</f>
        <v>"6B01705 - Иностранный язык: два иностранных языка (английский)", В018-Подготовка учителей иностранного языка</v>
      </c>
      <c r="T130" s="5" t="str">
        <f>IF(ISBLANK(Лист1!T130),"",Лист1!T130)</f>
        <v>очное</v>
      </c>
      <c r="U130" s="5" t="str">
        <f>IF(ISBLANK(Лист1!U130),"",Лист1!U130)</f>
        <v/>
      </c>
      <c r="V130" s="5" t="str">
        <f>IF(ISBLANK(Лист1!V130),"",Лист1!V130)</f>
        <v>28</v>
      </c>
      <c r="W130" s="5" t="str">
        <f>IF(ISBLANK(Лист1!W130),"",Лист1!W130)</f>
        <v>маусым</v>
      </c>
      <c r="X130" s="5" t="str">
        <f>IF(ISBLANK(Лист1!X130),"",Лист1!X130)</f>
        <v>040305600420</v>
      </c>
      <c r="Y130" s="5" t="str">
        <f>IF(ISERROR(VLOOKUP($X130,Лист2!$A$2:$G$498,1,FALSE)),"",VLOOKUP($X130,Лист2!$A$2:$G$498,1,FALSE))</f>
        <v>040305600420</v>
      </c>
      <c r="Z130" s="5" t="str">
        <f>IF(ISERROR(VLOOKUP($X130,Лист2!$A$2:$L$498,9,FALSE)),"",VLOOKUP($X130,Лист2!$A$2:$L$498,9,FALSE))</f>
        <v>BD</v>
      </c>
      <c r="AA130" s="5" t="str">
        <f>IF(ISERROR(VLOOKUP($X130,Лист2!$A$2:$L$498,10,FALSE)),"",VLOOKUP($X130,Лист2!$A$2:$L$498,10,FALSE))</f>
        <v>00025658225</v>
      </c>
      <c r="AB130" s="5" t="str">
        <f>IF(ISERROR(VLOOKUP($X130,Лист2!$A$2:$M$498,13,FALSE)),"",VLOOKUP($X130,Лист2!$A$2:$M$498,13,FALSE))</f>
        <v>https://epvo.kz/#/verification_education_document?iin=040305600420&amp;diplomaSeries=BD&amp;diplomaNumber=00025658225</v>
      </c>
    </row>
    <row r="131" spans="1:28" x14ac:dyDescent="0.25">
      <c r="A131" s="5" t="str">
        <f>IF(ISBLANK(Лист1!A131),"",Лист1!A131)</f>
        <v>21</v>
      </c>
      <c r="B131" s="5" t="str">
        <f>IF(ISBLANK(Лист1!B131),"",Лист1!B131)</f>
        <v>маусымдағы</v>
      </c>
      <c r="C131" s="5" t="str">
        <f>IF(ISBLANK(Лист1!C131),"",Лист1!C131)</f>
        <v>89</v>
      </c>
      <c r="D131" s="5" t="str">
        <f>IF(ISBLANK(Лист1!D131),"",Лист1!D131)</f>
        <v>Мырзахмет  Қанат  Байдүйсенұлына</v>
      </c>
      <c r="E131" s="5" t="str">
        <f>IF(ISBLANK(Лист1!E131),"",Лист1!E131)</f>
        <v>"6В01705 - Шетел тілі: екі шетел тілі (ағылшын)", В018-Шет тілі мұғалімдерін даярлау</v>
      </c>
      <c r="F131" s="5" t="str">
        <f>IF(ISBLANK(Лист1!F131),"",Лист1!F131)</f>
        <v>білім</v>
      </c>
      <c r="G131" s="5" t="str">
        <f>IF(ISBLANK(Лист1!G131),"",Лист1!G131)</f>
        <v>күндізгі</v>
      </c>
      <c r="H131" s="5" t="str">
        <f>IF(ISBLANK(Лист1!H131),"",Лист1!H131)</f>
        <v>Myrzakhmet  Kanat</v>
      </c>
      <c r="I131" s="5" t="str">
        <f>IF(ISBLANK(Лист1!I131),"",Лист1!I131)</f>
        <v>Education</v>
      </c>
      <c r="J131" s="5" t="str">
        <f>IF(ISBLANK(Лист1!J131),"",Лист1!J131)</f>
        <v>"6B01705 - Foreign language: two foreign languages (English)", B018-Training of foreign language teachers</v>
      </c>
      <c r="K131" s="5" t="str">
        <f>IF(ISBLANK(Лист1!K131),"",Лист1!K131)</f>
        <v>full-time</v>
      </c>
      <c r="L131" s="5" t="str">
        <f>IF(ISBLANK(Лист1!L131),"",Лист1!L131)</f>
        <v>21</v>
      </c>
      <c r="M131" s="5" t="str">
        <f>IF(ISBLANK(Лист1!M131),"",Лист1!M131)</f>
        <v>June</v>
      </c>
      <c r="N131" s="5" t="str">
        <f>IF(ISBLANK(Лист1!N131),"",Лист1!N131)</f>
        <v>21</v>
      </c>
      <c r="O131" s="5" t="str">
        <f>IF(ISBLANK(Лист1!O131),"",Лист1!O131)</f>
        <v>июня</v>
      </c>
      <c r="P131" s="5" t="str">
        <f>IF(ISBLANK(Лист1!P131),"",Лист1!P131)</f>
        <v>89</v>
      </c>
      <c r="Q131" s="5" t="str">
        <f>IF(ISBLANK(Лист1!Q131),"",Лист1!Q131)</f>
        <v>Мырзахмет  Қанат  Байдүйсенұлы</v>
      </c>
      <c r="R131" s="5" t="str">
        <f>IF(ISBLANK(Лист1!R131),"",Лист1!R131)</f>
        <v>образования</v>
      </c>
      <c r="S131" s="5" t="str">
        <f>IF(ISBLANK(Лист1!S131),"",Лист1!S131)</f>
        <v>"6B01705 - Иностранный язык: два иностранных языка (английский)", В018-Подготовка учителей иностранного языка</v>
      </c>
      <c r="T131" s="5" t="str">
        <f>IF(ISBLANK(Лист1!T131),"",Лист1!T131)</f>
        <v>очное</v>
      </c>
      <c r="U131" s="5" t="str">
        <f>IF(ISBLANK(Лист1!U131),"",Лист1!U131)</f>
        <v/>
      </c>
      <c r="V131" s="5" t="str">
        <f>IF(ISBLANK(Лист1!V131),"",Лист1!V131)</f>
        <v>28</v>
      </c>
      <c r="W131" s="5" t="str">
        <f>IF(ISBLANK(Лист1!W131),"",Лист1!W131)</f>
        <v>маусым</v>
      </c>
      <c r="X131" s="5" t="str">
        <f>IF(ISBLANK(Лист1!X131),"",Лист1!X131)</f>
        <v>030913501783</v>
      </c>
      <c r="Y131" s="5" t="str">
        <f>IF(ISERROR(VLOOKUP($X131,Лист2!$A$2:$G$498,1,FALSE)),"",VLOOKUP($X131,Лист2!$A$2:$G$498,1,FALSE))</f>
        <v>030913501783</v>
      </c>
      <c r="Z131" s="5" t="str">
        <f>IF(ISERROR(VLOOKUP($X131,Лист2!$A$2:$L$498,9,FALSE)),"",VLOOKUP($X131,Лист2!$A$2:$L$498,9,FALSE))</f>
        <v>BD</v>
      </c>
      <c r="AA131" s="5" t="str">
        <f>IF(ISERROR(VLOOKUP($X131,Лист2!$A$2:$L$498,10,FALSE)),"",VLOOKUP($X131,Лист2!$A$2:$L$498,10,FALSE))</f>
        <v>00025658325</v>
      </c>
      <c r="AB131" s="5" t="str">
        <f>IF(ISERROR(VLOOKUP($X131,Лист2!$A$2:$M$498,13,FALSE)),"",VLOOKUP($X131,Лист2!$A$2:$M$498,13,FALSE))</f>
        <v>https://epvo.kz/#/verification_education_document?iin=030913501783&amp;diplomaSeries=BD&amp;diplomaNumber=00025658325</v>
      </c>
    </row>
    <row r="132" spans="1:28" x14ac:dyDescent="0.25">
      <c r="A132" s="5" t="str">
        <f>IF(ISBLANK(Лист1!A132),"",Лист1!A132)</f>
        <v>21</v>
      </c>
      <c r="B132" s="5" t="str">
        <f>IF(ISBLANK(Лист1!B132),"",Лист1!B132)</f>
        <v>маусымдағы</v>
      </c>
      <c r="C132" s="5" t="str">
        <f>IF(ISBLANK(Лист1!C132),"",Лист1!C132)</f>
        <v>64</v>
      </c>
      <c r="D132" s="5" t="str">
        <f>IF(ISBLANK(Лист1!D132),"",Лист1!D132)</f>
        <v>Насирова  Аружан  Бауыржанкызына</v>
      </c>
      <c r="E132" s="5" t="str">
        <f>IF(ISBLANK(Лист1!E132),"",Лист1!E132)</f>
        <v>"6В01705 - Шетел тілі: екі шетел тілі (ағылшын)", В018-Шет тілі мұғалімдерін даярлау</v>
      </c>
      <c r="F132" s="5" t="str">
        <f>IF(ISBLANK(Лист1!F132),"",Лист1!F132)</f>
        <v>білім</v>
      </c>
      <c r="G132" s="5" t="str">
        <f>IF(ISBLANK(Лист1!G132),"",Лист1!G132)</f>
        <v>күндізгі</v>
      </c>
      <c r="H132" s="5" t="str">
        <f>IF(ISBLANK(Лист1!H132),"",Лист1!H132)</f>
        <v>Nassirova  Aruzhan</v>
      </c>
      <c r="I132" s="5" t="str">
        <f>IF(ISBLANK(Лист1!I132),"",Лист1!I132)</f>
        <v>Education</v>
      </c>
      <c r="J132" s="5" t="str">
        <f>IF(ISBLANK(Лист1!J132),"",Лист1!J132)</f>
        <v>"6B01705 - Foreign language: two foreign languages (English)", B018-Training of foreign language teachers</v>
      </c>
      <c r="K132" s="5" t="str">
        <f>IF(ISBLANK(Лист1!K132),"",Лист1!K132)</f>
        <v>full-time</v>
      </c>
      <c r="L132" s="5" t="str">
        <f>IF(ISBLANK(Лист1!L132),"",Лист1!L132)</f>
        <v>21</v>
      </c>
      <c r="M132" s="5" t="str">
        <f>IF(ISBLANK(Лист1!M132),"",Лист1!M132)</f>
        <v>June</v>
      </c>
      <c r="N132" s="5" t="str">
        <f>IF(ISBLANK(Лист1!N132),"",Лист1!N132)</f>
        <v>21</v>
      </c>
      <c r="O132" s="5" t="str">
        <f>IF(ISBLANK(Лист1!O132),"",Лист1!O132)</f>
        <v>июня</v>
      </c>
      <c r="P132" s="5" t="str">
        <f>IF(ISBLANK(Лист1!P132),"",Лист1!P132)</f>
        <v>64</v>
      </c>
      <c r="Q132" s="5" t="str">
        <f>IF(ISBLANK(Лист1!Q132),"",Лист1!Q132)</f>
        <v>Насировой  Аружан  Бауыржанкызы</v>
      </c>
      <c r="R132" s="5" t="str">
        <f>IF(ISBLANK(Лист1!R132),"",Лист1!R132)</f>
        <v>образования</v>
      </c>
      <c r="S132" s="5" t="str">
        <f>IF(ISBLANK(Лист1!S132),"",Лист1!S132)</f>
        <v>"6B01705 - Иностранный язык: два иностранных языка (английский)", В018-Подготовка учителей иностранного языка</v>
      </c>
      <c r="T132" s="5" t="str">
        <f>IF(ISBLANK(Лист1!T132),"",Лист1!T132)</f>
        <v>очное</v>
      </c>
      <c r="U132" s="5" t="str">
        <f>IF(ISBLANK(Лист1!U132),"",Лист1!U132)</f>
        <v/>
      </c>
      <c r="V132" s="5" t="str">
        <f>IF(ISBLANK(Лист1!V132),"",Лист1!V132)</f>
        <v>28</v>
      </c>
      <c r="W132" s="5" t="str">
        <f>IF(ISBLANK(Лист1!W132),"",Лист1!W132)</f>
        <v>маусым</v>
      </c>
      <c r="X132" s="5" t="str">
        <f>IF(ISBLANK(Лист1!X132),"",Лист1!X132)</f>
        <v>040827651804</v>
      </c>
      <c r="Y132" s="5" t="str">
        <f>IF(ISERROR(VLOOKUP($X132,Лист2!$A$2:$G$498,1,FALSE)),"",VLOOKUP($X132,Лист2!$A$2:$G$498,1,FALSE))</f>
        <v>040827651804</v>
      </c>
      <c r="Z132" s="5" t="str">
        <f>IF(ISERROR(VLOOKUP($X132,Лист2!$A$2:$L$498,9,FALSE)),"",VLOOKUP($X132,Лист2!$A$2:$L$498,9,FALSE))</f>
        <v>BD</v>
      </c>
      <c r="AA132" s="5" t="str">
        <f>IF(ISERROR(VLOOKUP($X132,Лист2!$A$2:$L$498,10,FALSE)),"",VLOOKUP($X132,Лист2!$A$2:$L$498,10,FALSE))</f>
        <v>00025658425</v>
      </c>
      <c r="AB132" s="5" t="str">
        <f>IF(ISERROR(VLOOKUP($X132,Лист2!$A$2:$M$498,13,FALSE)),"",VLOOKUP($X132,Лист2!$A$2:$M$498,13,FALSE))</f>
        <v>https://epvo.kz/#/verification_education_document?iin=040827651804&amp;diplomaSeries=BD&amp;diplomaNumber=00025658425</v>
      </c>
    </row>
    <row r="133" spans="1:28" x14ac:dyDescent="0.25">
      <c r="A133" s="5" t="str">
        <f>IF(ISBLANK(Лист1!A133),"",Лист1!A133)</f>
        <v>21</v>
      </c>
      <c r="B133" s="5" t="str">
        <f>IF(ISBLANK(Лист1!B133),"",Лист1!B133)</f>
        <v>маусымдағы</v>
      </c>
      <c r="C133" s="5" t="str">
        <f>IF(ISBLANK(Лист1!C133),"",Лист1!C133)</f>
        <v>65</v>
      </c>
      <c r="D133" s="5" t="str">
        <f>IF(ISBLANK(Лист1!D133),"",Лист1!D133)</f>
        <v>Нематуллаева  Дилруза  Хайруллаевнага</v>
      </c>
      <c r="E133" s="5" t="str">
        <f>IF(ISBLANK(Лист1!E133),"",Лист1!E133)</f>
        <v>"6В01705 - Шетел тілі: екі шетел тілі (ағылшын)", В018-Шет тілі мұғалімдерін даярлау</v>
      </c>
      <c r="F133" s="5" t="str">
        <f>IF(ISBLANK(Лист1!F133),"",Лист1!F133)</f>
        <v>білім</v>
      </c>
      <c r="G133" s="5" t="str">
        <f>IF(ISBLANK(Лист1!G133),"",Лист1!G133)</f>
        <v>күндізгі</v>
      </c>
      <c r="H133" s="5" t="str">
        <f>IF(ISBLANK(Лист1!H133),"",Лист1!H133)</f>
        <v>Nematullayeva  Dilruza</v>
      </c>
      <c r="I133" s="5" t="str">
        <f>IF(ISBLANK(Лист1!I133),"",Лист1!I133)</f>
        <v>Education</v>
      </c>
      <c r="J133" s="5" t="str">
        <f>IF(ISBLANK(Лист1!J133),"",Лист1!J133)</f>
        <v>"6B01705 - Foreign language: two foreign languages (English)", B018-Training of foreign language teachers</v>
      </c>
      <c r="K133" s="5" t="str">
        <f>IF(ISBLANK(Лист1!K133),"",Лист1!K133)</f>
        <v>full-time</v>
      </c>
      <c r="L133" s="5" t="str">
        <f>IF(ISBLANK(Лист1!L133),"",Лист1!L133)</f>
        <v>21</v>
      </c>
      <c r="M133" s="5" t="str">
        <f>IF(ISBLANK(Лист1!M133),"",Лист1!M133)</f>
        <v>June</v>
      </c>
      <c r="N133" s="5" t="str">
        <f>IF(ISBLANK(Лист1!N133),"",Лист1!N133)</f>
        <v>21</v>
      </c>
      <c r="O133" s="5" t="str">
        <f>IF(ISBLANK(Лист1!O133),"",Лист1!O133)</f>
        <v>июня</v>
      </c>
      <c r="P133" s="5" t="str">
        <f>IF(ISBLANK(Лист1!P133),"",Лист1!P133)</f>
        <v>65</v>
      </c>
      <c r="Q133" s="5" t="str">
        <f>IF(ISBLANK(Лист1!Q133),"",Лист1!Q133)</f>
        <v>Нематуллаевой  Дилрузе  Хайруллаевне</v>
      </c>
      <c r="R133" s="5" t="str">
        <f>IF(ISBLANK(Лист1!R133),"",Лист1!R133)</f>
        <v>образования</v>
      </c>
      <c r="S133" s="5" t="str">
        <f>IF(ISBLANK(Лист1!S133),"",Лист1!S133)</f>
        <v>"6B01705 - Иностранный язык: два иностранных языка (английский)", В018-Подготовка учителей иностранного языка</v>
      </c>
      <c r="T133" s="5" t="str">
        <f>IF(ISBLANK(Лист1!T133),"",Лист1!T133)</f>
        <v>очное</v>
      </c>
      <c r="U133" s="5" t="str">
        <f>IF(ISBLANK(Лист1!U133),"",Лист1!U133)</f>
        <v/>
      </c>
      <c r="V133" s="5" t="str">
        <f>IF(ISBLANK(Лист1!V133),"",Лист1!V133)</f>
        <v>28</v>
      </c>
      <c r="W133" s="5" t="str">
        <f>IF(ISBLANK(Лист1!W133),"",Лист1!W133)</f>
        <v>маусым</v>
      </c>
      <c r="X133" s="5" t="str">
        <f>IF(ISBLANK(Лист1!X133),"",Лист1!X133)</f>
        <v>031027601301</v>
      </c>
      <c r="Y133" s="5" t="str">
        <f>IF(ISERROR(VLOOKUP($X133,Лист2!$A$2:$G$498,1,FALSE)),"",VLOOKUP($X133,Лист2!$A$2:$G$498,1,FALSE))</f>
        <v>031027601301</v>
      </c>
      <c r="Z133" s="5" t="str">
        <f>IF(ISERROR(VLOOKUP($X133,Лист2!$A$2:$L$498,9,FALSE)),"",VLOOKUP($X133,Лист2!$A$2:$L$498,9,FALSE))</f>
        <v>BD</v>
      </c>
      <c r="AA133" s="5" t="str">
        <f>IF(ISERROR(VLOOKUP($X133,Лист2!$A$2:$L$498,10,FALSE)),"",VLOOKUP($X133,Лист2!$A$2:$L$498,10,FALSE))</f>
        <v>00025658625</v>
      </c>
      <c r="AB133" s="5" t="str">
        <f>IF(ISERROR(VLOOKUP($X133,Лист2!$A$2:$M$498,13,FALSE)),"",VLOOKUP($X133,Лист2!$A$2:$M$498,13,FALSE))</f>
        <v>https://epvo.kz/#/verification_education_document?iin=031027601301&amp;diplomaSeries=BD&amp;diplomaNumber=00025658625</v>
      </c>
    </row>
    <row r="134" spans="1:28" x14ac:dyDescent="0.25">
      <c r="A134" s="5" t="str">
        <f>IF(ISBLANK(Лист1!A134),"",Лист1!A134)</f>
        <v>21</v>
      </c>
      <c r="B134" s="5" t="str">
        <f>IF(ISBLANK(Лист1!B134),"",Лист1!B134)</f>
        <v>маусымдағы</v>
      </c>
      <c r="C134" s="5" t="str">
        <f>IF(ISBLANK(Лист1!C134),"",Лист1!C134)</f>
        <v>66</v>
      </c>
      <c r="D134" s="5" t="str">
        <f>IF(ISBLANK(Лист1!D134),"",Лист1!D134)</f>
        <v>Нуркенова  Айжан  Бауыржанқызына</v>
      </c>
      <c r="E134" s="5" t="str">
        <f>IF(ISBLANK(Лист1!E134),"",Лист1!E134)</f>
        <v>"6В01705 - Шетел тілі: екі шетел тілі (ағылшын)", В018-Шет тілі мұғалімдерін даярлау</v>
      </c>
      <c r="F134" s="5" t="str">
        <f>IF(ISBLANK(Лист1!F134),"",Лист1!F134)</f>
        <v>білім</v>
      </c>
      <c r="G134" s="5" t="str">
        <f>IF(ISBLANK(Лист1!G134),"",Лист1!G134)</f>
        <v>күндізгі</v>
      </c>
      <c r="H134" s="5" t="str">
        <f>IF(ISBLANK(Лист1!H134),"",Лист1!H134)</f>
        <v>Nurkenova  Aizhan</v>
      </c>
      <c r="I134" s="5" t="str">
        <f>IF(ISBLANK(Лист1!I134),"",Лист1!I134)</f>
        <v>Education</v>
      </c>
      <c r="J134" s="5" t="str">
        <f>IF(ISBLANK(Лист1!J134),"",Лист1!J134)</f>
        <v>"6B01705 - Foreign language: two foreign languages (English)", B018-Training of foreign language teachers</v>
      </c>
      <c r="K134" s="5" t="str">
        <f>IF(ISBLANK(Лист1!K134),"",Лист1!K134)</f>
        <v>full-time</v>
      </c>
      <c r="L134" s="5" t="str">
        <f>IF(ISBLANK(Лист1!L134),"",Лист1!L134)</f>
        <v>21</v>
      </c>
      <c r="M134" s="5" t="str">
        <f>IF(ISBLANK(Лист1!M134),"",Лист1!M134)</f>
        <v>June</v>
      </c>
      <c r="N134" s="5" t="str">
        <f>IF(ISBLANK(Лист1!N134),"",Лист1!N134)</f>
        <v>21</v>
      </c>
      <c r="O134" s="5" t="str">
        <f>IF(ISBLANK(Лист1!O134),"",Лист1!O134)</f>
        <v>июня</v>
      </c>
      <c r="P134" s="5" t="str">
        <f>IF(ISBLANK(Лист1!P134),"",Лист1!P134)</f>
        <v>66</v>
      </c>
      <c r="Q134" s="5" t="str">
        <f>IF(ISBLANK(Лист1!Q134),"",Лист1!Q134)</f>
        <v>Нуркенова  Айжан  Бауыржанқызы</v>
      </c>
      <c r="R134" s="5" t="str">
        <f>IF(ISBLANK(Лист1!R134),"",Лист1!R134)</f>
        <v>образования</v>
      </c>
      <c r="S134" s="5" t="str">
        <f>IF(ISBLANK(Лист1!S134),"",Лист1!S134)</f>
        <v>"6B01705 - Иностранный язык: два иностранных языка (английский)", В018-Подготовка учителей иностранного языка</v>
      </c>
      <c r="T134" s="5" t="str">
        <f>IF(ISBLANK(Лист1!T134),"",Лист1!T134)</f>
        <v>очное</v>
      </c>
      <c r="U134" s="5" t="str">
        <f>IF(ISBLANK(Лист1!U134),"",Лист1!U134)</f>
        <v/>
      </c>
      <c r="V134" s="5" t="str">
        <f>IF(ISBLANK(Лист1!V134),"",Лист1!V134)</f>
        <v>28</v>
      </c>
      <c r="W134" s="5" t="str">
        <f>IF(ISBLANK(Лист1!W134),"",Лист1!W134)</f>
        <v>маусым</v>
      </c>
      <c r="X134" s="5" t="str">
        <f>IF(ISBLANK(Лист1!X134),"",Лист1!X134)</f>
        <v>041012600400</v>
      </c>
      <c r="Y134" s="5" t="str">
        <f>IF(ISERROR(VLOOKUP($X134,Лист2!$A$2:$G$498,1,FALSE)),"",VLOOKUP($X134,Лист2!$A$2:$G$498,1,FALSE))</f>
        <v>041012600400</v>
      </c>
      <c r="Z134" s="5" t="str">
        <f>IF(ISERROR(VLOOKUP($X134,Лист2!$A$2:$L$498,9,FALSE)),"",VLOOKUP($X134,Лист2!$A$2:$L$498,9,FALSE))</f>
        <v>BD</v>
      </c>
      <c r="AA134" s="5" t="str">
        <f>IF(ISERROR(VLOOKUP($X134,Лист2!$A$2:$L$498,10,FALSE)),"",VLOOKUP($X134,Лист2!$A$2:$L$498,10,FALSE))</f>
        <v>00025658825</v>
      </c>
      <c r="AB134" s="5" t="str">
        <f>IF(ISERROR(VLOOKUP($X134,Лист2!$A$2:$M$498,13,FALSE)),"",VLOOKUP($X134,Лист2!$A$2:$M$498,13,FALSE))</f>
        <v>https://epvo.kz/#/verification_education_document?iin=041012600400&amp;diplomaSeries=BD&amp;diplomaNumber=00025658825</v>
      </c>
    </row>
    <row r="135" spans="1:28" x14ac:dyDescent="0.25">
      <c r="A135" s="5" t="str">
        <f>IF(ISBLANK(Лист1!A135),"",Лист1!A135)</f>
        <v>21</v>
      </c>
      <c r="B135" s="5" t="str">
        <f>IF(ISBLANK(Лист1!B135),"",Лист1!B135)</f>
        <v>маусымдағы</v>
      </c>
      <c r="C135" s="5" t="str">
        <f>IF(ISBLANK(Лист1!C135),"",Лист1!C135)</f>
        <v>67</v>
      </c>
      <c r="D135" s="5" t="str">
        <f>IF(ISBLANK(Лист1!D135),"",Лист1!D135)</f>
        <v>Нурметова  Дилноза  Фахриддинқызына</v>
      </c>
      <c r="E135" s="5" t="str">
        <f>IF(ISBLANK(Лист1!E135),"",Лист1!E135)</f>
        <v>"6В01705 - Шетел тілі: екі шетел тілі (ағылшын)", В018-Шет тілі мұғалімдерін даярлау</v>
      </c>
      <c r="F135" s="5" t="str">
        <f>IF(ISBLANK(Лист1!F135),"",Лист1!F135)</f>
        <v>білім</v>
      </c>
      <c r="G135" s="5" t="str">
        <f>IF(ISBLANK(Лист1!G135),"",Лист1!G135)</f>
        <v>күндізгі</v>
      </c>
      <c r="H135" s="5" t="str">
        <f>IF(ISBLANK(Лист1!H135),"",Лист1!H135)</f>
        <v>Nurmetova  Dilnoza</v>
      </c>
      <c r="I135" s="5" t="str">
        <f>IF(ISBLANK(Лист1!I135),"",Лист1!I135)</f>
        <v>Education</v>
      </c>
      <c r="J135" s="5" t="str">
        <f>IF(ISBLANK(Лист1!J135),"",Лист1!J135)</f>
        <v>"6B01705 - Foreign language: two foreign languages (English)", B018-Training of foreign language teachers</v>
      </c>
      <c r="K135" s="5" t="str">
        <f>IF(ISBLANK(Лист1!K135),"",Лист1!K135)</f>
        <v>full-time</v>
      </c>
      <c r="L135" s="5" t="str">
        <f>IF(ISBLANK(Лист1!L135),"",Лист1!L135)</f>
        <v>21</v>
      </c>
      <c r="M135" s="5" t="str">
        <f>IF(ISBLANK(Лист1!M135),"",Лист1!M135)</f>
        <v>June</v>
      </c>
      <c r="N135" s="5" t="str">
        <f>IF(ISBLANK(Лист1!N135),"",Лист1!N135)</f>
        <v>21</v>
      </c>
      <c r="O135" s="5" t="str">
        <f>IF(ISBLANK(Лист1!O135),"",Лист1!O135)</f>
        <v>июня</v>
      </c>
      <c r="P135" s="5" t="str">
        <f>IF(ISBLANK(Лист1!P135),"",Лист1!P135)</f>
        <v>67</v>
      </c>
      <c r="Q135" s="5" t="str">
        <f>IF(ISBLANK(Лист1!Q135),"",Лист1!Q135)</f>
        <v>Нурметова  Дилноза  Фахриддинқызы</v>
      </c>
      <c r="R135" s="5" t="str">
        <f>IF(ISBLANK(Лист1!R135),"",Лист1!R135)</f>
        <v>образования</v>
      </c>
      <c r="S135" s="5" t="str">
        <f>IF(ISBLANK(Лист1!S135),"",Лист1!S135)</f>
        <v>"6B01705 - Иностранный язык: два иностранных языка (английский)", В018-Подготовка учителей иностранного языка</v>
      </c>
      <c r="T135" s="5" t="str">
        <f>IF(ISBLANK(Лист1!T135),"",Лист1!T135)</f>
        <v>очное</v>
      </c>
      <c r="U135" s="5" t="str">
        <f>IF(ISBLANK(Лист1!U135),"",Лист1!U135)</f>
        <v/>
      </c>
      <c r="V135" s="5" t="str">
        <f>IF(ISBLANK(Лист1!V135),"",Лист1!V135)</f>
        <v>28</v>
      </c>
      <c r="W135" s="5" t="str">
        <f>IF(ISBLANK(Лист1!W135),"",Лист1!W135)</f>
        <v>маусым</v>
      </c>
      <c r="X135" s="5" t="str">
        <f>IF(ISBLANK(Лист1!X135),"",Лист1!X135)</f>
        <v>030304600522</v>
      </c>
      <c r="Y135" s="5" t="str">
        <f>IF(ISERROR(VLOOKUP($X135,Лист2!$A$2:$G$498,1,FALSE)),"",VLOOKUP($X135,Лист2!$A$2:$G$498,1,FALSE))</f>
        <v>030304600522</v>
      </c>
      <c r="Z135" s="5" t="str">
        <f>IF(ISERROR(VLOOKUP($X135,Лист2!$A$2:$L$498,9,FALSE)),"",VLOOKUP($X135,Лист2!$A$2:$L$498,9,FALSE))</f>
        <v>BD</v>
      </c>
      <c r="AA135" s="5" t="str">
        <f>IF(ISERROR(VLOOKUP($X135,Лист2!$A$2:$L$498,10,FALSE)),"",VLOOKUP($X135,Лист2!$A$2:$L$498,10,FALSE))</f>
        <v>00025659025</v>
      </c>
      <c r="AB135" s="5" t="str">
        <f>IF(ISERROR(VLOOKUP($X135,Лист2!$A$2:$M$498,13,FALSE)),"",VLOOKUP($X135,Лист2!$A$2:$M$498,13,FALSE))</f>
        <v>https://epvo.kz/#/verification_education_document?iin=030304600522&amp;diplomaSeries=BD&amp;diplomaNumber=00025659025</v>
      </c>
    </row>
    <row r="136" spans="1:28" x14ac:dyDescent="0.25">
      <c r="A136" s="5" t="str">
        <f>IF(ISBLANK(Лист1!A136),"",Лист1!A136)</f>
        <v>21</v>
      </c>
      <c r="B136" s="5" t="str">
        <f>IF(ISBLANK(Лист1!B136),"",Лист1!B136)</f>
        <v>маусымдағы</v>
      </c>
      <c r="C136" s="5" t="str">
        <f>IF(ISBLANK(Лист1!C136),"",Лист1!C136)</f>
        <v>169</v>
      </c>
      <c r="D136" s="5" t="str">
        <f>IF(ISBLANK(Лист1!D136),"",Лист1!D136)</f>
        <v>Нурпеисова  Анара  Жаслановнаға</v>
      </c>
      <c r="E136" s="5" t="str">
        <f>IF(ISBLANK(Лист1!E136),"",Лист1!E136)</f>
        <v>"6В01705 - Шетел тілі: екі шетел тілі (ағылшын)", В018-Шет тілі мұғалімдерін даярлау</v>
      </c>
      <c r="F136" s="5" t="str">
        <f>IF(ISBLANK(Лист1!F136),"",Лист1!F136)</f>
        <v>білім</v>
      </c>
      <c r="G136" s="5" t="str">
        <f>IF(ISBLANK(Лист1!G136),"",Лист1!G136)</f>
        <v>күндізгі</v>
      </c>
      <c r="H136" s="5" t="str">
        <f>IF(ISBLANK(Лист1!H136),"",Лист1!H136)</f>
        <v>Nurpeissova  Anara</v>
      </c>
      <c r="I136" s="5" t="str">
        <f>IF(ISBLANK(Лист1!I136),"",Лист1!I136)</f>
        <v>Education</v>
      </c>
      <c r="J136" s="5" t="str">
        <f>IF(ISBLANK(Лист1!J136),"",Лист1!J136)</f>
        <v>"6B01705 - Foreign language: two foreign languages (English)", B018-Training of foreign language teachers</v>
      </c>
      <c r="K136" s="5" t="str">
        <f>IF(ISBLANK(Лист1!K136),"",Лист1!K136)</f>
        <v>full-time</v>
      </c>
      <c r="L136" s="5" t="str">
        <f>IF(ISBLANK(Лист1!L136),"",Лист1!L136)</f>
        <v>21</v>
      </c>
      <c r="M136" s="5" t="str">
        <f>IF(ISBLANK(Лист1!M136),"",Лист1!M136)</f>
        <v>June</v>
      </c>
      <c r="N136" s="5" t="str">
        <f>IF(ISBLANK(Лист1!N136),"",Лист1!N136)</f>
        <v>21</v>
      </c>
      <c r="O136" s="5" t="str">
        <f>IF(ISBLANK(Лист1!O136),"",Лист1!O136)</f>
        <v>июня</v>
      </c>
      <c r="P136" s="5" t="str">
        <f>IF(ISBLANK(Лист1!P136),"",Лист1!P136)</f>
        <v>169</v>
      </c>
      <c r="Q136" s="5" t="str">
        <f>IF(ISBLANK(Лист1!Q136),"",Лист1!Q136)</f>
        <v>Нурпеисовой  Анаре  Жаслановне</v>
      </c>
      <c r="R136" s="5" t="str">
        <f>IF(ISBLANK(Лист1!R136),"",Лист1!R136)</f>
        <v>образования</v>
      </c>
      <c r="S136" s="5" t="str">
        <f>IF(ISBLANK(Лист1!S136),"",Лист1!S136)</f>
        <v>"6B01705 - Иностранный язык: два иностранных языка (английский)", В018-Подготовка учителей иностранного языка</v>
      </c>
      <c r="T136" s="5" t="str">
        <f>IF(ISBLANK(Лист1!T136),"",Лист1!T136)</f>
        <v>очное</v>
      </c>
      <c r="U136" s="5" t="str">
        <f>IF(ISBLANK(Лист1!U136),"",Лист1!U136)</f>
        <v/>
      </c>
      <c r="V136" s="5" t="str">
        <f>IF(ISBLANK(Лист1!V136),"",Лист1!V136)</f>
        <v>28</v>
      </c>
      <c r="W136" s="5" t="str">
        <f>IF(ISBLANK(Лист1!W136),"",Лист1!W136)</f>
        <v>маусым</v>
      </c>
      <c r="X136" s="5" t="str">
        <f>IF(ISBLANK(Лист1!X136),"",Лист1!X136)</f>
        <v>040402651581</v>
      </c>
      <c r="Y136" s="5" t="str">
        <f>IF(ISERROR(VLOOKUP($X136,Лист2!$A$2:$G$498,1,FALSE)),"",VLOOKUP($X136,Лист2!$A$2:$G$498,1,FALSE))</f>
        <v>040402651581</v>
      </c>
      <c r="Z136" s="5" t="str">
        <f>IF(ISERROR(VLOOKUP($X136,Лист2!$A$2:$L$498,9,FALSE)),"",VLOOKUP($X136,Лист2!$A$2:$L$498,9,FALSE))</f>
        <v>BD</v>
      </c>
      <c r="AA136" s="5" t="str">
        <f>IF(ISERROR(VLOOKUP($X136,Лист2!$A$2:$L$498,10,FALSE)),"",VLOOKUP($X136,Лист2!$A$2:$L$498,10,FALSE))</f>
        <v>00025659325</v>
      </c>
      <c r="AB136" s="5" t="str">
        <f>IF(ISERROR(VLOOKUP($X136,Лист2!$A$2:$M$498,13,FALSE)),"",VLOOKUP($X136,Лист2!$A$2:$M$498,13,FALSE))</f>
        <v>https://epvo.kz/#/verification_education_document?iin=040402651581&amp;diplomaSeries=BD&amp;diplomaNumber=00025659325</v>
      </c>
    </row>
    <row r="137" spans="1:28" x14ac:dyDescent="0.25">
      <c r="A137" s="5" t="str">
        <f>IF(ISBLANK(Лист1!A137),"",Лист1!A137)</f>
        <v>21</v>
      </c>
      <c r="B137" s="5" t="str">
        <f>IF(ISBLANK(Лист1!B137),"",Лист1!B137)</f>
        <v>маусымдағы</v>
      </c>
      <c r="C137" s="5" t="str">
        <f>IF(ISBLANK(Лист1!C137),"",Лист1!C137)</f>
        <v>155</v>
      </c>
      <c r="D137" s="5" t="str">
        <f>IF(ISBLANK(Лист1!D137),"",Лист1!D137)</f>
        <v>Нұрғазы  Шұғыла  Еркінқызына</v>
      </c>
      <c r="E137" s="5" t="str">
        <f>IF(ISBLANK(Лист1!E137),"",Лист1!E137)</f>
        <v>"6В01705 - Шетел тілі: екі шетел тілі (ағылшын)", В018-Шет тілі мұғалімдерін даярлау</v>
      </c>
      <c r="F137" s="5" t="str">
        <f>IF(ISBLANK(Лист1!F137),"",Лист1!F137)</f>
        <v>білім</v>
      </c>
      <c r="G137" s="5" t="str">
        <f>IF(ISBLANK(Лист1!G137),"",Лист1!G137)</f>
        <v>күндізгі</v>
      </c>
      <c r="H137" s="5" t="str">
        <f>IF(ISBLANK(Лист1!H137),"",Лист1!H137)</f>
        <v>Nurgazy  Shugyla</v>
      </c>
      <c r="I137" s="5" t="str">
        <f>IF(ISBLANK(Лист1!I137),"",Лист1!I137)</f>
        <v>Education</v>
      </c>
      <c r="J137" s="5" t="str">
        <f>IF(ISBLANK(Лист1!J137),"",Лист1!J137)</f>
        <v>"6B01705 - Foreign language: two foreign languages (English)", B018-Training of foreign language teachers</v>
      </c>
      <c r="K137" s="5" t="str">
        <f>IF(ISBLANK(Лист1!K137),"",Лист1!K137)</f>
        <v>full-time</v>
      </c>
      <c r="L137" s="5" t="str">
        <f>IF(ISBLANK(Лист1!L137),"",Лист1!L137)</f>
        <v>21</v>
      </c>
      <c r="M137" s="5" t="str">
        <f>IF(ISBLANK(Лист1!M137),"",Лист1!M137)</f>
        <v>June</v>
      </c>
      <c r="N137" s="5" t="str">
        <f>IF(ISBLANK(Лист1!N137),"",Лист1!N137)</f>
        <v>21</v>
      </c>
      <c r="O137" s="5" t="str">
        <f>IF(ISBLANK(Лист1!O137),"",Лист1!O137)</f>
        <v>июня</v>
      </c>
      <c r="P137" s="5" t="str">
        <f>IF(ISBLANK(Лист1!P137),"",Лист1!P137)</f>
        <v>155</v>
      </c>
      <c r="Q137" s="5" t="str">
        <f>IF(ISBLANK(Лист1!Q137),"",Лист1!Q137)</f>
        <v>Нұрғазы  Шұғыла  Еркінқызы</v>
      </c>
      <c r="R137" s="5" t="str">
        <f>IF(ISBLANK(Лист1!R137),"",Лист1!R137)</f>
        <v>образования</v>
      </c>
      <c r="S137" s="5" t="str">
        <f>IF(ISBLANK(Лист1!S137),"",Лист1!S137)</f>
        <v>"6B01705 - Иностранный язык: два иностранных языка (английский)", В018-Подготовка учителей иностранного языка</v>
      </c>
      <c r="T137" s="5" t="str">
        <f>IF(ISBLANK(Лист1!T137),"",Лист1!T137)</f>
        <v>очное</v>
      </c>
      <c r="U137" s="5" t="str">
        <f>IF(ISBLANK(Лист1!U137),"",Лист1!U137)</f>
        <v/>
      </c>
      <c r="V137" s="5" t="str">
        <f>IF(ISBLANK(Лист1!V137),"",Лист1!V137)</f>
        <v>28</v>
      </c>
      <c r="W137" s="5" t="str">
        <f>IF(ISBLANK(Лист1!W137),"",Лист1!W137)</f>
        <v>маусым</v>
      </c>
      <c r="X137" s="5" t="str">
        <f>IF(ISBLANK(Лист1!X137),"",Лист1!X137)</f>
        <v>040111600981</v>
      </c>
      <c r="Y137" s="5" t="str">
        <f>IF(ISERROR(VLOOKUP($X137,Лист2!$A$2:$G$498,1,FALSE)),"",VLOOKUP($X137,Лист2!$A$2:$G$498,1,FALSE))</f>
        <v>040111600981</v>
      </c>
      <c r="Z137" s="5" t="str">
        <f>IF(ISERROR(VLOOKUP($X137,Лист2!$A$2:$L$498,9,FALSE)),"",VLOOKUP($X137,Лист2!$A$2:$L$498,9,FALSE))</f>
        <v>BD</v>
      </c>
      <c r="AA137" s="5" t="str">
        <f>IF(ISERROR(VLOOKUP($X137,Лист2!$A$2:$L$498,10,FALSE)),"",VLOOKUP($X137,Лист2!$A$2:$L$498,10,FALSE))</f>
        <v>00025659525</v>
      </c>
      <c r="AB137" s="5" t="str">
        <f>IF(ISERROR(VLOOKUP($X137,Лист2!$A$2:$M$498,13,FALSE)),"",VLOOKUP($X137,Лист2!$A$2:$M$498,13,FALSE))</f>
        <v>https://epvo.kz/#/verification_education_document?iin=040111600981&amp;diplomaSeries=BD&amp;diplomaNumber=00025659525</v>
      </c>
    </row>
    <row r="138" spans="1:28" x14ac:dyDescent="0.25">
      <c r="A138" s="5" t="str">
        <f>IF(ISBLANK(Лист1!A138),"",Лист1!A138)</f>
        <v>21</v>
      </c>
      <c r="B138" s="5" t="str">
        <f>IF(ISBLANK(Лист1!B138),"",Лист1!B138)</f>
        <v>маусымдағы</v>
      </c>
      <c r="C138" s="5" t="str">
        <f>IF(ISBLANK(Лист1!C138),"",Лист1!C138)</f>
        <v>45</v>
      </c>
      <c r="D138" s="5" t="str">
        <f>IF(ISBLANK(Лист1!D138),"",Лист1!D138)</f>
        <v>Нұрқали  Зере  Қасымқызына</v>
      </c>
      <c r="E138" s="5" t="str">
        <f>IF(ISBLANK(Лист1!E138),"",Лист1!E138)</f>
        <v>"6В01705 - Шетел тілі: екі шетел тілі (ағылшын)", В018-Шет тілі мұғалімдерін даярлау</v>
      </c>
      <c r="F138" s="5" t="str">
        <f>IF(ISBLANK(Лист1!F138),"",Лист1!F138)</f>
        <v>білім</v>
      </c>
      <c r="G138" s="5" t="str">
        <f>IF(ISBLANK(Лист1!G138),"",Лист1!G138)</f>
        <v>күндізгі</v>
      </c>
      <c r="H138" s="5" t="str">
        <f>IF(ISBLANK(Лист1!H138),"",Лист1!H138)</f>
        <v>Nurkali  Zere</v>
      </c>
      <c r="I138" s="5" t="str">
        <f>IF(ISBLANK(Лист1!I138),"",Лист1!I138)</f>
        <v>Education</v>
      </c>
      <c r="J138" s="5" t="str">
        <f>IF(ISBLANK(Лист1!J138),"",Лист1!J138)</f>
        <v>"6B01705 - Foreign language: two foreign languages (English)", B018-Training of foreign language teachers</v>
      </c>
      <c r="K138" s="5" t="str">
        <f>IF(ISBLANK(Лист1!K138),"",Лист1!K138)</f>
        <v>full-time</v>
      </c>
      <c r="L138" s="5" t="str">
        <f>IF(ISBLANK(Лист1!L138),"",Лист1!L138)</f>
        <v>21</v>
      </c>
      <c r="M138" s="5" t="str">
        <f>IF(ISBLANK(Лист1!M138),"",Лист1!M138)</f>
        <v>June</v>
      </c>
      <c r="N138" s="5" t="str">
        <f>IF(ISBLANK(Лист1!N138),"",Лист1!N138)</f>
        <v>21</v>
      </c>
      <c r="O138" s="5" t="str">
        <f>IF(ISBLANK(Лист1!O138),"",Лист1!O138)</f>
        <v>июня</v>
      </c>
      <c r="P138" s="5" t="str">
        <f>IF(ISBLANK(Лист1!P138),"",Лист1!P138)</f>
        <v>45</v>
      </c>
      <c r="Q138" s="5" t="str">
        <f>IF(ISBLANK(Лист1!Q138),"",Лист1!Q138)</f>
        <v>Нұрқали  Зере  Қасымқызы</v>
      </c>
      <c r="R138" s="5" t="str">
        <f>IF(ISBLANK(Лист1!R138),"",Лист1!R138)</f>
        <v>образования</v>
      </c>
      <c r="S138" s="5" t="str">
        <f>IF(ISBLANK(Лист1!S138),"",Лист1!S138)</f>
        <v>"6B01705 - Иностранный язык: два иностранных языка (английский)", В018-Подготовка учителей иностранного языка</v>
      </c>
      <c r="T138" s="5" t="str">
        <f>IF(ISBLANK(Лист1!T138),"",Лист1!T138)</f>
        <v>очное</v>
      </c>
      <c r="U138" s="5" t="str">
        <f>IF(ISBLANK(Лист1!U138),"",Лист1!U138)</f>
        <v/>
      </c>
      <c r="V138" s="5" t="str">
        <f>IF(ISBLANK(Лист1!V138),"",Лист1!V138)</f>
        <v>28</v>
      </c>
      <c r="W138" s="5" t="str">
        <f>IF(ISBLANK(Лист1!W138),"",Лист1!W138)</f>
        <v>маусым</v>
      </c>
      <c r="X138" s="5" t="str">
        <f>IF(ISBLANK(Лист1!X138),"",Лист1!X138)</f>
        <v>041017601208</v>
      </c>
      <c r="Y138" s="5" t="str">
        <f>IF(ISERROR(VLOOKUP($X138,Лист2!$A$2:$G$498,1,FALSE)),"",VLOOKUP($X138,Лист2!$A$2:$G$498,1,FALSE))</f>
        <v>041017601208</v>
      </c>
      <c r="Z138" s="5" t="str">
        <f>IF(ISERROR(VLOOKUP($X138,Лист2!$A$2:$L$498,9,FALSE)),"",VLOOKUP($X138,Лист2!$A$2:$L$498,9,FALSE))</f>
        <v>BD</v>
      </c>
      <c r="AA138" s="5" t="str">
        <f>IF(ISERROR(VLOOKUP($X138,Лист2!$A$2:$L$498,10,FALSE)),"",VLOOKUP($X138,Лист2!$A$2:$L$498,10,FALSE))</f>
        <v>00025659825</v>
      </c>
      <c r="AB138" s="5" t="str">
        <f>IF(ISERROR(VLOOKUP($X138,Лист2!$A$2:$M$498,13,FALSE)),"",VLOOKUP($X138,Лист2!$A$2:$M$498,13,FALSE))</f>
        <v>https://epvo.kz/#/verification_education_document?iin=041017601208&amp;diplomaSeries=BD&amp;diplomaNumber=00025659825</v>
      </c>
    </row>
    <row r="139" spans="1:28" x14ac:dyDescent="0.25">
      <c r="A139" s="5" t="str">
        <f>IF(ISBLANK(Лист1!A139),"",Лист1!A139)</f>
        <v>21</v>
      </c>
      <c r="B139" s="5" t="str">
        <f>IF(ISBLANK(Лист1!B139),"",Лист1!B139)</f>
        <v>маусымдағы</v>
      </c>
      <c r="C139" s="5" t="str">
        <f>IF(ISBLANK(Лист1!C139),"",Лист1!C139)</f>
        <v>52</v>
      </c>
      <c r="D139" s="5" t="str">
        <f>IF(ISBLANK(Лист1!D139),"",Лист1!D139)</f>
        <v>Озганбаева  Меруерт  Қуандыққызына</v>
      </c>
      <c r="E139" s="5" t="str">
        <f>IF(ISBLANK(Лист1!E139),"",Лист1!E139)</f>
        <v>"6В01705 - Шетел тілі: екі шетел тілі (ағылшын)", В018-Шет тілі мұғалімдерін даярлау</v>
      </c>
      <c r="F139" s="5" t="str">
        <f>IF(ISBLANK(Лист1!F139),"",Лист1!F139)</f>
        <v>білім</v>
      </c>
      <c r="G139" s="5" t="str">
        <f>IF(ISBLANK(Лист1!G139),"",Лист1!G139)</f>
        <v>күндізгі</v>
      </c>
      <c r="H139" s="5" t="str">
        <f>IF(ISBLANK(Лист1!H139),"",Лист1!H139)</f>
        <v>Ozganbayeva  Meruyert</v>
      </c>
      <c r="I139" s="5" t="str">
        <f>IF(ISBLANK(Лист1!I139),"",Лист1!I139)</f>
        <v>Education</v>
      </c>
      <c r="J139" s="5" t="str">
        <f>IF(ISBLANK(Лист1!J139),"",Лист1!J139)</f>
        <v>"6B01705 - Foreign language: two foreign languages (English)", B018-Training of foreign language teachers</v>
      </c>
      <c r="K139" s="5" t="str">
        <f>IF(ISBLANK(Лист1!K139),"",Лист1!K139)</f>
        <v>full-time</v>
      </c>
      <c r="L139" s="5" t="str">
        <f>IF(ISBLANK(Лист1!L139),"",Лист1!L139)</f>
        <v>21</v>
      </c>
      <c r="M139" s="5" t="str">
        <f>IF(ISBLANK(Лист1!M139),"",Лист1!M139)</f>
        <v>June</v>
      </c>
      <c r="N139" s="5" t="str">
        <f>IF(ISBLANK(Лист1!N139),"",Лист1!N139)</f>
        <v>21</v>
      </c>
      <c r="O139" s="5" t="str">
        <f>IF(ISBLANK(Лист1!O139),"",Лист1!O139)</f>
        <v>июня</v>
      </c>
      <c r="P139" s="5" t="str">
        <f>IF(ISBLANK(Лист1!P139),"",Лист1!P139)</f>
        <v>52</v>
      </c>
      <c r="Q139" s="5" t="str">
        <f>IF(ISBLANK(Лист1!Q139),"",Лист1!Q139)</f>
        <v>Озганбаева  Меруерт  Қуандыққызы</v>
      </c>
      <c r="R139" s="5" t="str">
        <f>IF(ISBLANK(Лист1!R139),"",Лист1!R139)</f>
        <v>образования</v>
      </c>
      <c r="S139" s="5" t="str">
        <f>IF(ISBLANK(Лист1!S139),"",Лист1!S139)</f>
        <v>"6B01705 - Иностранный язык: два иностранных языка (английский)", В018-Подготовка учителей иностранного языка</v>
      </c>
      <c r="T139" s="5" t="str">
        <f>IF(ISBLANK(Лист1!T139),"",Лист1!T139)</f>
        <v>очное</v>
      </c>
      <c r="U139" s="5" t="str">
        <f>IF(ISBLANK(Лист1!U139),"",Лист1!U139)</f>
        <v/>
      </c>
      <c r="V139" s="5" t="str">
        <f>IF(ISBLANK(Лист1!V139),"",Лист1!V139)</f>
        <v>28</v>
      </c>
      <c r="W139" s="5" t="str">
        <f>IF(ISBLANK(Лист1!W139),"",Лист1!W139)</f>
        <v>маусым</v>
      </c>
      <c r="X139" s="5" t="str">
        <f>IF(ISBLANK(Лист1!X139),"",Лист1!X139)</f>
        <v>031026600267</v>
      </c>
      <c r="Y139" s="5" t="str">
        <f>IF(ISERROR(VLOOKUP($X139,Лист2!$A$2:$G$498,1,FALSE)),"",VLOOKUP($X139,Лист2!$A$2:$G$498,1,FALSE))</f>
        <v>031026600267</v>
      </c>
      <c r="Z139" s="5" t="str">
        <f>IF(ISERROR(VLOOKUP($X139,Лист2!$A$2:$L$498,9,FALSE)),"",VLOOKUP($X139,Лист2!$A$2:$L$498,9,FALSE))</f>
        <v>BD</v>
      </c>
      <c r="AA139" s="5" t="str">
        <f>IF(ISERROR(VLOOKUP($X139,Лист2!$A$2:$L$498,10,FALSE)),"",VLOOKUP($X139,Лист2!$A$2:$L$498,10,FALSE))</f>
        <v>00025664125</v>
      </c>
      <c r="AB139" s="5" t="str">
        <f>IF(ISERROR(VLOOKUP($X139,Лист2!$A$2:$M$498,13,FALSE)),"",VLOOKUP($X139,Лист2!$A$2:$M$498,13,FALSE))</f>
        <v>https://epvo.kz/#/verification_education_document?iin=031026600267&amp;diplomaSeries=BD&amp;diplomaNumber=00025664125</v>
      </c>
    </row>
    <row r="140" spans="1:28" x14ac:dyDescent="0.25">
      <c r="A140" s="5" t="str">
        <f>IF(ISBLANK(Лист1!A140),"",Лист1!A140)</f>
        <v>21</v>
      </c>
      <c r="B140" s="5" t="str">
        <f>IF(ISBLANK(Лист1!B140),"",Лист1!B140)</f>
        <v>маусымдағы</v>
      </c>
      <c r="C140" s="5" t="str">
        <f>IF(ISBLANK(Лист1!C140),"",Лист1!C140)</f>
        <v>53</v>
      </c>
      <c r="D140" s="5" t="str">
        <f>IF(ISBLANK(Лист1!D140),"",Лист1!D140)</f>
        <v>Олжабай  Аякөз  Асанқызына</v>
      </c>
      <c r="E140" s="5" t="str">
        <f>IF(ISBLANK(Лист1!E140),"",Лист1!E140)</f>
        <v>"6В01705 - Шетел тілі: екі шетел тілі (ағылшын)", В018-Шет тілі мұғалімдерін даярлау</v>
      </c>
      <c r="F140" s="5" t="str">
        <f>IF(ISBLANK(Лист1!F140),"",Лист1!F140)</f>
        <v>білім</v>
      </c>
      <c r="G140" s="5" t="str">
        <f>IF(ISBLANK(Лист1!G140),"",Лист1!G140)</f>
        <v>күндізгі</v>
      </c>
      <c r="H140" s="5" t="str">
        <f>IF(ISBLANK(Лист1!H140),"",Лист1!H140)</f>
        <v>Olzhabay  Ayakoz</v>
      </c>
      <c r="I140" s="5" t="str">
        <f>IF(ISBLANK(Лист1!I140),"",Лист1!I140)</f>
        <v>Education</v>
      </c>
      <c r="J140" s="5" t="str">
        <f>IF(ISBLANK(Лист1!J140),"",Лист1!J140)</f>
        <v>"6B01705 - Foreign language: two foreign languages (English)", B018-Training of foreign language teachers</v>
      </c>
      <c r="K140" s="5" t="str">
        <f>IF(ISBLANK(Лист1!K140),"",Лист1!K140)</f>
        <v>full-time</v>
      </c>
      <c r="L140" s="5" t="str">
        <f>IF(ISBLANK(Лист1!L140),"",Лист1!L140)</f>
        <v>21</v>
      </c>
      <c r="M140" s="5" t="str">
        <f>IF(ISBLANK(Лист1!M140),"",Лист1!M140)</f>
        <v>June</v>
      </c>
      <c r="N140" s="5" t="str">
        <f>IF(ISBLANK(Лист1!N140),"",Лист1!N140)</f>
        <v>21</v>
      </c>
      <c r="O140" s="5" t="str">
        <f>IF(ISBLANK(Лист1!O140),"",Лист1!O140)</f>
        <v>июня</v>
      </c>
      <c r="P140" s="5" t="str">
        <f>IF(ISBLANK(Лист1!P140),"",Лист1!P140)</f>
        <v>53</v>
      </c>
      <c r="Q140" s="5" t="str">
        <f>IF(ISBLANK(Лист1!Q140),"",Лист1!Q140)</f>
        <v>Олжабай  Аякөз  Асанқызы</v>
      </c>
      <c r="R140" s="5" t="str">
        <f>IF(ISBLANK(Лист1!R140),"",Лист1!R140)</f>
        <v>образования</v>
      </c>
      <c r="S140" s="5" t="str">
        <f>IF(ISBLANK(Лист1!S140),"",Лист1!S140)</f>
        <v>"6B01705 - Иностранный язык: два иностранных языка (английский)", В018-Подготовка учителей иностранного языка</v>
      </c>
      <c r="T140" s="5" t="str">
        <f>IF(ISBLANK(Лист1!T140),"",Лист1!T140)</f>
        <v>очное</v>
      </c>
      <c r="U140" s="5" t="str">
        <f>IF(ISBLANK(Лист1!U140),"",Лист1!U140)</f>
        <v/>
      </c>
      <c r="V140" s="5" t="str">
        <f>IF(ISBLANK(Лист1!V140),"",Лист1!V140)</f>
        <v>28</v>
      </c>
      <c r="W140" s="5" t="str">
        <f>IF(ISBLANK(Лист1!W140),"",Лист1!W140)</f>
        <v>маусым</v>
      </c>
      <c r="X140" s="5" t="str">
        <f>IF(ISBLANK(Лист1!X140),"",Лист1!X140)</f>
        <v>031102600349</v>
      </c>
      <c r="Y140" s="5" t="str">
        <f>IF(ISERROR(VLOOKUP($X140,Лист2!$A$2:$G$498,1,FALSE)),"",VLOOKUP($X140,Лист2!$A$2:$G$498,1,FALSE))</f>
        <v>031102600349</v>
      </c>
      <c r="Z140" s="5" t="str">
        <f>IF(ISERROR(VLOOKUP($X140,Лист2!$A$2:$L$498,9,FALSE)),"",VLOOKUP($X140,Лист2!$A$2:$L$498,9,FALSE))</f>
        <v>BD</v>
      </c>
      <c r="AA140" s="5" t="str">
        <f>IF(ISERROR(VLOOKUP($X140,Лист2!$A$2:$L$498,10,FALSE)),"",VLOOKUP($X140,Лист2!$A$2:$L$498,10,FALSE))</f>
        <v>00025664225</v>
      </c>
      <c r="AB140" s="5" t="str">
        <f>IF(ISERROR(VLOOKUP($X140,Лист2!$A$2:$M$498,13,FALSE)),"",VLOOKUP($X140,Лист2!$A$2:$M$498,13,FALSE))</f>
        <v>https://epvo.kz/#/verification_education_document?iin=031102600349&amp;diplomaSeries=BD&amp;diplomaNumber=00025664225</v>
      </c>
    </row>
    <row r="141" spans="1:28" x14ac:dyDescent="0.25">
      <c r="A141" s="5" t="str">
        <f>IF(ISBLANK(Лист1!A141),"",Лист1!A141)</f>
        <v>21</v>
      </c>
      <c r="B141" s="5" t="str">
        <f>IF(ISBLANK(Лист1!B141),"",Лист1!B141)</f>
        <v>маусымдағы</v>
      </c>
      <c r="C141" s="5" t="str">
        <f>IF(ISBLANK(Лист1!C141),"",Лист1!C141)</f>
        <v>06</v>
      </c>
      <c r="D141" s="5" t="str">
        <f>IF(ISBLANK(Лист1!D141),"",Лист1!D141)</f>
        <v>Омарова  Даяна  Алмасовнаға</v>
      </c>
      <c r="E141" s="5" t="str">
        <f>IF(ISBLANK(Лист1!E141),"",Лист1!E141)</f>
        <v>"6В01705 - Шетел тілі: екі шетел тілі (ағылшын)", В018-Шет тілі мұғалімдерін даярлау</v>
      </c>
      <c r="F141" s="5" t="str">
        <f>IF(ISBLANK(Лист1!F141),"",Лист1!F141)</f>
        <v>білім</v>
      </c>
      <c r="G141" s="5" t="str">
        <f>IF(ISBLANK(Лист1!G141),"",Лист1!G141)</f>
        <v>күндізгі</v>
      </c>
      <c r="H141" s="5" t="str">
        <f>IF(ISBLANK(Лист1!H141),"",Лист1!H141)</f>
        <v>Omarova  Dayana</v>
      </c>
      <c r="I141" s="5" t="str">
        <f>IF(ISBLANK(Лист1!I141),"",Лист1!I141)</f>
        <v>Education</v>
      </c>
      <c r="J141" s="5" t="str">
        <f>IF(ISBLANK(Лист1!J141),"",Лист1!J141)</f>
        <v>"6B01705 - Foreign language: two foreign languages (English)", B018-Training of foreign language teachers</v>
      </c>
      <c r="K141" s="5" t="str">
        <f>IF(ISBLANK(Лист1!K141),"",Лист1!K141)</f>
        <v>full-time</v>
      </c>
      <c r="L141" s="5" t="str">
        <f>IF(ISBLANK(Лист1!L141),"",Лист1!L141)</f>
        <v>21</v>
      </c>
      <c r="M141" s="5" t="str">
        <f>IF(ISBLANK(Лист1!M141),"",Лист1!M141)</f>
        <v>June</v>
      </c>
      <c r="N141" s="5" t="str">
        <f>IF(ISBLANK(Лист1!N141),"",Лист1!N141)</f>
        <v>21</v>
      </c>
      <c r="O141" s="5" t="str">
        <f>IF(ISBLANK(Лист1!O141),"",Лист1!O141)</f>
        <v>июня</v>
      </c>
      <c r="P141" s="5" t="str">
        <f>IF(ISBLANK(Лист1!P141),"",Лист1!P141)</f>
        <v>06</v>
      </c>
      <c r="Q141" s="5" t="str">
        <f>IF(ISBLANK(Лист1!Q141),"",Лист1!Q141)</f>
        <v>Омаровой  Даяне  Алмасовне</v>
      </c>
      <c r="R141" s="5" t="str">
        <f>IF(ISBLANK(Лист1!R141),"",Лист1!R141)</f>
        <v>образования</v>
      </c>
      <c r="S141" s="5" t="str">
        <f>IF(ISBLANK(Лист1!S141),"",Лист1!S141)</f>
        <v>"6B01705 - Иностранный язык: два иностранных языка (английский)", В018-Подготовка учителей иностранного языка</v>
      </c>
      <c r="T141" s="5" t="str">
        <f>IF(ISBLANK(Лист1!T141),"",Лист1!T141)</f>
        <v>очное</v>
      </c>
      <c r="U141" s="5" t="str">
        <f>IF(ISBLANK(Лист1!U141),"",Лист1!U141)</f>
        <v/>
      </c>
      <c r="V141" s="5" t="str">
        <f>IF(ISBLANK(Лист1!V141),"",Лист1!V141)</f>
        <v>28</v>
      </c>
      <c r="W141" s="5" t="str">
        <f>IF(ISBLANK(Лист1!W141),"",Лист1!W141)</f>
        <v>маусым</v>
      </c>
      <c r="X141" s="5" t="str">
        <f>IF(ISBLANK(Лист1!X141),"",Лист1!X141)</f>
        <v>040705651033</v>
      </c>
      <c r="Y141" s="5" t="str">
        <f>IF(ISERROR(VLOOKUP($X141,Лист2!$A$2:$G$498,1,FALSE)),"",VLOOKUP($X141,Лист2!$A$2:$G$498,1,FALSE))</f>
        <v>040705651033</v>
      </c>
      <c r="Z141" s="5" t="str">
        <f>IF(ISERROR(VLOOKUP($X141,Лист2!$A$2:$L$498,9,FALSE)),"",VLOOKUP($X141,Лист2!$A$2:$L$498,9,FALSE))</f>
        <v>BD</v>
      </c>
      <c r="AA141" s="5" t="str">
        <f>IF(ISERROR(VLOOKUP($X141,Лист2!$A$2:$L$498,10,FALSE)),"",VLOOKUP($X141,Лист2!$A$2:$L$498,10,FALSE))</f>
        <v>00025664325</v>
      </c>
      <c r="AB141" s="5" t="str">
        <f>IF(ISERROR(VLOOKUP($X141,Лист2!$A$2:$M$498,13,FALSE)),"",VLOOKUP($X141,Лист2!$A$2:$M$498,13,FALSE))</f>
        <v>https://epvo.kz/#/verification_education_document?iin=040705651033&amp;diplomaSeries=BD&amp;diplomaNumber=00025664325</v>
      </c>
    </row>
    <row r="142" spans="1:28" x14ac:dyDescent="0.25">
      <c r="A142" s="5" t="str">
        <f>IF(ISBLANK(Лист1!A142),"",Лист1!A142)</f>
        <v>21</v>
      </c>
      <c r="B142" s="5" t="str">
        <f>IF(ISBLANK(Лист1!B142),"",Лист1!B142)</f>
        <v>маусымдағы</v>
      </c>
      <c r="C142" s="5" t="str">
        <f>IF(ISBLANK(Лист1!C142),"",Лист1!C142)</f>
        <v>29</v>
      </c>
      <c r="D142" s="5" t="str">
        <f>IF(ISBLANK(Лист1!D142),"",Лист1!D142)</f>
        <v>Оразбай  Гауһар  Асилқызына</v>
      </c>
      <c r="E142" s="5" t="str">
        <f>IF(ISBLANK(Лист1!E142),"",Лист1!E142)</f>
        <v>"6В01705 - Шетел тілі: екі шетел тілі (ағылшын)", В018-Шет тілі мұғалімдерін даярлау</v>
      </c>
      <c r="F142" s="5" t="str">
        <f>IF(ISBLANK(Лист1!F142),"",Лист1!F142)</f>
        <v>білім</v>
      </c>
      <c r="G142" s="5" t="str">
        <f>IF(ISBLANK(Лист1!G142),"",Лист1!G142)</f>
        <v>күндізгі</v>
      </c>
      <c r="H142" s="5" t="str">
        <f>IF(ISBLANK(Лист1!H142),"",Лист1!H142)</f>
        <v>Orazbay  Gauhar</v>
      </c>
      <c r="I142" s="5" t="str">
        <f>IF(ISBLANK(Лист1!I142),"",Лист1!I142)</f>
        <v>Education</v>
      </c>
      <c r="J142" s="5" t="str">
        <f>IF(ISBLANK(Лист1!J142),"",Лист1!J142)</f>
        <v>"6B01705 - Foreign language: two foreign languages (English)", B018-Training of foreign language teachers</v>
      </c>
      <c r="K142" s="5" t="str">
        <f>IF(ISBLANK(Лист1!K142),"",Лист1!K142)</f>
        <v>full-time</v>
      </c>
      <c r="L142" s="5" t="str">
        <f>IF(ISBLANK(Лист1!L142),"",Лист1!L142)</f>
        <v>21</v>
      </c>
      <c r="M142" s="5" t="str">
        <f>IF(ISBLANK(Лист1!M142),"",Лист1!M142)</f>
        <v>June</v>
      </c>
      <c r="N142" s="5" t="str">
        <f>IF(ISBLANK(Лист1!N142),"",Лист1!N142)</f>
        <v>21</v>
      </c>
      <c r="O142" s="5" t="str">
        <f>IF(ISBLANK(Лист1!O142),"",Лист1!O142)</f>
        <v>июня</v>
      </c>
      <c r="P142" s="5" t="str">
        <f>IF(ISBLANK(Лист1!P142),"",Лист1!P142)</f>
        <v>29</v>
      </c>
      <c r="Q142" s="5" t="str">
        <f>IF(ISBLANK(Лист1!Q142),"",Лист1!Q142)</f>
        <v>Оразбай  Гауһар  Асилқызы</v>
      </c>
      <c r="R142" s="5" t="str">
        <f>IF(ISBLANK(Лист1!R142),"",Лист1!R142)</f>
        <v>образования</v>
      </c>
      <c r="S142" s="5" t="str">
        <f>IF(ISBLANK(Лист1!S142),"",Лист1!S142)</f>
        <v>"6B01705 - Иностранный язык: два иностранных языка (английский)", В018-Подготовка учителей иностранного языка</v>
      </c>
      <c r="T142" s="5" t="str">
        <f>IF(ISBLANK(Лист1!T142),"",Лист1!T142)</f>
        <v>очное</v>
      </c>
      <c r="U142" s="5" t="str">
        <f>IF(ISBLANK(Лист1!U142),"",Лист1!U142)</f>
        <v/>
      </c>
      <c r="V142" s="5" t="str">
        <f>IF(ISBLANK(Лист1!V142),"",Лист1!V142)</f>
        <v>28</v>
      </c>
      <c r="W142" s="5" t="str">
        <f>IF(ISBLANK(Лист1!W142),"",Лист1!W142)</f>
        <v>маусым</v>
      </c>
      <c r="X142" s="5" t="str">
        <f>IF(ISBLANK(Лист1!X142),"",Лист1!X142)</f>
        <v>040129600305</v>
      </c>
      <c r="Y142" s="5" t="str">
        <f>IF(ISERROR(VLOOKUP($X142,Лист2!$A$2:$G$498,1,FALSE)),"",VLOOKUP($X142,Лист2!$A$2:$G$498,1,FALSE))</f>
        <v>040129600305</v>
      </c>
      <c r="Z142" s="5" t="str">
        <f>IF(ISERROR(VLOOKUP($X142,Лист2!$A$2:$L$498,9,FALSE)),"",VLOOKUP($X142,Лист2!$A$2:$L$498,9,FALSE))</f>
        <v>BD</v>
      </c>
      <c r="AA142" s="5" t="str">
        <f>IF(ISERROR(VLOOKUP($X142,Лист2!$A$2:$L$498,10,FALSE)),"",VLOOKUP($X142,Лист2!$A$2:$L$498,10,FALSE))</f>
        <v>00025664425</v>
      </c>
      <c r="AB142" s="5" t="str">
        <f>IF(ISERROR(VLOOKUP($X142,Лист2!$A$2:$M$498,13,FALSE)),"",VLOOKUP($X142,Лист2!$A$2:$M$498,13,FALSE))</f>
        <v>https://epvo.kz/#/verification_education_document?iin=040129600305&amp;diplomaSeries=BD&amp;diplomaNumber=00025664425</v>
      </c>
    </row>
    <row r="143" spans="1:28" x14ac:dyDescent="0.25">
      <c r="A143" s="5" t="str">
        <f>IF(ISBLANK(Лист1!A143),"",Лист1!A143)</f>
        <v>21</v>
      </c>
      <c r="B143" s="5" t="str">
        <f>IF(ISBLANK(Лист1!B143),"",Лист1!B143)</f>
        <v>маусымдағы</v>
      </c>
      <c r="C143" s="5" t="str">
        <f>IF(ISBLANK(Лист1!C143),"",Лист1!C143)</f>
        <v>237</v>
      </c>
      <c r="D143" s="5" t="str">
        <f>IF(ISBLANK(Лист1!D143),"",Лист1!D143)</f>
        <v>Оразымбетова  Арайлым  Савитқизына</v>
      </c>
      <c r="E143" s="5" t="str">
        <f>IF(ISBLANK(Лист1!E143),"",Лист1!E143)</f>
        <v>"6В01705 - Шетел тілі: екі шетел тілі (ағылшын)", В018-Шет тілі мұғалімдерін даярлау</v>
      </c>
      <c r="F143" s="5" t="str">
        <f>IF(ISBLANK(Лист1!F143),"",Лист1!F143)</f>
        <v>білім</v>
      </c>
      <c r="G143" s="5" t="str">
        <f>IF(ISBLANK(Лист1!G143),"",Лист1!G143)</f>
        <v>күндізгі</v>
      </c>
      <c r="H143" s="5" t="str">
        <f>IF(ISBLANK(Лист1!H143),"",Лист1!H143)</f>
        <v>Orazymbetova  Arailym</v>
      </c>
      <c r="I143" s="5" t="str">
        <f>IF(ISBLANK(Лист1!I143),"",Лист1!I143)</f>
        <v>Education</v>
      </c>
      <c r="J143" s="5" t="str">
        <f>IF(ISBLANK(Лист1!J143),"",Лист1!J143)</f>
        <v>"6B01705 - Foreign language: two foreign languages (English)", B018-Training of foreign language teachers</v>
      </c>
      <c r="K143" s="5" t="str">
        <f>IF(ISBLANK(Лист1!K143),"",Лист1!K143)</f>
        <v>full-time</v>
      </c>
      <c r="L143" s="5" t="str">
        <f>IF(ISBLANK(Лист1!L143),"",Лист1!L143)</f>
        <v>21</v>
      </c>
      <c r="M143" s="5" t="str">
        <f>IF(ISBLANK(Лист1!M143),"",Лист1!M143)</f>
        <v>June</v>
      </c>
      <c r="N143" s="5" t="str">
        <f>IF(ISBLANK(Лист1!N143),"",Лист1!N143)</f>
        <v>21</v>
      </c>
      <c r="O143" s="5" t="str">
        <f>IF(ISBLANK(Лист1!O143),"",Лист1!O143)</f>
        <v>июня</v>
      </c>
      <c r="P143" s="5" t="str">
        <f>IF(ISBLANK(Лист1!P143),"",Лист1!P143)</f>
        <v>237</v>
      </c>
      <c r="Q143" s="5" t="str">
        <f>IF(ISBLANK(Лист1!Q143),"",Лист1!Q143)</f>
        <v>Оразымбетова  Арайлым  Савитқизы</v>
      </c>
      <c r="R143" s="5" t="str">
        <f>IF(ISBLANK(Лист1!R143),"",Лист1!R143)</f>
        <v>образования</v>
      </c>
      <c r="S143" s="5" t="str">
        <f>IF(ISBLANK(Лист1!S143),"",Лист1!S143)</f>
        <v>"6B01705 - Иностранный язык: два иностранных языка (английский)", В018-Подготовка учителей иностранного языка</v>
      </c>
      <c r="T143" s="5" t="str">
        <f>IF(ISBLANK(Лист1!T143),"",Лист1!T143)</f>
        <v>очное</v>
      </c>
      <c r="U143" s="5" t="str">
        <f>IF(ISBLANK(Лист1!U143),"",Лист1!U143)</f>
        <v/>
      </c>
      <c r="V143" s="5" t="str">
        <f>IF(ISBLANK(Лист1!V143),"",Лист1!V143)</f>
        <v>28</v>
      </c>
      <c r="W143" s="5" t="str">
        <f>IF(ISBLANK(Лист1!W143),"",Лист1!W143)</f>
        <v>маусым</v>
      </c>
      <c r="X143" s="5" t="str">
        <f>IF(ISBLANK(Лист1!X143),"",Лист1!X143)</f>
        <v>030819600542</v>
      </c>
      <c r="Y143" s="5" t="str">
        <f>IF(ISERROR(VLOOKUP($X143,Лист2!$A$2:$G$498,1,FALSE)),"",VLOOKUP($X143,Лист2!$A$2:$G$498,1,FALSE))</f>
        <v>030819600542</v>
      </c>
      <c r="Z143" s="5" t="str">
        <f>IF(ISERROR(VLOOKUP($X143,Лист2!$A$2:$L$498,9,FALSE)),"",VLOOKUP($X143,Лист2!$A$2:$L$498,9,FALSE))</f>
        <v>BD</v>
      </c>
      <c r="AA143" s="5" t="str">
        <f>IF(ISERROR(VLOOKUP($X143,Лист2!$A$2:$L$498,10,FALSE)),"",VLOOKUP($X143,Лист2!$A$2:$L$498,10,FALSE))</f>
        <v>00025664525</v>
      </c>
      <c r="AB143" s="5" t="str">
        <f>IF(ISERROR(VLOOKUP($X143,Лист2!$A$2:$M$498,13,FALSE)),"",VLOOKUP($X143,Лист2!$A$2:$M$498,13,FALSE))</f>
        <v>https://epvo.kz/#/verification_education_document?iin=030819600542&amp;diplomaSeries=BD&amp;diplomaNumber=00025664525</v>
      </c>
    </row>
    <row r="144" spans="1:28" x14ac:dyDescent="0.25">
      <c r="A144" s="5" t="str">
        <f>IF(ISBLANK(Лист1!A144),"",Лист1!A144)</f>
        <v>21</v>
      </c>
      <c r="B144" s="5" t="str">
        <f>IF(ISBLANK(Лист1!B144),"",Лист1!B144)</f>
        <v>маусымдағы</v>
      </c>
      <c r="C144" s="5" t="str">
        <f>IF(ISBLANK(Лист1!C144),"",Лист1!C144)</f>
        <v>02</v>
      </c>
      <c r="D144" s="5" t="str">
        <f>IF(ISBLANK(Лист1!D144),"",Лист1!D144)</f>
        <v>Оралбекова  Амина  Дауреновнаға</v>
      </c>
      <c r="E144" s="5" t="str">
        <f>IF(ISBLANK(Лист1!E144),"",Лист1!E144)</f>
        <v>"6В01705 - Шетел тілі: екі шетел тілі (ағылшын)", В018-Шет тілі мұғалімдерін даярлау</v>
      </c>
      <c r="F144" s="5" t="str">
        <f>IF(ISBLANK(Лист1!F144),"",Лист1!F144)</f>
        <v>білім</v>
      </c>
      <c r="G144" s="5" t="str">
        <f>IF(ISBLANK(Лист1!G144),"",Лист1!G144)</f>
        <v>күндізгі</v>
      </c>
      <c r="H144" s="5" t="str">
        <f>IF(ISBLANK(Лист1!H144),"",Лист1!H144)</f>
        <v>Oralbekova  Amina</v>
      </c>
      <c r="I144" s="5" t="str">
        <f>IF(ISBLANK(Лист1!I144),"",Лист1!I144)</f>
        <v>Education</v>
      </c>
      <c r="J144" s="5" t="str">
        <f>IF(ISBLANK(Лист1!J144),"",Лист1!J144)</f>
        <v>"6B01705 - Foreign language: two foreign languages (English)", B018-Training of foreign language teachers</v>
      </c>
      <c r="K144" s="5" t="str">
        <f>IF(ISBLANK(Лист1!K144),"",Лист1!K144)</f>
        <v>full-time</v>
      </c>
      <c r="L144" s="5" t="str">
        <f>IF(ISBLANK(Лист1!L144),"",Лист1!L144)</f>
        <v>21</v>
      </c>
      <c r="M144" s="5" t="str">
        <f>IF(ISBLANK(Лист1!M144),"",Лист1!M144)</f>
        <v>June</v>
      </c>
      <c r="N144" s="5" t="str">
        <f>IF(ISBLANK(Лист1!N144),"",Лист1!N144)</f>
        <v>21</v>
      </c>
      <c r="O144" s="5" t="str">
        <f>IF(ISBLANK(Лист1!O144),"",Лист1!O144)</f>
        <v>июня</v>
      </c>
      <c r="P144" s="5" t="str">
        <f>IF(ISBLANK(Лист1!P144),"",Лист1!P144)</f>
        <v>02</v>
      </c>
      <c r="Q144" s="5" t="str">
        <f>IF(ISBLANK(Лист1!Q144),"",Лист1!Q144)</f>
        <v>Оралбековой  Амине  Дауреновне</v>
      </c>
      <c r="R144" s="5" t="str">
        <f>IF(ISBLANK(Лист1!R144),"",Лист1!R144)</f>
        <v>образования</v>
      </c>
      <c r="S144" s="5" t="str">
        <f>IF(ISBLANK(Лист1!S144),"",Лист1!S144)</f>
        <v>"6B01705 - Иностранный язык: два иностранных языка (английский)", В018-Подготовка учителей иностранного языка</v>
      </c>
      <c r="T144" s="5" t="str">
        <f>IF(ISBLANK(Лист1!T144),"",Лист1!T144)</f>
        <v>очное</v>
      </c>
      <c r="U144" s="5" t="str">
        <f>IF(ISBLANK(Лист1!U144),"",Лист1!U144)</f>
        <v/>
      </c>
      <c r="V144" s="5" t="str">
        <f>IF(ISBLANK(Лист1!V144),"",Лист1!V144)</f>
        <v>28</v>
      </c>
      <c r="W144" s="5" t="str">
        <f>IF(ISBLANK(Лист1!W144),"",Лист1!W144)</f>
        <v>маусым</v>
      </c>
      <c r="X144" s="5" t="str">
        <f>IF(ISBLANK(Лист1!X144),"",Лист1!X144)</f>
        <v>030331650932</v>
      </c>
      <c r="Y144" s="5" t="str">
        <f>IF(ISERROR(VLOOKUP($X144,Лист2!$A$2:$G$498,1,FALSE)),"",VLOOKUP($X144,Лист2!$A$2:$G$498,1,FALSE))</f>
        <v>030331650932</v>
      </c>
      <c r="Z144" s="5" t="str">
        <f>IF(ISERROR(VLOOKUP($X144,Лист2!$A$2:$L$498,9,FALSE)),"",VLOOKUP($X144,Лист2!$A$2:$L$498,9,FALSE))</f>
        <v>BD</v>
      </c>
      <c r="AA144" s="5" t="str">
        <f>IF(ISERROR(VLOOKUP($X144,Лист2!$A$2:$L$498,10,FALSE)),"",VLOOKUP($X144,Лист2!$A$2:$L$498,10,FALSE))</f>
        <v>00025664625</v>
      </c>
      <c r="AB144" s="5" t="str">
        <f>IF(ISERROR(VLOOKUP($X144,Лист2!$A$2:$M$498,13,FALSE)),"",VLOOKUP($X144,Лист2!$A$2:$M$498,13,FALSE))</f>
        <v>https://epvo.kz/#/verification_education_document?iin=030331650932&amp;diplomaSeries=BD&amp;diplomaNumber=00025664625</v>
      </c>
    </row>
    <row r="145" spans="1:28" x14ac:dyDescent="0.25">
      <c r="A145" s="5" t="str">
        <f>IF(ISBLANK(Лист1!A145),"",Лист1!A145)</f>
        <v>21</v>
      </c>
      <c r="B145" s="5" t="str">
        <f>IF(ISBLANK(Лист1!B145),"",Лист1!B145)</f>
        <v>маусымдағы</v>
      </c>
      <c r="C145" s="5" t="str">
        <f>IF(ISBLANK(Лист1!C145),"",Лист1!C145)</f>
        <v>172</v>
      </c>
      <c r="D145" s="5" t="str">
        <f>IF(ISBLANK(Лист1!D145),"",Лист1!D145)</f>
        <v>Орналы  Айжан  Ғалымқызына</v>
      </c>
      <c r="E145" s="5" t="str">
        <f>IF(ISBLANK(Лист1!E145),"",Лист1!E145)</f>
        <v>"6В01705 - Шетел тілі: екі шетел тілі (ағылшын)", В018-Шет тілі мұғалімдерін даярлау</v>
      </c>
      <c r="F145" s="5" t="str">
        <f>IF(ISBLANK(Лист1!F145),"",Лист1!F145)</f>
        <v>білім</v>
      </c>
      <c r="G145" s="5" t="str">
        <f>IF(ISBLANK(Лист1!G145),"",Лист1!G145)</f>
        <v>күндізгі</v>
      </c>
      <c r="H145" s="5" t="str">
        <f>IF(ISBLANK(Лист1!H145),"",Лист1!H145)</f>
        <v>Ornaly  Aizhan</v>
      </c>
      <c r="I145" s="5" t="str">
        <f>IF(ISBLANK(Лист1!I145),"",Лист1!I145)</f>
        <v>Education</v>
      </c>
      <c r="J145" s="5" t="str">
        <f>IF(ISBLANK(Лист1!J145),"",Лист1!J145)</f>
        <v>"6B01705 - Foreign language: two foreign languages (English)", B018-Training of foreign language teachers</v>
      </c>
      <c r="K145" s="5" t="str">
        <f>IF(ISBLANK(Лист1!K145),"",Лист1!K145)</f>
        <v>full-time</v>
      </c>
      <c r="L145" s="5" t="str">
        <f>IF(ISBLANK(Лист1!L145),"",Лист1!L145)</f>
        <v>21</v>
      </c>
      <c r="M145" s="5" t="str">
        <f>IF(ISBLANK(Лист1!M145),"",Лист1!M145)</f>
        <v>June</v>
      </c>
      <c r="N145" s="5" t="str">
        <f>IF(ISBLANK(Лист1!N145),"",Лист1!N145)</f>
        <v>21</v>
      </c>
      <c r="O145" s="5" t="str">
        <f>IF(ISBLANK(Лист1!O145),"",Лист1!O145)</f>
        <v>июня</v>
      </c>
      <c r="P145" s="5" t="str">
        <f>IF(ISBLANK(Лист1!P145),"",Лист1!P145)</f>
        <v>172</v>
      </c>
      <c r="Q145" s="5" t="str">
        <f>IF(ISBLANK(Лист1!Q145),"",Лист1!Q145)</f>
        <v>Орналы  Айжан  Ғалымқызы</v>
      </c>
      <c r="R145" s="5" t="str">
        <f>IF(ISBLANK(Лист1!R145),"",Лист1!R145)</f>
        <v>образования</v>
      </c>
      <c r="S145" s="5" t="str">
        <f>IF(ISBLANK(Лист1!S145),"",Лист1!S145)</f>
        <v>"6B01705 - Иностранный язык: два иностранных языка (английский)", В018-Подготовка учителей иностранного языка</v>
      </c>
      <c r="T145" s="5" t="str">
        <f>IF(ISBLANK(Лист1!T145),"",Лист1!T145)</f>
        <v>очное</v>
      </c>
      <c r="U145" s="5" t="str">
        <f>IF(ISBLANK(Лист1!U145),"",Лист1!U145)</f>
        <v/>
      </c>
      <c r="V145" s="5" t="str">
        <f>IF(ISBLANK(Лист1!V145),"",Лист1!V145)</f>
        <v>28</v>
      </c>
      <c r="W145" s="5" t="str">
        <f>IF(ISBLANK(Лист1!W145),"",Лист1!W145)</f>
        <v>маусым</v>
      </c>
      <c r="X145" s="5" t="str">
        <f>IF(ISBLANK(Лист1!X145),"",Лист1!X145)</f>
        <v>040828600335</v>
      </c>
      <c r="Y145" s="5" t="str">
        <f>IF(ISERROR(VLOOKUP($X145,Лист2!$A$2:$G$498,1,FALSE)),"",VLOOKUP($X145,Лист2!$A$2:$G$498,1,FALSE))</f>
        <v>040828600335</v>
      </c>
      <c r="Z145" s="5" t="str">
        <f>IF(ISERROR(VLOOKUP($X145,Лист2!$A$2:$L$498,9,FALSE)),"",VLOOKUP($X145,Лист2!$A$2:$L$498,9,FALSE))</f>
        <v>BD</v>
      </c>
      <c r="AA145" s="5" t="str">
        <f>IF(ISERROR(VLOOKUP($X145,Лист2!$A$2:$L$498,10,FALSE)),"",VLOOKUP($X145,Лист2!$A$2:$L$498,10,FALSE))</f>
        <v>00025664725</v>
      </c>
      <c r="AB145" s="5" t="str">
        <f>IF(ISERROR(VLOOKUP($X145,Лист2!$A$2:$M$498,13,FALSE)),"",VLOOKUP($X145,Лист2!$A$2:$M$498,13,FALSE))</f>
        <v>https://epvo.kz/#/verification_education_document?iin=040828600335&amp;diplomaSeries=BD&amp;diplomaNumber=00025664725</v>
      </c>
    </row>
    <row r="146" spans="1:28" x14ac:dyDescent="0.25">
      <c r="A146" s="5" t="str">
        <f>IF(ISBLANK(Лист1!A146),"",Лист1!A146)</f>
        <v>21</v>
      </c>
      <c r="B146" s="5" t="str">
        <f>IF(ISBLANK(Лист1!B146),"",Лист1!B146)</f>
        <v>маусымдағы</v>
      </c>
      <c r="C146" s="5" t="str">
        <f>IF(ISBLANK(Лист1!C146),"",Лист1!C146)</f>
        <v>30</v>
      </c>
      <c r="D146" s="5" t="str">
        <f>IF(ISBLANK(Лист1!D146),"",Лист1!D146)</f>
        <v>Орынбасар  Динара  Қайратқызына</v>
      </c>
      <c r="E146" s="5" t="str">
        <f>IF(ISBLANK(Лист1!E146),"",Лист1!E146)</f>
        <v>"6В01705 - Шетел тілі: екі шетел тілі (ағылшын)", В018-Шет тілі мұғалімдерін даярлау</v>
      </c>
      <c r="F146" s="5" t="str">
        <f>IF(ISBLANK(Лист1!F146),"",Лист1!F146)</f>
        <v>білім</v>
      </c>
      <c r="G146" s="5" t="str">
        <f>IF(ISBLANK(Лист1!G146),"",Лист1!G146)</f>
        <v>күндізгі</v>
      </c>
      <c r="H146" s="5" t="str">
        <f>IF(ISBLANK(Лист1!H146),"",Лист1!H146)</f>
        <v>Orynbassar  Dinara</v>
      </c>
      <c r="I146" s="5" t="str">
        <f>IF(ISBLANK(Лист1!I146),"",Лист1!I146)</f>
        <v>Education</v>
      </c>
      <c r="J146" s="5" t="str">
        <f>IF(ISBLANK(Лист1!J146),"",Лист1!J146)</f>
        <v>"6B01705 - Foreign language: two foreign languages (English)", B018-Training of foreign language teachers</v>
      </c>
      <c r="K146" s="5" t="str">
        <f>IF(ISBLANK(Лист1!K146),"",Лист1!K146)</f>
        <v>full-time</v>
      </c>
      <c r="L146" s="5" t="str">
        <f>IF(ISBLANK(Лист1!L146),"",Лист1!L146)</f>
        <v>21</v>
      </c>
      <c r="M146" s="5" t="str">
        <f>IF(ISBLANK(Лист1!M146),"",Лист1!M146)</f>
        <v>June</v>
      </c>
      <c r="N146" s="5" t="str">
        <f>IF(ISBLANK(Лист1!N146),"",Лист1!N146)</f>
        <v>21</v>
      </c>
      <c r="O146" s="5" t="str">
        <f>IF(ISBLANK(Лист1!O146),"",Лист1!O146)</f>
        <v>июня</v>
      </c>
      <c r="P146" s="5" t="str">
        <f>IF(ISBLANK(Лист1!P146),"",Лист1!P146)</f>
        <v>30</v>
      </c>
      <c r="Q146" s="5" t="str">
        <f>IF(ISBLANK(Лист1!Q146),"",Лист1!Q146)</f>
        <v>Орынбасар  Динара  Қайратқызы</v>
      </c>
      <c r="R146" s="5" t="str">
        <f>IF(ISBLANK(Лист1!R146),"",Лист1!R146)</f>
        <v>образования</v>
      </c>
      <c r="S146" s="5" t="str">
        <f>IF(ISBLANK(Лист1!S146),"",Лист1!S146)</f>
        <v>"6B01705 - Иностранный язык: два иностранных языка (английский)", В018-Подготовка учителей иностранного языка</v>
      </c>
      <c r="T146" s="5" t="str">
        <f>IF(ISBLANK(Лист1!T146),"",Лист1!T146)</f>
        <v>очное</v>
      </c>
      <c r="U146" s="5" t="str">
        <f>IF(ISBLANK(Лист1!U146),"",Лист1!U146)</f>
        <v/>
      </c>
      <c r="V146" s="5" t="str">
        <f>IF(ISBLANK(Лист1!V146),"",Лист1!V146)</f>
        <v>28</v>
      </c>
      <c r="W146" s="5" t="str">
        <f>IF(ISBLANK(Лист1!W146),"",Лист1!W146)</f>
        <v>маусым</v>
      </c>
      <c r="X146" s="5" t="str">
        <f>IF(ISBLANK(Лист1!X146),"",Лист1!X146)</f>
        <v>030602601243</v>
      </c>
      <c r="Y146" s="5" t="str">
        <f>IF(ISERROR(VLOOKUP($X146,Лист2!$A$2:$G$498,1,FALSE)),"",VLOOKUP($X146,Лист2!$A$2:$G$498,1,FALSE))</f>
        <v>030602601243</v>
      </c>
      <c r="Z146" s="5" t="str">
        <f>IF(ISERROR(VLOOKUP($X146,Лист2!$A$2:$L$498,9,FALSE)),"",VLOOKUP($X146,Лист2!$A$2:$L$498,9,FALSE))</f>
        <v>BD</v>
      </c>
      <c r="AA146" s="5" t="str">
        <f>IF(ISERROR(VLOOKUP($X146,Лист2!$A$2:$L$498,10,FALSE)),"",VLOOKUP($X146,Лист2!$A$2:$L$498,10,FALSE))</f>
        <v>00025664825</v>
      </c>
      <c r="AB146" s="5" t="str">
        <f>IF(ISERROR(VLOOKUP($X146,Лист2!$A$2:$M$498,13,FALSE)),"",VLOOKUP($X146,Лист2!$A$2:$M$498,13,FALSE))</f>
        <v>https://epvo.kz/#/verification_education_document?iin=030602601243&amp;diplomaSeries=BD&amp;diplomaNumber=00025664825</v>
      </c>
    </row>
    <row r="147" spans="1:28" x14ac:dyDescent="0.25">
      <c r="A147" s="5" t="str">
        <f>IF(ISBLANK(Лист1!A147),"",Лист1!A147)</f>
        <v>21</v>
      </c>
      <c r="B147" s="5" t="str">
        <f>IF(ISBLANK(Лист1!B147),"",Лист1!B147)</f>
        <v>маусымдағы</v>
      </c>
      <c r="C147" s="5" t="str">
        <f>IF(ISBLANK(Лист1!C147),"",Лист1!C147)</f>
        <v>72</v>
      </c>
      <c r="D147" s="5" t="str">
        <f>IF(ISBLANK(Лист1!D147),"",Лист1!D147)</f>
        <v>Орынбек  Әсем  Темірбекқызына</v>
      </c>
      <c r="E147" s="5" t="str">
        <f>IF(ISBLANK(Лист1!E147),"",Лист1!E147)</f>
        <v>"6В01705 - Шетел тілі: екі шетел тілі (ағылшын)", В018-Шет тілі мұғалімдерін даярлау</v>
      </c>
      <c r="F147" s="5" t="str">
        <f>IF(ISBLANK(Лист1!F147),"",Лист1!F147)</f>
        <v>білім</v>
      </c>
      <c r="G147" s="5" t="str">
        <f>IF(ISBLANK(Лист1!G147),"",Лист1!G147)</f>
        <v>күндізгі</v>
      </c>
      <c r="H147" s="5" t="str">
        <f>IF(ISBLANK(Лист1!H147),"",Лист1!H147)</f>
        <v>Orynbek  Assem</v>
      </c>
      <c r="I147" s="5" t="str">
        <f>IF(ISBLANK(Лист1!I147),"",Лист1!I147)</f>
        <v>Education</v>
      </c>
      <c r="J147" s="5" t="str">
        <f>IF(ISBLANK(Лист1!J147),"",Лист1!J147)</f>
        <v>"6B01705 - Foreign language: two foreign languages (English)", B018-Training of foreign language teachers</v>
      </c>
      <c r="K147" s="5" t="str">
        <f>IF(ISBLANK(Лист1!K147),"",Лист1!K147)</f>
        <v>full-time</v>
      </c>
      <c r="L147" s="5" t="str">
        <f>IF(ISBLANK(Лист1!L147),"",Лист1!L147)</f>
        <v>21</v>
      </c>
      <c r="M147" s="5" t="str">
        <f>IF(ISBLANK(Лист1!M147),"",Лист1!M147)</f>
        <v>June</v>
      </c>
      <c r="N147" s="5" t="str">
        <f>IF(ISBLANK(Лист1!N147),"",Лист1!N147)</f>
        <v>21</v>
      </c>
      <c r="O147" s="5" t="str">
        <f>IF(ISBLANK(Лист1!O147),"",Лист1!O147)</f>
        <v>июня</v>
      </c>
      <c r="P147" s="5" t="str">
        <f>IF(ISBLANK(Лист1!P147),"",Лист1!P147)</f>
        <v>72</v>
      </c>
      <c r="Q147" s="5" t="str">
        <f>IF(ISBLANK(Лист1!Q147),"",Лист1!Q147)</f>
        <v>Орынбек  Әсем  Темірбекқызы</v>
      </c>
      <c r="R147" s="5" t="str">
        <f>IF(ISBLANK(Лист1!R147),"",Лист1!R147)</f>
        <v>образования</v>
      </c>
      <c r="S147" s="5" t="str">
        <f>IF(ISBLANK(Лист1!S147),"",Лист1!S147)</f>
        <v>"6B01705 - Иностранный язык: два иностранных языка (английский)", В018-Подготовка учителей иностранного языка</v>
      </c>
      <c r="T147" s="5" t="str">
        <f>IF(ISBLANK(Лист1!T147),"",Лист1!T147)</f>
        <v>очное</v>
      </c>
      <c r="U147" s="5" t="str">
        <f>IF(ISBLANK(Лист1!U147),"",Лист1!U147)</f>
        <v/>
      </c>
      <c r="V147" s="5" t="str">
        <f>IF(ISBLANK(Лист1!V147),"",Лист1!V147)</f>
        <v>28</v>
      </c>
      <c r="W147" s="5" t="str">
        <f>IF(ISBLANK(Лист1!W147),"",Лист1!W147)</f>
        <v>маусым</v>
      </c>
      <c r="X147" s="5" t="str">
        <f>IF(ISBLANK(Лист1!X147),"",Лист1!X147)</f>
        <v>040728601121</v>
      </c>
      <c r="Y147" s="5" t="str">
        <f>IF(ISERROR(VLOOKUP($X147,Лист2!$A$2:$G$498,1,FALSE)),"",VLOOKUP($X147,Лист2!$A$2:$G$498,1,FALSE))</f>
        <v>040728601121</v>
      </c>
      <c r="Z147" s="5" t="str">
        <f>IF(ISERROR(VLOOKUP($X147,Лист2!$A$2:$L$498,9,FALSE)),"",VLOOKUP($X147,Лист2!$A$2:$L$498,9,FALSE))</f>
        <v>BD</v>
      </c>
      <c r="AA147" s="5" t="str">
        <f>IF(ISERROR(VLOOKUP($X147,Лист2!$A$2:$L$498,10,FALSE)),"",VLOOKUP($X147,Лист2!$A$2:$L$498,10,FALSE))</f>
        <v>00025664925</v>
      </c>
      <c r="AB147" s="5" t="str">
        <f>IF(ISERROR(VLOOKUP($X147,Лист2!$A$2:$M$498,13,FALSE)),"",VLOOKUP($X147,Лист2!$A$2:$M$498,13,FALSE))</f>
        <v>https://epvo.kz/#/verification_education_document?iin=040728601121&amp;diplomaSeries=BD&amp;diplomaNumber=00025664925</v>
      </c>
    </row>
    <row r="148" spans="1:28" x14ac:dyDescent="0.25">
      <c r="A148" s="5" t="str">
        <f>IF(ISBLANK(Лист1!A148),"",Лист1!A148)</f>
        <v>21</v>
      </c>
      <c r="B148" s="5" t="str">
        <f>IF(ISBLANK(Лист1!B148),"",Лист1!B148)</f>
        <v>маусымдағы</v>
      </c>
      <c r="C148" s="5" t="str">
        <f>IF(ISBLANK(Лист1!C148),"",Лист1!C148)</f>
        <v>242</v>
      </c>
      <c r="D148" s="5" t="str">
        <f>IF(ISBLANK(Лист1!D148),"",Лист1!D148)</f>
        <v>Отарбай  Фатима  Ырғызбайқызына</v>
      </c>
      <c r="E148" s="5" t="str">
        <f>IF(ISBLANK(Лист1!E148),"",Лист1!E148)</f>
        <v>"6В01705 - Шетел тілі: екі шетел тілі (ағылшын)", В018-Шет тілі мұғалімдерін даярлау</v>
      </c>
      <c r="F148" s="5" t="str">
        <f>IF(ISBLANK(Лист1!F148),"",Лист1!F148)</f>
        <v>білім</v>
      </c>
      <c r="G148" s="5" t="str">
        <f>IF(ISBLANK(Лист1!G148),"",Лист1!G148)</f>
        <v>күндізгі</v>
      </c>
      <c r="H148" s="5" t="str">
        <f>IF(ISBLANK(Лист1!H148),"",Лист1!H148)</f>
        <v>Otarbay  Fatima</v>
      </c>
      <c r="I148" s="5" t="str">
        <f>IF(ISBLANK(Лист1!I148),"",Лист1!I148)</f>
        <v>Education</v>
      </c>
      <c r="J148" s="5" t="str">
        <f>IF(ISBLANK(Лист1!J148),"",Лист1!J148)</f>
        <v>"6B01705 - Foreign language: two foreign languages (English)", B018-Training of foreign language teachers</v>
      </c>
      <c r="K148" s="5" t="str">
        <f>IF(ISBLANK(Лист1!K148),"",Лист1!K148)</f>
        <v>full-time</v>
      </c>
      <c r="L148" s="5" t="str">
        <f>IF(ISBLANK(Лист1!L148),"",Лист1!L148)</f>
        <v>21</v>
      </c>
      <c r="M148" s="5" t="str">
        <f>IF(ISBLANK(Лист1!M148),"",Лист1!M148)</f>
        <v>June</v>
      </c>
      <c r="N148" s="5" t="str">
        <f>IF(ISBLANK(Лист1!N148),"",Лист1!N148)</f>
        <v>21</v>
      </c>
      <c r="O148" s="5" t="str">
        <f>IF(ISBLANK(Лист1!O148),"",Лист1!O148)</f>
        <v>июня</v>
      </c>
      <c r="P148" s="5" t="str">
        <f>IF(ISBLANK(Лист1!P148),"",Лист1!P148)</f>
        <v>242</v>
      </c>
      <c r="Q148" s="5" t="str">
        <f>IF(ISBLANK(Лист1!Q148),"",Лист1!Q148)</f>
        <v>Отарбай  Фатима  Ырғызбайқызы</v>
      </c>
      <c r="R148" s="5" t="str">
        <f>IF(ISBLANK(Лист1!R148),"",Лист1!R148)</f>
        <v>образования</v>
      </c>
      <c r="S148" s="5" t="str">
        <f>IF(ISBLANK(Лист1!S148),"",Лист1!S148)</f>
        <v>"6B01705 - Иностранный язык: два иностранных языка (английский)", В018-Подготовка учителей иностранного языка</v>
      </c>
      <c r="T148" s="5" t="str">
        <f>IF(ISBLANK(Лист1!T148),"",Лист1!T148)</f>
        <v>очное</v>
      </c>
      <c r="U148" s="5" t="str">
        <f>IF(ISBLANK(Лист1!U148),"",Лист1!U148)</f>
        <v/>
      </c>
      <c r="V148" s="5" t="str">
        <f>IF(ISBLANK(Лист1!V148),"",Лист1!V148)</f>
        <v>28</v>
      </c>
      <c r="W148" s="5" t="str">
        <f>IF(ISBLANK(Лист1!W148),"",Лист1!W148)</f>
        <v>маусым</v>
      </c>
      <c r="X148" s="5" t="str">
        <f>IF(ISBLANK(Лист1!X148),"",Лист1!X148)</f>
        <v>040113600195</v>
      </c>
      <c r="Y148" s="5" t="str">
        <f>IF(ISERROR(VLOOKUP($X148,Лист2!$A$2:$G$498,1,FALSE)),"",VLOOKUP($X148,Лист2!$A$2:$G$498,1,FALSE))</f>
        <v>040113600195</v>
      </c>
      <c r="Z148" s="5" t="str">
        <f>IF(ISERROR(VLOOKUP($X148,Лист2!$A$2:$L$498,9,FALSE)),"",VLOOKUP($X148,Лист2!$A$2:$L$498,9,FALSE))</f>
        <v>BD</v>
      </c>
      <c r="AA148" s="5" t="str">
        <f>IF(ISERROR(VLOOKUP($X148,Лист2!$A$2:$L$498,10,FALSE)),"",VLOOKUP($X148,Лист2!$A$2:$L$498,10,FALSE))</f>
        <v>00025665025</v>
      </c>
      <c r="AB148" s="5" t="str">
        <f>IF(ISERROR(VLOOKUP($X148,Лист2!$A$2:$M$498,13,FALSE)),"",VLOOKUP($X148,Лист2!$A$2:$M$498,13,FALSE))</f>
        <v>https://epvo.kz/#/verification_education_document?iin=040113600195&amp;diplomaSeries=BD&amp;diplomaNumber=00025665025</v>
      </c>
    </row>
    <row r="149" spans="1:28" x14ac:dyDescent="0.25">
      <c r="A149" s="5" t="str">
        <f>IF(ISBLANK(Лист1!A149),"",Лист1!A149)</f>
        <v>21</v>
      </c>
      <c r="B149" s="5" t="str">
        <f>IF(ISBLANK(Лист1!B149),"",Лист1!B149)</f>
        <v>маусымдағы</v>
      </c>
      <c r="C149" s="5" t="str">
        <f>IF(ISBLANK(Лист1!C149),"",Лист1!C149)</f>
        <v>111</v>
      </c>
      <c r="D149" s="5" t="str">
        <f>IF(ISBLANK(Лист1!D149),"",Лист1!D149)</f>
        <v>Өткенбаева  Салтанат  Қайратқызына</v>
      </c>
      <c r="E149" s="5" t="str">
        <f>IF(ISBLANK(Лист1!E149),"",Лист1!E149)</f>
        <v>"6В01705 - Шетел тілі: екі шетел тілі (ағылшын)", В018-Шет тілі мұғалімдерін даярлау</v>
      </c>
      <c r="F149" s="5" t="str">
        <f>IF(ISBLANK(Лист1!F149),"",Лист1!F149)</f>
        <v>білім</v>
      </c>
      <c r="G149" s="5" t="str">
        <f>IF(ISBLANK(Лист1!G149),"",Лист1!G149)</f>
        <v>күндізгі</v>
      </c>
      <c r="H149" s="5" t="str">
        <f>IF(ISBLANK(Лист1!H149),"",Лист1!H149)</f>
        <v>Otkenbayeva  Saltanat</v>
      </c>
      <c r="I149" s="5" t="str">
        <f>IF(ISBLANK(Лист1!I149),"",Лист1!I149)</f>
        <v>Education</v>
      </c>
      <c r="J149" s="5" t="str">
        <f>IF(ISBLANK(Лист1!J149),"",Лист1!J149)</f>
        <v>"6B01705 - Foreign language: two foreign languages (English)", B018-Training of foreign language teachers</v>
      </c>
      <c r="K149" s="5" t="str">
        <f>IF(ISBLANK(Лист1!K149),"",Лист1!K149)</f>
        <v>full-time</v>
      </c>
      <c r="L149" s="5" t="str">
        <f>IF(ISBLANK(Лист1!L149),"",Лист1!L149)</f>
        <v>21</v>
      </c>
      <c r="M149" s="5" t="str">
        <f>IF(ISBLANK(Лист1!M149),"",Лист1!M149)</f>
        <v>June</v>
      </c>
      <c r="N149" s="5" t="str">
        <f>IF(ISBLANK(Лист1!N149),"",Лист1!N149)</f>
        <v>21</v>
      </c>
      <c r="O149" s="5" t="str">
        <f>IF(ISBLANK(Лист1!O149),"",Лист1!O149)</f>
        <v>июня</v>
      </c>
      <c r="P149" s="5" t="str">
        <f>IF(ISBLANK(Лист1!P149),"",Лист1!P149)</f>
        <v>111</v>
      </c>
      <c r="Q149" s="5" t="str">
        <f>IF(ISBLANK(Лист1!Q149),"",Лист1!Q149)</f>
        <v>Өткенбаева  Салтанат  Қайратқызы</v>
      </c>
      <c r="R149" s="5" t="str">
        <f>IF(ISBLANK(Лист1!R149),"",Лист1!R149)</f>
        <v>образования</v>
      </c>
      <c r="S149" s="5" t="str">
        <f>IF(ISBLANK(Лист1!S149),"",Лист1!S149)</f>
        <v>"6B01705 - Иностранный язык: два иностранных языка (английский)", В018-Подготовка учителей иностранного языка</v>
      </c>
      <c r="T149" s="5" t="str">
        <f>IF(ISBLANK(Лист1!T149),"",Лист1!T149)</f>
        <v>очное</v>
      </c>
      <c r="U149" s="5" t="str">
        <f>IF(ISBLANK(Лист1!U149),"",Лист1!U149)</f>
        <v/>
      </c>
      <c r="V149" s="5" t="str">
        <f>IF(ISBLANK(Лист1!V149),"",Лист1!V149)</f>
        <v>28</v>
      </c>
      <c r="W149" s="5" t="str">
        <f>IF(ISBLANK(Лист1!W149),"",Лист1!W149)</f>
        <v>маусым</v>
      </c>
      <c r="X149" s="5" t="str">
        <f>IF(ISBLANK(Лист1!X149),"",Лист1!X149)</f>
        <v>030728601625</v>
      </c>
      <c r="Y149" s="5" t="str">
        <f>IF(ISERROR(VLOOKUP($X149,Лист2!$A$2:$G$498,1,FALSE)),"",VLOOKUP($X149,Лист2!$A$2:$G$498,1,FALSE))</f>
        <v>030728601625</v>
      </c>
      <c r="Z149" s="5" t="str">
        <f>IF(ISERROR(VLOOKUP($X149,Лист2!$A$2:$L$498,9,FALSE)),"",VLOOKUP($X149,Лист2!$A$2:$L$498,9,FALSE))</f>
        <v>BD</v>
      </c>
      <c r="AA149" s="5" t="str">
        <f>IF(ISERROR(VLOOKUP($X149,Лист2!$A$2:$L$498,10,FALSE)),"",VLOOKUP($X149,Лист2!$A$2:$L$498,10,FALSE))</f>
        <v>00025665125</v>
      </c>
      <c r="AB149" s="5" t="str">
        <f>IF(ISERROR(VLOOKUP($X149,Лист2!$A$2:$M$498,13,FALSE)),"",VLOOKUP($X149,Лист2!$A$2:$M$498,13,FALSE))</f>
        <v>https://epvo.kz/#/verification_education_document?iin=030728601625&amp;diplomaSeries=BD&amp;diplomaNumber=00025665125</v>
      </c>
    </row>
    <row r="150" spans="1:28" x14ac:dyDescent="0.25">
      <c r="A150" s="5" t="str">
        <f>IF(ISBLANK(Лист1!A150),"",Лист1!A150)</f>
        <v>21</v>
      </c>
      <c r="B150" s="5" t="str">
        <f>IF(ISBLANK(Лист1!B150),"",Лист1!B150)</f>
        <v>маусымдағы</v>
      </c>
      <c r="C150" s="5" t="str">
        <f>IF(ISBLANK(Лист1!C150),"",Лист1!C150)</f>
        <v>203</v>
      </c>
      <c r="D150" s="5" t="str">
        <f>IF(ISBLANK(Лист1!D150),"",Лист1!D150)</f>
        <v>Панабек  Ақзере  Азаматқызына</v>
      </c>
      <c r="E150" s="5" t="str">
        <f>IF(ISBLANK(Лист1!E150),"",Лист1!E150)</f>
        <v>"6В01705 - Шетел тілі: екі шетел тілі (ағылшын)", В018-Шет тілі мұғалімдерін даярлау</v>
      </c>
      <c r="F150" s="5" t="str">
        <f>IF(ISBLANK(Лист1!F150),"",Лист1!F150)</f>
        <v>білім</v>
      </c>
      <c r="G150" s="5" t="str">
        <f>IF(ISBLANK(Лист1!G150),"",Лист1!G150)</f>
        <v>күндізгі</v>
      </c>
      <c r="H150" s="5" t="str">
        <f>IF(ISBLANK(Лист1!H150),"",Лист1!H150)</f>
        <v>Panabek  Akzere</v>
      </c>
      <c r="I150" s="5" t="str">
        <f>IF(ISBLANK(Лист1!I150),"",Лист1!I150)</f>
        <v>Education</v>
      </c>
      <c r="J150" s="5" t="str">
        <f>IF(ISBLANK(Лист1!J150),"",Лист1!J150)</f>
        <v>"6B01705 - Foreign language: two foreign languages (English)", B018-Training of foreign language teachers</v>
      </c>
      <c r="K150" s="5" t="str">
        <f>IF(ISBLANK(Лист1!K150),"",Лист1!K150)</f>
        <v>full-time</v>
      </c>
      <c r="L150" s="5" t="str">
        <f>IF(ISBLANK(Лист1!L150),"",Лист1!L150)</f>
        <v>21</v>
      </c>
      <c r="M150" s="5" t="str">
        <f>IF(ISBLANK(Лист1!M150),"",Лист1!M150)</f>
        <v>June</v>
      </c>
      <c r="N150" s="5" t="str">
        <f>IF(ISBLANK(Лист1!N150),"",Лист1!N150)</f>
        <v>21</v>
      </c>
      <c r="O150" s="5" t="str">
        <f>IF(ISBLANK(Лист1!O150),"",Лист1!O150)</f>
        <v>июня</v>
      </c>
      <c r="P150" s="5" t="str">
        <f>IF(ISBLANK(Лист1!P150),"",Лист1!P150)</f>
        <v>203</v>
      </c>
      <c r="Q150" s="5" t="str">
        <f>IF(ISBLANK(Лист1!Q150),"",Лист1!Q150)</f>
        <v>Панабек  Ақзере  Азаматқызы</v>
      </c>
      <c r="R150" s="5" t="str">
        <f>IF(ISBLANK(Лист1!R150),"",Лист1!R150)</f>
        <v>образования</v>
      </c>
      <c r="S150" s="5" t="str">
        <f>IF(ISBLANK(Лист1!S150),"",Лист1!S150)</f>
        <v>"6B01705 - Иностранный язык: два иностранных языка (английский)", В018-Подготовка учителей иностранного языка</v>
      </c>
      <c r="T150" s="5" t="str">
        <f>IF(ISBLANK(Лист1!T150),"",Лист1!T150)</f>
        <v>очное</v>
      </c>
      <c r="U150" s="5" t="str">
        <f>IF(ISBLANK(Лист1!U150),"",Лист1!U150)</f>
        <v/>
      </c>
      <c r="V150" s="5" t="str">
        <f>IF(ISBLANK(Лист1!V150),"",Лист1!V150)</f>
        <v>28</v>
      </c>
      <c r="W150" s="5" t="str">
        <f>IF(ISBLANK(Лист1!W150),"",Лист1!W150)</f>
        <v>маусым</v>
      </c>
      <c r="X150" s="5" t="str">
        <f>IF(ISBLANK(Лист1!X150),"",Лист1!X150)</f>
        <v>040707601986</v>
      </c>
      <c r="Y150" s="5" t="str">
        <f>IF(ISERROR(VLOOKUP($X150,Лист2!$A$2:$G$498,1,FALSE)),"",VLOOKUP($X150,Лист2!$A$2:$G$498,1,FALSE))</f>
        <v>040707601986</v>
      </c>
      <c r="Z150" s="5" t="str">
        <f>IF(ISERROR(VLOOKUP($X150,Лист2!$A$2:$L$498,9,FALSE)),"",VLOOKUP($X150,Лист2!$A$2:$L$498,9,FALSE))</f>
        <v>BD</v>
      </c>
      <c r="AA150" s="5" t="str">
        <f>IF(ISERROR(VLOOKUP($X150,Лист2!$A$2:$L$498,10,FALSE)),"",VLOOKUP($X150,Лист2!$A$2:$L$498,10,FALSE))</f>
        <v>00025665225</v>
      </c>
      <c r="AB150" s="5" t="str">
        <f>IF(ISERROR(VLOOKUP($X150,Лист2!$A$2:$M$498,13,FALSE)),"",VLOOKUP($X150,Лист2!$A$2:$M$498,13,FALSE))</f>
        <v>https://epvo.kz/#/verification_education_document?iin=040707601986&amp;diplomaSeries=BD&amp;diplomaNumber=00025665225</v>
      </c>
    </row>
    <row r="151" spans="1:28" x14ac:dyDescent="0.25">
      <c r="A151" s="5" t="str">
        <f>IF(ISBLANK(Лист1!A151),"",Лист1!A151)</f>
        <v>21</v>
      </c>
      <c r="B151" s="5" t="str">
        <f>IF(ISBLANK(Лист1!B151),"",Лист1!B151)</f>
        <v>маусымдағы</v>
      </c>
      <c r="C151" s="5" t="str">
        <f>IF(ISBLANK(Лист1!C151),"",Лист1!C151)</f>
        <v>157</v>
      </c>
      <c r="D151" s="5" t="str">
        <f>IF(ISBLANK(Лист1!D151),"",Лист1!D151)</f>
        <v>Пердебаева  Ардақ  Азатқызына</v>
      </c>
      <c r="E151" s="5" t="str">
        <f>IF(ISBLANK(Лист1!E151),"",Лист1!E151)</f>
        <v>"6В01705 - Шетел тілі: екі шетел тілі (ағылшын)", В018-Шет тілі мұғалімдерін даярлау</v>
      </c>
      <c r="F151" s="5" t="str">
        <f>IF(ISBLANK(Лист1!F151),"",Лист1!F151)</f>
        <v>білім</v>
      </c>
      <c r="G151" s="5" t="str">
        <f>IF(ISBLANK(Лист1!G151),"",Лист1!G151)</f>
        <v>күндізгі</v>
      </c>
      <c r="H151" s="5" t="str">
        <f>IF(ISBLANK(Лист1!H151),"",Лист1!H151)</f>
        <v>Perdebayeva  Ardak</v>
      </c>
      <c r="I151" s="5" t="str">
        <f>IF(ISBLANK(Лист1!I151),"",Лист1!I151)</f>
        <v>Education</v>
      </c>
      <c r="J151" s="5" t="str">
        <f>IF(ISBLANK(Лист1!J151),"",Лист1!J151)</f>
        <v>"6B01705 - Foreign language: two foreign languages (English)", B018-Training of foreign language teachers</v>
      </c>
      <c r="K151" s="5" t="str">
        <f>IF(ISBLANK(Лист1!K151),"",Лист1!K151)</f>
        <v>full-time</v>
      </c>
      <c r="L151" s="5" t="str">
        <f>IF(ISBLANK(Лист1!L151),"",Лист1!L151)</f>
        <v>21</v>
      </c>
      <c r="M151" s="5" t="str">
        <f>IF(ISBLANK(Лист1!M151),"",Лист1!M151)</f>
        <v>June</v>
      </c>
      <c r="N151" s="5" t="str">
        <f>IF(ISBLANK(Лист1!N151),"",Лист1!N151)</f>
        <v>21</v>
      </c>
      <c r="O151" s="5" t="str">
        <f>IF(ISBLANK(Лист1!O151),"",Лист1!O151)</f>
        <v>июня</v>
      </c>
      <c r="P151" s="5" t="str">
        <f>IF(ISBLANK(Лист1!P151),"",Лист1!P151)</f>
        <v>157</v>
      </c>
      <c r="Q151" s="5" t="str">
        <f>IF(ISBLANK(Лист1!Q151),"",Лист1!Q151)</f>
        <v>Пердебаева  Ардақ  Азатқызы</v>
      </c>
      <c r="R151" s="5" t="str">
        <f>IF(ISBLANK(Лист1!R151),"",Лист1!R151)</f>
        <v>образования</v>
      </c>
      <c r="S151" s="5" t="str">
        <f>IF(ISBLANK(Лист1!S151),"",Лист1!S151)</f>
        <v>"6B01705 - Иностранный язык: два иностранных языка (английский)", В018-Подготовка учителей иностранного языка</v>
      </c>
      <c r="T151" s="5" t="str">
        <f>IF(ISBLANK(Лист1!T151),"",Лист1!T151)</f>
        <v>очное</v>
      </c>
      <c r="U151" s="5" t="str">
        <f>IF(ISBLANK(Лист1!U151),"",Лист1!U151)</f>
        <v/>
      </c>
      <c r="V151" s="5" t="str">
        <f>IF(ISBLANK(Лист1!V151),"",Лист1!V151)</f>
        <v>28</v>
      </c>
      <c r="W151" s="5" t="str">
        <f>IF(ISBLANK(Лист1!W151),"",Лист1!W151)</f>
        <v>маусым</v>
      </c>
      <c r="X151" s="5" t="str">
        <f>IF(ISBLANK(Лист1!X151),"",Лист1!X151)</f>
        <v>040407600287</v>
      </c>
      <c r="Y151" s="5" t="str">
        <f>IF(ISERROR(VLOOKUP($X151,Лист2!$A$2:$G$498,1,FALSE)),"",VLOOKUP($X151,Лист2!$A$2:$G$498,1,FALSE))</f>
        <v>040407600287</v>
      </c>
      <c r="Z151" s="5" t="str">
        <f>IF(ISERROR(VLOOKUP($X151,Лист2!$A$2:$L$498,9,FALSE)),"",VLOOKUP($X151,Лист2!$A$2:$L$498,9,FALSE))</f>
        <v>BD</v>
      </c>
      <c r="AA151" s="5" t="str">
        <f>IF(ISERROR(VLOOKUP($X151,Лист2!$A$2:$L$498,10,FALSE)),"",VLOOKUP($X151,Лист2!$A$2:$L$498,10,FALSE))</f>
        <v>00025665325</v>
      </c>
      <c r="AB151" s="5" t="str">
        <f>IF(ISERROR(VLOOKUP($X151,Лист2!$A$2:$M$498,13,FALSE)),"",VLOOKUP($X151,Лист2!$A$2:$M$498,13,FALSE))</f>
        <v>https://epvo.kz/#/verification_education_document?iin=040407600287&amp;diplomaSeries=BD&amp;diplomaNumber=00025665325</v>
      </c>
    </row>
    <row r="152" spans="1:28" x14ac:dyDescent="0.25">
      <c r="A152" s="5" t="str">
        <f>IF(ISBLANK(Лист1!A152),"",Лист1!A152)</f>
        <v>21</v>
      </c>
      <c r="B152" s="5" t="str">
        <f>IF(ISBLANK(Лист1!B152),"",Лист1!B152)</f>
        <v>маусымдағы</v>
      </c>
      <c r="C152" s="5" t="str">
        <f>IF(ISBLANK(Лист1!C152),"",Лист1!C152)</f>
        <v>73</v>
      </c>
      <c r="D152" s="5" t="str">
        <f>IF(ISBLANK(Лист1!D152),"",Лист1!D152)</f>
        <v>Пердебаева  Индира  Мирасқызына</v>
      </c>
      <c r="E152" s="5" t="str">
        <f>IF(ISBLANK(Лист1!E152),"",Лист1!E152)</f>
        <v>"6В01705 - Шетел тілі: екі шетел тілі (ағылшын)", В018-Шет тілі мұғалімдерін даярлау</v>
      </c>
      <c r="F152" s="5" t="str">
        <f>IF(ISBLANK(Лист1!F152),"",Лист1!F152)</f>
        <v>білім</v>
      </c>
      <c r="G152" s="5" t="str">
        <f>IF(ISBLANK(Лист1!G152),"",Лист1!G152)</f>
        <v>күндізгі</v>
      </c>
      <c r="H152" s="5" t="str">
        <f>IF(ISBLANK(Лист1!H152),"",Лист1!H152)</f>
        <v>Perdebayeva  Indira</v>
      </c>
      <c r="I152" s="5" t="str">
        <f>IF(ISBLANK(Лист1!I152),"",Лист1!I152)</f>
        <v>Education</v>
      </c>
      <c r="J152" s="5" t="str">
        <f>IF(ISBLANK(Лист1!J152),"",Лист1!J152)</f>
        <v>"6B01705 - Foreign language: two foreign languages (English)", B018-Training of foreign language teachers</v>
      </c>
      <c r="K152" s="5" t="str">
        <f>IF(ISBLANK(Лист1!K152),"",Лист1!K152)</f>
        <v>full-time</v>
      </c>
      <c r="L152" s="5" t="str">
        <f>IF(ISBLANK(Лист1!L152),"",Лист1!L152)</f>
        <v>21</v>
      </c>
      <c r="M152" s="5" t="str">
        <f>IF(ISBLANK(Лист1!M152),"",Лист1!M152)</f>
        <v>June</v>
      </c>
      <c r="N152" s="5" t="str">
        <f>IF(ISBLANK(Лист1!N152),"",Лист1!N152)</f>
        <v>21</v>
      </c>
      <c r="O152" s="5" t="str">
        <f>IF(ISBLANK(Лист1!O152),"",Лист1!O152)</f>
        <v>июня</v>
      </c>
      <c r="P152" s="5" t="str">
        <f>IF(ISBLANK(Лист1!P152),"",Лист1!P152)</f>
        <v>73</v>
      </c>
      <c r="Q152" s="5" t="str">
        <f>IF(ISBLANK(Лист1!Q152),"",Лист1!Q152)</f>
        <v>Пердебаева  Индира  Мирасқызы</v>
      </c>
      <c r="R152" s="5" t="str">
        <f>IF(ISBLANK(Лист1!R152),"",Лист1!R152)</f>
        <v>образования</v>
      </c>
      <c r="S152" s="5" t="str">
        <f>IF(ISBLANK(Лист1!S152),"",Лист1!S152)</f>
        <v>"6B01705 - Иностранный язык: два иностранных языка (английский)", В018-Подготовка учителей иностранного языка</v>
      </c>
      <c r="T152" s="5" t="str">
        <f>IF(ISBLANK(Лист1!T152),"",Лист1!T152)</f>
        <v>очное</v>
      </c>
      <c r="U152" s="5" t="str">
        <f>IF(ISBLANK(Лист1!U152),"",Лист1!U152)</f>
        <v/>
      </c>
      <c r="V152" s="5" t="str">
        <f>IF(ISBLANK(Лист1!V152),"",Лист1!V152)</f>
        <v>28</v>
      </c>
      <c r="W152" s="5" t="str">
        <f>IF(ISBLANK(Лист1!W152),"",Лист1!W152)</f>
        <v>маусым</v>
      </c>
      <c r="X152" s="5" t="str">
        <f>IF(ISBLANK(Лист1!X152),"",Лист1!X152)</f>
        <v>040712600873</v>
      </c>
      <c r="Y152" s="5" t="str">
        <f>IF(ISERROR(VLOOKUP($X152,Лист2!$A$2:$G$498,1,FALSE)),"",VLOOKUP($X152,Лист2!$A$2:$G$498,1,FALSE))</f>
        <v>040712600873</v>
      </c>
      <c r="Z152" s="5" t="str">
        <f>IF(ISERROR(VLOOKUP($X152,Лист2!$A$2:$L$498,9,FALSE)),"",VLOOKUP($X152,Лист2!$A$2:$L$498,9,FALSE))</f>
        <v>BD</v>
      </c>
      <c r="AA152" s="5" t="str">
        <f>IF(ISERROR(VLOOKUP($X152,Лист2!$A$2:$L$498,10,FALSE)),"",VLOOKUP($X152,Лист2!$A$2:$L$498,10,FALSE))</f>
        <v>00025665425</v>
      </c>
      <c r="AB152" s="5" t="str">
        <f>IF(ISERROR(VLOOKUP($X152,Лист2!$A$2:$M$498,13,FALSE)),"",VLOOKUP($X152,Лист2!$A$2:$M$498,13,FALSE))</f>
        <v>https://epvo.kz/#/verification_education_document?iin=040712600873&amp;diplomaSeries=BD&amp;diplomaNumber=00025665425</v>
      </c>
    </row>
    <row r="153" spans="1:28" x14ac:dyDescent="0.25">
      <c r="A153" s="5" t="str">
        <f>IF(ISBLANK(Лист1!A153),"",Лист1!A153)</f>
        <v>21</v>
      </c>
      <c r="B153" s="5" t="str">
        <f>IF(ISBLANK(Лист1!B153),"",Лист1!B153)</f>
        <v>маусымдағы</v>
      </c>
      <c r="C153" s="5" t="str">
        <f>IF(ISBLANK(Лист1!C153),"",Лист1!C153)</f>
        <v>74</v>
      </c>
      <c r="D153" s="5" t="str">
        <f>IF(ISBLANK(Лист1!D153),"",Лист1!D153)</f>
        <v>Пердебай  Гүлназым  Анарбайқызына</v>
      </c>
      <c r="E153" s="5" t="str">
        <f>IF(ISBLANK(Лист1!E153),"",Лист1!E153)</f>
        <v>"6В01705 - Шетел тілі: екі шетел тілі (ағылшын)", В018-Шет тілі мұғалімдерін даярлау</v>
      </c>
      <c r="F153" s="5" t="str">
        <f>IF(ISBLANK(Лист1!F153),"",Лист1!F153)</f>
        <v>білім</v>
      </c>
      <c r="G153" s="5" t="str">
        <f>IF(ISBLANK(Лист1!G153),"",Лист1!G153)</f>
        <v>күндізгі</v>
      </c>
      <c r="H153" s="5" t="str">
        <f>IF(ISBLANK(Лист1!H153),"",Лист1!H153)</f>
        <v>Perdebay  Gulnazym</v>
      </c>
      <c r="I153" s="5" t="str">
        <f>IF(ISBLANK(Лист1!I153),"",Лист1!I153)</f>
        <v>Education</v>
      </c>
      <c r="J153" s="5" t="str">
        <f>IF(ISBLANK(Лист1!J153),"",Лист1!J153)</f>
        <v>"6B01705 - Foreign language: two foreign languages (English)", B018-Training of foreign language teachers</v>
      </c>
      <c r="K153" s="5" t="str">
        <f>IF(ISBLANK(Лист1!K153),"",Лист1!K153)</f>
        <v>full-time</v>
      </c>
      <c r="L153" s="5" t="str">
        <f>IF(ISBLANK(Лист1!L153),"",Лист1!L153)</f>
        <v>21</v>
      </c>
      <c r="M153" s="5" t="str">
        <f>IF(ISBLANK(Лист1!M153),"",Лист1!M153)</f>
        <v>June</v>
      </c>
      <c r="N153" s="5" t="str">
        <f>IF(ISBLANK(Лист1!N153),"",Лист1!N153)</f>
        <v>21</v>
      </c>
      <c r="O153" s="5" t="str">
        <f>IF(ISBLANK(Лист1!O153),"",Лист1!O153)</f>
        <v>июня</v>
      </c>
      <c r="P153" s="5" t="str">
        <f>IF(ISBLANK(Лист1!P153),"",Лист1!P153)</f>
        <v>74</v>
      </c>
      <c r="Q153" s="5" t="str">
        <f>IF(ISBLANK(Лист1!Q153),"",Лист1!Q153)</f>
        <v>Пердебай  Гүлназым  Анарбайқызы</v>
      </c>
      <c r="R153" s="5" t="str">
        <f>IF(ISBLANK(Лист1!R153),"",Лист1!R153)</f>
        <v>образования</v>
      </c>
      <c r="S153" s="5" t="str">
        <f>IF(ISBLANK(Лист1!S153),"",Лист1!S153)</f>
        <v>"6B01705 - Иностранный язык: два иностранных языка (английский)", В018-Подготовка учителей иностранного языка</v>
      </c>
      <c r="T153" s="5" t="str">
        <f>IF(ISBLANK(Лист1!T153),"",Лист1!T153)</f>
        <v>очное</v>
      </c>
      <c r="U153" s="5" t="str">
        <f>IF(ISBLANK(Лист1!U153),"",Лист1!U153)</f>
        <v/>
      </c>
      <c r="V153" s="5" t="str">
        <f>IF(ISBLANK(Лист1!V153),"",Лист1!V153)</f>
        <v>28</v>
      </c>
      <c r="W153" s="5" t="str">
        <f>IF(ISBLANK(Лист1!W153),"",Лист1!W153)</f>
        <v>маусым</v>
      </c>
      <c r="X153" s="5" t="str">
        <f>IF(ISBLANK(Лист1!X153),"",Лист1!X153)</f>
        <v>040627600510</v>
      </c>
      <c r="Y153" s="5" t="str">
        <f>IF(ISERROR(VLOOKUP($X153,Лист2!$A$2:$G$498,1,FALSE)),"",VLOOKUP($X153,Лист2!$A$2:$G$498,1,FALSE))</f>
        <v>040627600510</v>
      </c>
      <c r="Z153" s="5" t="str">
        <f>IF(ISERROR(VLOOKUP($X153,Лист2!$A$2:$L$498,9,FALSE)),"",VLOOKUP($X153,Лист2!$A$2:$L$498,9,FALSE))</f>
        <v>BD</v>
      </c>
      <c r="AA153" s="5" t="str">
        <f>IF(ISERROR(VLOOKUP($X153,Лист2!$A$2:$L$498,10,FALSE)),"",VLOOKUP($X153,Лист2!$A$2:$L$498,10,FALSE))</f>
        <v>00025665525</v>
      </c>
      <c r="AB153" s="5" t="str">
        <f>IF(ISERROR(VLOOKUP($X153,Лист2!$A$2:$M$498,13,FALSE)),"",VLOOKUP($X153,Лист2!$A$2:$M$498,13,FALSE))</f>
        <v>https://epvo.kz/#/verification_education_document?iin=040627600510&amp;diplomaSeries=BD&amp;diplomaNumber=00025665525</v>
      </c>
    </row>
    <row r="154" spans="1:28" x14ac:dyDescent="0.25">
      <c r="A154" s="5" t="str">
        <f>IF(ISBLANK(Лист1!A154),"",Лист1!A154)</f>
        <v>21</v>
      </c>
      <c r="B154" s="5" t="str">
        <f>IF(ISBLANK(Лист1!B154),"",Лист1!B154)</f>
        <v>маусымдағы</v>
      </c>
      <c r="C154" s="5" t="str">
        <f>IF(ISBLANK(Лист1!C154),"",Лист1!C154)</f>
        <v>09</v>
      </c>
      <c r="D154" s="5" t="str">
        <f>IF(ISBLANK(Лист1!D154),"",Лист1!D154)</f>
        <v>Помаранова  Наталья  Геннадьевнаға</v>
      </c>
      <c r="E154" s="5" t="str">
        <f>IF(ISBLANK(Лист1!E154),"",Лист1!E154)</f>
        <v>"6В01705 - Шетел тілі: екі шетел тілі (ағылшын)", В018-Шет тілі мұғалімдерін даярлау</v>
      </c>
      <c r="F154" s="5" t="str">
        <f>IF(ISBLANK(Лист1!F154),"",Лист1!F154)</f>
        <v>білім</v>
      </c>
      <c r="G154" s="5" t="str">
        <f>IF(ISBLANK(Лист1!G154),"",Лист1!G154)</f>
        <v>күндізгі</v>
      </c>
      <c r="H154" s="5" t="str">
        <f>IF(ISBLANK(Лист1!H154),"",Лист1!H154)</f>
        <v>Pomaranova  Natalya</v>
      </c>
      <c r="I154" s="5" t="str">
        <f>IF(ISBLANK(Лист1!I154),"",Лист1!I154)</f>
        <v>Education</v>
      </c>
      <c r="J154" s="5" t="str">
        <f>IF(ISBLANK(Лист1!J154),"",Лист1!J154)</f>
        <v>"6B01705 - Foreign language: two foreign languages (English)", B018-Training of foreign language teachers</v>
      </c>
      <c r="K154" s="5" t="str">
        <f>IF(ISBLANK(Лист1!K154),"",Лист1!K154)</f>
        <v>full-time</v>
      </c>
      <c r="L154" s="5" t="str">
        <f>IF(ISBLANK(Лист1!L154),"",Лист1!L154)</f>
        <v>21</v>
      </c>
      <c r="M154" s="5" t="str">
        <f>IF(ISBLANK(Лист1!M154),"",Лист1!M154)</f>
        <v>June</v>
      </c>
      <c r="N154" s="5" t="str">
        <f>IF(ISBLANK(Лист1!N154),"",Лист1!N154)</f>
        <v>21</v>
      </c>
      <c r="O154" s="5" t="str">
        <f>IF(ISBLANK(Лист1!O154),"",Лист1!O154)</f>
        <v>июня</v>
      </c>
      <c r="P154" s="5" t="str">
        <f>IF(ISBLANK(Лист1!P154),"",Лист1!P154)</f>
        <v>09</v>
      </c>
      <c r="Q154" s="5" t="str">
        <f>IF(ISBLANK(Лист1!Q154),"",Лист1!Q154)</f>
        <v>Помарановой  Наталье  Геннадьевне</v>
      </c>
      <c r="R154" s="5" t="str">
        <f>IF(ISBLANK(Лист1!R154),"",Лист1!R154)</f>
        <v>образования</v>
      </c>
      <c r="S154" s="5" t="str">
        <f>IF(ISBLANK(Лист1!S154),"",Лист1!S154)</f>
        <v>"6B01705 - Иностранный язык: два иностранных языка (английский)", В018-Подготовка учителей иностранного языка</v>
      </c>
      <c r="T154" s="5" t="str">
        <f>IF(ISBLANK(Лист1!T154),"",Лист1!T154)</f>
        <v>очное</v>
      </c>
      <c r="U154" s="5" t="str">
        <f>IF(ISBLANK(Лист1!U154),"",Лист1!U154)</f>
        <v/>
      </c>
      <c r="V154" s="5" t="str">
        <f>IF(ISBLANK(Лист1!V154),"",Лист1!V154)</f>
        <v>28</v>
      </c>
      <c r="W154" s="5" t="str">
        <f>IF(ISBLANK(Лист1!W154),"",Лист1!W154)</f>
        <v>маусым</v>
      </c>
      <c r="X154" s="5" t="str">
        <f>IF(ISBLANK(Лист1!X154),"",Лист1!X154)</f>
        <v>031231650664</v>
      </c>
      <c r="Y154" s="5" t="str">
        <f>IF(ISERROR(VLOOKUP($X154,Лист2!$A$2:$G$498,1,FALSE)),"",VLOOKUP($X154,Лист2!$A$2:$G$498,1,FALSE))</f>
        <v>031231650664</v>
      </c>
      <c r="Z154" s="5" t="str">
        <f>IF(ISERROR(VLOOKUP($X154,Лист2!$A$2:$L$498,9,FALSE)),"",VLOOKUP($X154,Лист2!$A$2:$L$498,9,FALSE))</f>
        <v>BD</v>
      </c>
      <c r="AA154" s="5" t="str">
        <f>IF(ISERROR(VLOOKUP($X154,Лист2!$A$2:$L$498,10,FALSE)),"",VLOOKUP($X154,Лист2!$A$2:$L$498,10,FALSE))</f>
        <v>00025665625</v>
      </c>
      <c r="AB154" s="5" t="str">
        <f>IF(ISERROR(VLOOKUP($X154,Лист2!$A$2:$M$498,13,FALSE)),"",VLOOKUP($X154,Лист2!$A$2:$M$498,13,FALSE))</f>
        <v>https://epvo.kz/#/verification_education_document?iin=031231650664&amp;diplomaSeries=BD&amp;diplomaNumber=00025665625</v>
      </c>
    </row>
    <row r="155" spans="1:28" x14ac:dyDescent="0.25">
      <c r="A155" s="5" t="str">
        <f>IF(ISBLANK(Лист1!A155),"",Лист1!A155)</f>
        <v>21</v>
      </c>
      <c r="B155" s="5" t="str">
        <f>IF(ISBLANK(Лист1!B155),"",Лист1!B155)</f>
        <v>маусымдағы</v>
      </c>
      <c r="C155" s="5" t="str">
        <f>IF(ISBLANK(Лист1!C155),"",Лист1!C155)</f>
        <v>76</v>
      </c>
      <c r="D155" s="5" t="str">
        <f>IF(ISBLANK(Лист1!D155),"",Лист1!D155)</f>
        <v>Райимбек  Жанерке  Пулотқызына</v>
      </c>
      <c r="E155" s="5" t="str">
        <f>IF(ISBLANK(Лист1!E155),"",Лист1!E155)</f>
        <v>"6В01705 - Шетел тілі: екі шетел тілі (ағылшын)", В018-Шет тілі мұғалімдерін даярлау</v>
      </c>
      <c r="F155" s="5" t="str">
        <f>IF(ISBLANK(Лист1!F155),"",Лист1!F155)</f>
        <v>білім</v>
      </c>
      <c r="G155" s="5" t="str">
        <f>IF(ISBLANK(Лист1!G155),"",Лист1!G155)</f>
        <v>күндізгі</v>
      </c>
      <c r="H155" s="5" t="str">
        <f>IF(ISBLANK(Лист1!H155),"",Лист1!H155)</f>
        <v>Raiimbek  Zhanerke</v>
      </c>
      <c r="I155" s="5" t="str">
        <f>IF(ISBLANK(Лист1!I155),"",Лист1!I155)</f>
        <v>Education</v>
      </c>
      <c r="J155" s="5" t="str">
        <f>IF(ISBLANK(Лист1!J155),"",Лист1!J155)</f>
        <v>"6B01705 - Foreign language: two foreign languages (English)", B018-Training of foreign language teachers</v>
      </c>
      <c r="K155" s="5" t="str">
        <f>IF(ISBLANK(Лист1!K155),"",Лист1!K155)</f>
        <v>full-time</v>
      </c>
      <c r="L155" s="5" t="str">
        <f>IF(ISBLANK(Лист1!L155),"",Лист1!L155)</f>
        <v>21</v>
      </c>
      <c r="M155" s="5" t="str">
        <f>IF(ISBLANK(Лист1!M155),"",Лист1!M155)</f>
        <v>June</v>
      </c>
      <c r="N155" s="5" t="str">
        <f>IF(ISBLANK(Лист1!N155),"",Лист1!N155)</f>
        <v>21</v>
      </c>
      <c r="O155" s="5" t="str">
        <f>IF(ISBLANK(Лист1!O155),"",Лист1!O155)</f>
        <v>июня</v>
      </c>
      <c r="P155" s="5" t="str">
        <f>IF(ISBLANK(Лист1!P155),"",Лист1!P155)</f>
        <v>76</v>
      </c>
      <c r="Q155" s="5" t="str">
        <f>IF(ISBLANK(Лист1!Q155),"",Лист1!Q155)</f>
        <v>Райимбек  Жанерке  Пулотқызы</v>
      </c>
      <c r="R155" s="5" t="str">
        <f>IF(ISBLANK(Лист1!R155),"",Лист1!R155)</f>
        <v>образования</v>
      </c>
      <c r="S155" s="5" t="str">
        <f>IF(ISBLANK(Лист1!S155),"",Лист1!S155)</f>
        <v>"6B01705 - Иностранный язык: два иностранных языка (английский)", В018-Подготовка учителей иностранного языка</v>
      </c>
      <c r="T155" s="5" t="str">
        <f>IF(ISBLANK(Лист1!T155),"",Лист1!T155)</f>
        <v>очное</v>
      </c>
      <c r="U155" s="5" t="str">
        <f>IF(ISBLANK(Лист1!U155),"",Лист1!U155)</f>
        <v/>
      </c>
      <c r="V155" s="5" t="str">
        <f>IF(ISBLANK(Лист1!V155),"",Лист1!V155)</f>
        <v>28</v>
      </c>
      <c r="W155" s="5" t="str">
        <f>IF(ISBLANK(Лист1!W155),"",Лист1!W155)</f>
        <v>маусым</v>
      </c>
      <c r="X155" s="5" t="str">
        <f>IF(ISBLANK(Лист1!X155),"",Лист1!X155)</f>
        <v>031124601327</v>
      </c>
      <c r="Y155" s="5" t="str">
        <f>IF(ISERROR(VLOOKUP($X155,Лист2!$A$2:$G$498,1,FALSE)),"",VLOOKUP($X155,Лист2!$A$2:$G$498,1,FALSE))</f>
        <v>031124601327</v>
      </c>
      <c r="Z155" s="5" t="str">
        <f>IF(ISERROR(VLOOKUP($X155,Лист2!$A$2:$L$498,9,FALSE)),"",VLOOKUP($X155,Лист2!$A$2:$L$498,9,FALSE))</f>
        <v>BD</v>
      </c>
      <c r="AA155" s="5" t="str">
        <f>IF(ISERROR(VLOOKUP($X155,Лист2!$A$2:$L$498,10,FALSE)),"",VLOOKUP($X155,Лист2!$A$2:$L$498,10,FALSE))</f>
        <v>00025665725</v>
      </c>
      <c r="AB155" s="5" t="str">
        <f>IF(ISERROR(VLOOKUP($X155,Лист2!$A$2:$M$498,13,FALSE)),"",VLOOKUP($X155,Лист2!$A$2:$M$498,13,FALSE))</f>
        <v>https://epvo.kz/#/verification_education_document?iin=031124601327&amp;diplomaSeries=BD&amp;diplomaNumber=00025665725</v>
      </c>
    </row>
    <row r="156" spans="1:28" x14ac:dyDescent="0.25">
      <c r="A156" s="5" t="str">
        <f>IF(ISBLANK(Лист1!A156),"",Лист1!A156)</f>
        <v>21</v>
      </c>
      <c r="B156" s="5" t="str">
        <f>IF(ISBLANK(Лист1!B156),"",Лист1!B156)</f>
        <v>маусымдағы</v>
      </c>
      <c r="C156" s="5" t="str">
        <f>IF(ISBLANK(Лист1!C156),"",Лист1!C156)</f>
        <v>77</v>
      </c>
      <c r="D156" s="5" t="str">
        <f>IF(ISBLANK(Лист1!D156),"",Лист1!D156)</f>
        <v>Раматулла  Арайлым  Әбибуллақызына</v>
      </c>
      <c r="E156" s="5" t="str">
        <f>IF(ISBLANK(Лист1!E156),"",Лист1!E156)</f>
        <v>"6В01705 - Шетел тілі: екі шетел тілі (ағылшын)", В018-Шет тілі мұғалімдерін даярлау</v>
      </c>
      <c r="F156" s="5" t="str">
        <f>IF(ISBLANK(Лист1!F156),"",Лист1!F156)</f>
        <v>білім</v>
      </c>
      <c r="G156" s="5" t="str">
        <f>IF(ISBLANK(Лист1!G156),"",Лист1!G156)</f>
        <v>күндізгі</v>
      </c>
      <c r="H156" s="5" t="str">
        <f>IF(ISBLANK(Лист1!H156),"",Лист1!H156)</f>
        <v>Ramatulla  Arailym</v>
      </c>
      <c r="I156" s="5" t="str">
        <f>IF(ISBLANK(Лист1!I156),"",Лист1!I156)</f>
        <v>Education</v>
      </c>
      <c r="J156" s="5" t="str">
        <f>IF(ISBLANK(Лист1!J156),"",Лист1!J156)</f>
        <v>"6B01705 - Foreign language: two foreign languages (English)", B018-Training of foreign language teachers</v>
      </c>
      <c r="K156" s="5" t="str">
        <f>IF(ISBLANK(Лист1!K156),"",Лист1!K156)</f>
        <v>full-time</v>
      </c>
      <c r="L156" s="5" t="str">
        <f>IF(ISBLANK(Лист1!L156),"",Лист1!L156)</f>
        <v>21</v>
      </c>
      <c r="M156" s="5" t="str">
        <f>IF(ISBLANK(Лист1!M156),"",Лист1!M156)</f>
        <v>June</v>
      </c>
      <c r="N156" s="5" t="str">
        <f>IF(ISBLANK(Лист1!N156),"",Лист1!N156)</f>
        <v>21</v>
      </c>
      <c r="O156" s="5" t="str">
        <f>IF(ISBLANK(Лист1!O156),"",Лист1!O156)</f>
        <v>июня</v>
      </c>
      <c r="P156" s="5" t="str">
        <f>IF(ISBLANK(Лист1!P156),"",Лист1!P156)</f>
        <v>77</v>
      </c>
      <c r="Q156" s="5" t="str">
        <f>IF(ISBLANK(Лист1!Q156),"",Лист1!Q156)</f>
        <v>Раматулла  Арайлым  Әбибуллақызы</v>
      </c>
      <c r="R156" s="5" t="str">
        <f>IF(ISBLANK(Лист1!R156),"",Лист1!R156)</f>
        <v>образования</v>
      </c>
      <c r="S156" s="5" t="str">
        <f>IF(ISBLANK(Лист1!S156),"",Лист1!S156)</f>
        <v>"6B01705 - Иностранный язык: два иностранных языка (английский)", В018-Подготовка учителей иностранного языка</v>
      </c>
      <c r="T156" s="5" t="str">
        <f>IF(ISBLANK(Лист1!T156),"",Лист1!T156)</f>
        <v>очное</v>
      </c>
      <c r="U156" s="5" t="str">
        <f>IF(ISBLANK(Лист1!U156),"",Лист1!U156)</f>
        <v/>
      </c>
      <c r="V156" s="5" t="str">
        <f>IF(ISBLANK(Лист1!V156),"",Лист1!V156)</f>
        <v>28</v>
      </c>
      <c r="W156" s="5" t="str">
        <f>IF(ISBLANK(Лист1!W156),"",Лист1!W156)</f>
        <v>маусым</v>
      </c>
      <c r="X156" s="5" t="str">
        <f>IF(ISBLANK(Лист1!X156),"",Лист1!X156)</f>
        <v>040208600146</v>
      </c>
      <c r="Y156" s="5" t="str">
        <f>IF(ISERROR(VLOOKUP($X156,Лист2!$A$2:$G$498,1,FALSE)),"",VLOOKUP($X156,Лист2!$A$2:$G$498,1,FALSE))</f>
        <v>040208600146</v>
      </c>
      <c r="Z156" s="5" t="str">
        <f>IF(ISERROR(VLOOKUP($X156,Лист2!$A$2:$L$498,9,FALSE)),"",VLOOKUP($X156,Лист2!$A$2:$L$498,9,FALSE))</f>
        <v>BD</v>
      </c>
      <c r="AA156" s="5" t="str">
        <f>IF(ISERROR(VLOOKUP($X156,Лист2!$A$2:$L$498,10,FALSE)),"",VLOOKUP($X156,Лист2!$A$2:$L$498,10,FALSE))</f>
        <v>00025665825</v>
      </c>
      <c r="AB156" s="5" t="str">
        <f>IF(ISERROR(VLOOKUP($X156,Лист2!$A$2:$M$498,13,FALSE)),"",VLOOKUP($X156,Лист2!$A$2:$M$498,13,FALSE))</f>
        <v>https://epvo.kz/#/verification_education_document?iin=040208600146&amp;diplomaSeries=BD&amp;diplomaNumber=00025665825</v>
      </c>
    </row>
    <row r="157" spans="1:28" x14ac:dyDescent="0.25">
      <c r="A157" s="5" t="str">
        <f>IF(ISBLANK(Лист1!A157),"",Лист1!A157)</f>
        <v>21</v>
      </c>
      <c r="B157" s="5" t="str">
        <f>IF(ISBLANK(Лист1!B157),"",Лист1!B157)</f>
        <v>маусымдағы</v>
      </c>
      <c r="C157" s="5" t="str">
        <f>IF(ISBLANK(Лист1!C157),"",Лист1!C157)</f>
        <v>243</v>
      </c>
      <c r="D157" s="5" t="str">
        <f>IF(ISBLANK(Лист1!D157),"",Лист1!D157)</f>
        <v>Рахман  Назерке  Еркінбекқызына</v>
      </c>
      <c r="E157" s="5" t="str">
        <f>IF(ISBLANK(Лист1!E157),"",Лист1!E157)</f>
        <v>"6В01705 - Шетел тілі: екі шетел тілі (ағылшын)", В018-Шет тілі мұғалімдерін даярлау</v>
      </c>
      <c r="F157" s="5" t="str">
        <f>IF(ISBLANK(Лист1!F157),"",Лист1!F157)</f>
        <v>білім</v>
      </c>
      <c r="G157" s="5" t="str">
        <f>IF(ISBLANK(Лист1!G157),"",Лист1!G157)</f>
        <v>күндізгі</v>
      </c>
      <c r="H157" s="5" t="str">
        <f>IF(ISBLANK(Лист1!H157),"",Лист1!H157)</f>
        <v>Rakhman  Nazerke</v>
      </c>
      <c r="I157" s="5" t="str">
        <f>IF(ISBLANK(Лист1!I157),"",Лист1!I157)</f>
        <v>Education</v>
      </c>
      <c r="J157" s="5" t="str">
        <f>IF(ISBLANK(Лист1!J157),"",Лист1!J157)</f>
        <v>"6B01705 - Foreign language: two foreign languages (English)", B018-Training of foreign language teachers</v>
      </c>
      <c r="K157" s="5" t="str">
        <f>IF(ISBLANK(Лист1!K157),"",Лист1!K157)</f>
        <v>full-time</v>
      </c>
      <c r="L157" s="5" t="str">
        <f>IF(ISBLANK(Лист1!L157),"",Лист1!L157)</f>
        <v>21</v>
      </c>
      <c r="M157" s="5" t="str">
        <f>IF(ISBLANK(Лист1!M157),"",Лист1!M157)</f>
        <v>June</v>
      </c>
      <c r="N157" s="5" t="str">
        <f>IF(ISBLANK(Лист1!N157),"",Лист1!N157)</f>
        <v>21</v>
      </c>
      <c r="O157" s="5" t="str">
        <f>IF(ISBLANK(Лист1!O157),"",Лист1!O157)</f>
        <v>июня</v>
      </c>
      <c r="P157" s="5" t="str">
        <f>IF(ISBLANK(Лист1!P157),"",Лист1!P157)</f>
        <v>243</v>
      </c>
      <c r="Q157" s="5" t="str">
        <f>IF(ISBLANK(Лист1!Q157),"",Лист1!Q157)</f>
        <v>Рахман  Назерке  Еркінбекқызы</v>
      </c>
      <c r="R157" s="5" t="str">
        <f>IF(ISBLANK(Лист1!R157),"",Лист1!R157)</f>
        <v>образования</v>
      </c>
      <c r="S157" s="5" t="str">
        <f>IF(ISBLANK(Лист1!S157),"",Лист1!S157)</f>
        <v>"6B01705 - Иностранный язык: два иностранных языка (английский)", В018-Подготовка учителей иностранного языка</v>
      </c>
      <c r="T157" s="5" t="str">
        <f>IF(ISBLANK(Лист1!T157),"",Лист1!T157)</f>
        <v>очное</v>
      </c>
      <c r="U157" s="5" t="str">
        <f>IF(ISBLANK(Лист1!U157),"",Лист1!U157)</f>
        <v/>
      </c>
      <c r="V157" s="5" t="str">
        <f>IF(ISBLANK(Лист1!V157),"",Лист1!V157)</f>
        <v>28</v>
      </c>
      <c r="W157" s="5" t="str">
        <f>IF(ISBLANK(Лист1!W157),"",Лист1!W157)</f>
        <v>маусым</v>
      </c>
      <c r="X157" s="5" t="str">
        <f>IF(ISBLANK(Лист1!X157),"",Лист1!X157)</f>
        <v>031029601432</v>
      </c>
      <c r="Y157" s="5" t="str">
        <f>IF(ISERROR(VLOOKUP($X157,Лист2!$A$2:$G$498,1,FALSE)),"",VLOOKUP($X157,Лист2!$A$2:$G$498,1,FALSE))</f>
        <v>031029601432</v>
      </c>
      <c r="Z157" s="5" t="str">
        <f>IF(ISERROR(VLOOKUP($X157,Лист2!$A$2:$L$498,9,FALSE)),"",VLOOKUP($X157,Лист2!$A$2:$L$498,9,FALSE))</f>
        <v>BD</v>
      </c>
      <c r="AA157" s="5" t="str">
        <f>IF(ISERROR(VLOOKUP($X157,Лист2!$A$2:$L$498,10,FALSE)),"",VLOOKUP($X157,Лист2!$A$2:$L$498,10,FALSE))</f>
        <v>00025665925</v>
      </c>
      <c r="AB157" s="5" t="str">
        <f>IF(ISERROR(VLOOKUP($X157,Лист2!$A$2:$M$498,13,FALSE)),"",VLOOKUP($X157,Лист2!$A$2:$M$498,13,FALSE))</f>
        <v>https://epvo.kz/#/verification_education_document?iin=031029601432&amp;diplomaSeries=BD&amp;diplomaNumber=00025665925</v>
      </c>
    </row>
    <row r="158" spans="1:28" x14ac:dyDescent="0.25">
      <c r="A158" s="5" t="str">
        <f>IF(ISBLANK(Лист1!A158),"",Лист1!A158)</f>
        <v>21</v>
      </c>
      <c r="B158" s="5" t="str">
        <f>IF(ISBLANK(Лист1!B158),"",Лист1!B158)</f>
        <v>маусымдағы</v>
      </c>
      <c r="C158" s="5" t="str">
        <f>IF(ISBLANK(Лист1!C158),"",Лист1!C158)</f>
        <v>113</v>
      </c>
      <c r="D158" s="5" t="str">
        <f>IF(ISBLANK(Лист1!D158),"",Лист1!D158)</f>
        <v>Рыскулова Гулназа Фархадқызына</v>
      </c>
      <c r="E158" s="5" t="str">
        <f>IF(ISBLANK(Лист1!E158),"",Лист1!E158)</f>
        <v>"6В01705 - Шетел тілі: екі шетел тілі (ағылшын)", В018-Шет тілі мұғалімдерін даярлау</v>
      </c>
      <c r="F158" s="5" t="str">
        <f>IF(ISBLANK(Лист1!F158),"",Лист1!F158)</f>
        <v>білім</v>
      </c>
      <c r="G158" s="5" t="str">
        <f>IF(ISBLANK(Лист1!G158),"",Лист1!G158)</f>
        <v>күндізгі</v>
      </c>
      <c r="H158" s="5" t="str">
        <f>IF(ISBLANK(Лист1!H158),"",Лист1!H158)</f>
        <v>Ryskulova Gulnaza</v>
      </c>
      <c r="I158" s="5" t="str">
        <f>IF(ISBLANK(Лист1!I158),"",Лист1!I158)</f>
        <v>Education</v>
      </c>
      <c r="J158" s="5" t="str">
        <f>IF(ISBLANK(Лист1!J158),"",Лист1!J158)</f>
        <v>"6B01705 - Foreign language: two foreign languages (English)", B018-Training of foreign language teachers</v>
      </c>
      <c r="K158" s="5" t="str">
        <f>IF(ISBLANK(Лист1!K158),"",Лист1!K158)</f>
        <v>full-time</v>
      </c>
      <c r="L158" s="5" t="str">
        <f>IF(ISBLANK(Лист1!L158),"",Лист1!L158)</f>
        <v>21</v>
      </c>
      <c r="M158" s="5" t="str">
        <f>IF(ISBLANK(Лист1!M158),"",Лист1!M158)</f>
        <v>June</v>
      </c>
      <c r="N158" s="5" t="str">
        <f>IF(ISBLANK(Лист1!N158),"",Лист1!N158)</f>
        <v>21</v>
      </c>
      <c r="O158" s="5" t="str">
        <f>IF(ISBLANK(Лист1!O158),"",Лист1!O158)</f>
        <v>июня</v>
      </c>
      <c r="P158" s="5" t="str">
        <f>IF(ISBLANK(Лист1!P158),"",Лист1!P158)</f>
        <v>113</v>
      </c>
      <c r="Q158" s="5" t="str">
        <f>IF(ISBLANK(Лист1!Q158),"",Лист1!Q158)</f>
        <v>Рыскулова Гулназа Фархадқызы</v>
      </c>
      <c r="R158" s="5" t="str">
        <f>IF(ISBLANK(Лист1!R158),"",Лист1!R158)</f>
        <v>образования</v>
      </c>
      <c r="S158" s="5" t="str">
        <f>IF(ISBLANK(Лист1!S158),"",Лист1!S158)</f>
        <v>"6B01705 - Иностранный язык: два иностранных языка (английский)", В018-Подготовка учителей иностранного языка</v>
      </c>
      <c r="T158" s="5" t="str">
        <f>IF(ISBLANK(Лист1!T158),"",Лист1!T158)</f>
        <v>очное</v>
      </c>
      <c r="U158" s="5" t="str">
        <f>IF(ISBLANK(Лист1!U158),"",Лист1!U158)</f>
        <v/>
      </c>
      <c r="V158" s="5" t="str">
        <f>IF(ISBLANK(Лист1!V158),"",Лист1!V158)</f>
        <v>28</v>
      </c>
      <c r="W158" s="5" t="str">
        <f>IF(ISBLANK(Лист1!W158),"",Лист1!W158)</f>
        <v>маусым</v>
      </c>
      <c r="X158" s="5" t="str">
        <f>IF(ISBLANK(Лист1!X158),"",Лист1!X158)</f>
        <v>021108600439</v>
      </c>
      <c r="Y158" s="5" t="str">
        <f>IF(ISERROR(VLOOKUP($X158,Лист2!$A$2:$G$498,1,FALSE)),"",VLOOKUP($X158,Лист2!$A$2:$G$498,1,FALSE))</f>
        <v>021108600439</v>
      </c>
      <c r="Z158" s="5" t="str">
        <f>IF(ISERROR(VLOOKUP($X158,Лист2!$A$2:$L$498,9,FALSE)),"",VLOOKUP($X158,Лист2!$A$2:$L$498,9,FALSE))</f>
        <v>BD</v>
      </c>
      <c r="AA158" s="5" t="str">
        <f>IF(ISERROR(VLOOKUP($X158,Лист2!$A$2:$L$498,10,FALSE)),"",VLOOKUP($X158,Лист2!$A$2:$L$498,10,FALSE))</f>
        <v>00025692325</v>
      </c>
      <c r="AB158" s="5" t="str">
        <f>IF(ISERROR(VLOOKUP($X158,Лист2!$A$2:$M$498,13,FALSE)),"",VLOOKUP($X158,Лист2!$A$2:$M$498,13,FALSE))</f>
        <v>https://epvo.kz/#/verification_education_document?iin=021108600439&amp;diplomaSeries=BD&amp;diplomaNumber=00025692325</v>
      </c>
    </row>
    <row r="159" spans="1:28" x14ac:dyDescent="0.25">
      <c r="A159" s="5" t="str">
        <f>IF(ISBLANK(Лист1!A159),"",Лист1!A159)</f>
        <v>21</v>
      </c>
      <c r="B159" s="5" t="str">
        <f>IF(ISBLANK(Лист1!B159),"",Лист1!B159)</f>
        <v>маусымдағы</v>
      </c>
      <c r="C159" s="5" t="str">
        <f>IF(ISBLANK(Лист1!C159),"",Лист1!C159)</f>
        <v>249</v>
      </c>
      <c r="D159" s="5" t="str">
        <f>IF(ISBLANK(Лист1!D159),"",Лист1!D159)</f>
        <v>Сағындық  Мөлдір  Сапаралықызына</v>
      </c>
      <c r="E159" s="5" t="str">
        <f>IF(ISBLANK(Лист1!E159),"",Лист1!E159)</f>
        <v>"6В01705 - Шетел тілі: екі шетел тілі (ағылшын)", В018-Шет тілі мұғалімдерін даярлау</v>
      </c>
      <c r="F159" s="5" t="str">
        <f>IF(ISBLANK(Лист1!F159),"",Лист1!F159)</f>
        <v>білім</v>
      </c>
      <c r="G159" s="5" t="str">
        <f>IF(ISBLANK(Лист1!G159),"",Лист1!G159)</f>
        <v>күндізгі</v>
      </c>
      <c r="H159" s="5" t="str">
        <f>IF(ISBLANK(Лист1!H159),"",Лист1!H159)</f>
        <v>Sagyndyk  Moldir</v>
      </c>
      <c r="I159" s="5" t="str">
        <f>IF(ISBLANK(Лист1!I159),"",Лист1!I159)</f>
        <v>Education</v>
      </c>
      <c r="J159" s="5" t="str">
        <f>IF(ISBLANK(Лист1!J159),"",Лист1!J159)</f>
        <v>"6B01705 - Foreign language: two foreign languages (English)", B018-Training of foreign language teachers</v>
      </c>
      <c r="K159" s="5" t="str">
        <f>IF(ISBLANK(Лист1!K159),"",Лист1!K159)</f>
        <v>full-time</v>
      </c>
      <c r="L159" s="5" t="str">
        <f>IF(ISBLANK(Лист1!L159),"",Лист1!L159)</f>
        <v>21</v>
      </c>
      <c r="M159" s="5" t="str">
        <f>IF(ISBLANK(Лист1!M159),"",Лист1!M159)</f>
        <v>June</v>
      </c>
      <c r="N159" s="5" t="str">
        <f>IF(ISBLANK(Лист1!N159),"",Лист1!N159)</f>
        <v>21</v>
      </c>
      <c r="O159" s="5" t="str">
        <f>IF(ISBLANK(Лист1!O159),"",Лист1!O159)</f>
        <v>июня</v>
      </c>
      <c r="P159" s="5" t="str">
        <f>IF(ISBLANK(Лист1!P159),"",Лист1!P159)</f>
        <v>249</v>
      </c>
      <c r="Q159" s="5" t="str">
        <f>IF(ISBLANK(Лист1!Q159),"",Лист1!Q159)</f>
        <v>Сағындық  Мөлдір  Сапаралықызы</v>
      </c>
      <c r="R159" s="5" t="str">
        <f>IF(ISBLANK(Лист1!R159),"",Лист1!R159)</f>
        <v>образования</v>
      </c>
      <c r="S159" s="5" t="str">
        <f>IF(ISBLANK(Лист1!S159),"",Лист1!S159)</f>
        <v>"6B01705 - Иностранный язык: два иностранных языка (английский)", В018-Подготовка учителей иностранного языка</v>
      </c>
      <c r="T159" s="5" t="str">
        <f>IF(ISBLANK(Лист1!T159),"",Лист1!T159)</f>
        <v>очное</v>
      </c>
      <c r="U159" s="5" t="str">
        <f>IF(ISBLANK(Лист1!U159),"",Лист1!U159)</f>
        <v/>
      </c>
      <c r="V159" s="5" t="str">
        <f>IF(ISBLANK(Лист1!V159),"",Лист1!V159)</f>
        <v>28</v>
      </c>
      <c r="W159" s="5" t="str">
        <f>IF(ISBLANK(Лист1!W159),"",Лист1!W159)</f>
        <v>маусым</v>
      </c>
      <c r="X159" s="5" t="str">
        <f>IF(ISBLANK(Лист1!X159),"",Лист1!X159)</f>
        <v>040114601619</v>
      </c>
      <c r="Y159" s="5" t="str">
        <f>IF(ISERROR(VLOOKUP($X159,Лист2!$A$2:$G$498,1,FALSE)),"",VLOOKUP($X159,Лист2!$A$2:$G$498,1,FALSE))</f>
        <v>040114601619</v>
      </c>
      <c r="Z159" s="5" t="str">
        <f>IF(ISERROR(VLOOKUP($X159,Лист2!$A$2:$L$498,9,FALSE)),"",VLOOKUP($X159,Лист2!$A$2:$L$498,9,FALSE))</f>
        <v>BD</v>
      </c>
      <c r="AA159" s="5" t="str">
        <f>IF(ISERROR(VLOOKUP($X159,Лист2!$A$2:$L$498,10,FALSE)),"",VLOOKUP($X159,Лист2!$A$2:$L$498,10,FALSE))</f>
        <v>00025666025</v>
      </c>
      <c r="AB159" s="5" t="str">
        <f>IF(ISERROR(VLOOKUP($X159,Лист2!$A$2:$M$498,13,FALSE)),"",VLOOKUP($X159,Лист2!$A$2:$M$498,13,FALSE))</f>
        <v>https://epvo.kz/#/verification_education_document?iin=040114601619&amp;diplomaSeries=BD&amp;diplomaNumber=00025666025</v>
      </c>
    </row>
    <row r="160" spans="1:28" x14ac:dyDescent="0.25">
      <c r="A160" s="5" t="str">
        <f>IF(ISBLANK(Лист1!A160),"",Лист1!A160)</f>
        <v>21</v>
      </c>
      <c r="B160" s="5" t="str">
        <f>IF(ISBLANK(Лист1!B160),"",Лист1!B160)</f>
        <v>маусымдағы</v>
      </c>
      <c r="C160" s="5" t="str">
        <f>IF(ISBLANK(Лист1!C160),"",Лист1!C160)</f>
        <v>47</v>
      </c>
      <c r="D160" s="5" t="str">
        <f>IF(ISBLANK(Лист1!D160),"",Лист1!D160)</f>
        <v>Сағындық  Сандуғаш  Ерболатқызына</v>
      </c>
      <c r="E160" s="5" t="str">
        <f>IF(ISBLANK(Лист1!E160),"",Лист1!E160)</f>
        <v>"6В01705 - Шетел тілі: екі шетел тілі (ағылшын)", В018-Шет тілі мұғалімдерін даярлау</v>
      </c>
      <c r="F160" s="5" t="str">
        <f>IF(ISBLANK(Лист1!F160),"",Лист1!F160)</f>
        <v>білім</v>
      </c>
      <c r="G160" s="5" t="str">
        <f>IF(ISBLANK(Лист1!G160),"",Лист1!G160)</f>
        <v>күндізгі</v>
      </c>
      <c r="H160" s="5" t="str">
        <f>IF(ISBLANK(Лист1!H160),"",Лист1!H160)</f>
        <v>Sagyndyk  Sandugash</v>
      </c>
      <c r="I160" s="5" t="str">
        <f>IF(ISBLANK(Лист1!I160),"",Лист1!I160)</f>
        <v>Education</v>
      </c>
      <c r="J160" s="5" t="str">
        <f>IF(ISBLANK(Лист1!J160),"",Лист1!J160)</f>
        <v>"6B01705 - Foreign language: two foreign languages (English)", B018-Training of foreign language teachers</v>
      </c>
      <c r="K160" s="5" t="str">
        <f>IF(ISBLANK(Лист1!K160),"",Лист1!K160)</f>
        <v>full-time</v>
      </c>
      <c r="L160" s="5" t="str">
        <f>IF(ISBLANK(Лист1!L160),"",Лист1!L160)</f>
        <v>21</v>
      </c>
      <c r="M160" s="5" t="str">
        <f>IF(ISBLANK(Лист1!M160),"",Лист1!M160)</f>
        <v>June</v>
      </c>
      <c r="N160" s="5" t="str">
        <f>IF(ISBLANK(Лист1!N160),"",Лист1!N160)</f>
        <v>21</v>
      </c>
      <c r="O160" s="5" t="str">
        <f>IF(ISBLANK(Лист1!O160),"",Лист1!O160)</f>
        <v>июня</v>
      </c>
      <c r="P160" s="5" t="str">
        <f>IF(ISBLANK(Лист1!P160),"",Лист1!P160)</f>
        <v>47</v>
      </c>
      <c r="Q160" s="5" t="str">
        <f>IF(ISBLANK(Лист1!Q160),"",Лист1!Q160)</f>
        <v>Сағындық  Сандуғаш  Ерболатқызы</v>
      </c>
      <c r="R160" s="5" t="str">
        <f>IF(ISBLANK(Лист1!R160),"",Лист1!R160)</f>
        <v>образования</v>
      </c>
      <c r="S160" s="5" t="str">
        <f>IF(ISBLANK(Лист1!S160),"",Лист1!S160)</f>
        <v>"6B01705 - Иностранный язык: два иностранных языка (английский)", В018-Подготовка учителей иностранного языка</v>
      </c>
      <c r="T160" s="5" t="str">
        <f>IF(ISBLANK(Лист1!T160),"",Лист1!T160)</f>
        <v>очное</v>
      </c>
      <c r="U160" s="5" t="str">
        <f>IF(ISBLANK(Лист1!U160),"",Лист1!U160)</f>
        <v/>
      </c>
      <c r="V160" s="5" t="str">
        <f>IF(ISBLANK(Лист1!V160),"",Лист1!V160)</f>
        <v>28</v>
      </c>
      <c r="W160" s="5" t="str">
        <f>IF(ISBLANK(Лист1!W160),"",Лист1!W160)</f>
        <v>маусым</v>
      </c>
      <c r="X160" s="5" t="str">
        <f>IF(ISBLANK(Лист1!X160),"",Лист1!X160)</f>
        <v>040314600648</v>
      </c>
      <c r="Y160" s="5" t="str">
        <f>IF(ISERROR(VLOOKUP($X160,Лист2!$A$2:$G$498,1,FALSE)),"",VLOOKUP($X160,Лист2!$A$2:$G$498,1,FALSE))</f>
        <v>040314600648</v>
      </c>
      <c r="Z160" s="5" t="str">
        <f>IF(ISERROR(VLOOKUP($X160,Лист2!$A$2:$L$498,9,FALSE)),"",VLOOKUP($X160,Лист2!$A$2:$L$498,9,FALSE))</f>
        <v>BD</v>
      </c>
      <c r="AA160" s="5" t="str">
        <f>IF(ISERROR(VLOOKUP($X160,Лист2!$A$2:$L$498,10,FALSE)),"",VLOOKUP($X160,Лист2!$A$2:$L$498,10,FALSE))</f>
        <v>00025666125</v>
      </c>
      <c r="AB160" s="5" t="str">
        <f>IF(ISERROR(VLOOKUP($X160,Лист2!$A$2:$M$498,13,FALSE)),"",VLOOKUP($X160,Лист2!$A$2:$M$498,13,FALSE))</f>
        <v>https://epvo.kz/#/verification_education_document?iin=040314600648&amp;diplomaSeries=BD&amp;diplomaNumber=00025666125</v>
      </c>
    </row>
    <row r="161" spans="1:28" x14ac:dyDescent="0.25">
      <c r="A161" s="5" t="str">
        <f>IF(ISBLANK(Лист1!A161),"",Лист1!A161)</f>
        <v>21</v>
      </c>
      <c r="B161" s="5" t="str">
        <f>IF(ISBLANK(Лист1!B161),"",Лист1!B161)</f>
        <v>маусымдағы</v>
      </c>
      <c r="C161" s="5" t="str">
        <f>IF(ISBLANK(Лист1!C161),"",Лист1!C161)</f>
        <v>14</v>
      </c>
      <c r="D161" s="5" t="str">
        <f>IF(ISBLANK(Лист1!D161),"",Лист1!D161)</f>
        <v>Саидмурадова  Мафтуна  Алишеровнаға</v>
      </c>
      <c r="E161" s="5" t="str">
        <f>IF(ISBLANK(Лист1!E161),"",Лист1!E161)</f>
        <v>"6В01705 - Шетел тілі: екі шетел тілі (ағылшын)", В018-Шет тілі мұғалімдерін даярлау</v>
      </c>
      <c r="F161" s="5" t="str">
        <f>IF(ISBLANK(Лист1!F161),"",Лист1!F161)</f>
        <v>білім</v>
      </c>
      <c r="G161" s="5" t="str">
        <f>IF(ISBLANK(Лист1!G161),"",Лист1!G161)</f>
        <v>күндізгі</v>
      </c>
      <c r="H161" s="5" t="str">
        <f>IF(ISBLANK(Лист1!H161),"",Лист1!H161)</f>
        <v>Saidmuradova  Maftuna</v>
      </c>
      <c r="I161" s="5" t="str">
        <f>IF(ISBLANK(Лист1!I161),"",Лист1!I161)</f>
        <v>Education</v>
      </c>
      <c r="J161" s="5" t="str">
        <f>IF(ISBLANK(Лист1!J161),"",Лист1!J161)</f>
        <v>"6B01705 - Foreign language: two foreign languages (English)", B018-Training of foreign language teachers</v>
      </c>
      <c r="K161" s="5" t="str">
        <f>IF(ISBLANK(Лист1!K161),"",Лист1!K161)</f>
        <v>full-time</v>
      </c>
      <c r="L161" s="5" t="str">
        <f>IF(ISBLANK(Лист1!L161),"",Лист1!L161)</f>
        <v>21</v>
      </c>
      <c r="M161" s="5" t="str">
        <f>IF(ISBLANK(Лист1!M161),"",Лист1!M161)</f>
        <v>June</v>
      </c>
      <c r="N161" s="5" t="str">
        <f>IF(ISBLANK(Лист1!N161),"",Лист1!N161)</f>
        <v>21</v>
      </c>
      <c r="O161" s="5" t="str">
        <f>IF(ISBLANK(Лист1!O161),"",Лист1!O161)</f>
        <v>июня</v>
      </c>
      <c r="P161" s="5" t="str">
        <f>IF(ISBLANK(Лист1!P161),"",Лист1!P161)</f>
        <v>14</v>
      </c>
      <c r="Q161" s="5" t="str">
        <f>IF(ISBLANK(Лист1!Q161),"",Лист1!Q161)</f>
        <v>Саидмурадовой  Мафтуне  Алишеровне</v>
      </c>
      <c r="R161" s="5" t="str">
        <f>IF(ISBLANK(Лист1!R161),"",Лист1!R161)</f>
        <v>образования</v>
      </c>
      <c r="S161" s="5" t="str">
        <f>IF(ISBLANK(Лист1!S161),"",Лист1!S161)</f>
        <v>"6B01705 - Иностранный язык: два иностранных языка (английский)", В018-Подготовка учителей иностранного языка</v>
      </c>
      <c r="T161" s="5" t="str">
        <f>IF(ISBLANK(Лист1!T161),"",Лист1!T161)</f>
        <v>очное</v>
      </c>
      <c r="U161" s="5" t="str">
        <f>IF(ISBLANK(Лист1!U161),"",Лист1!U161)</f>
        <v/>
      </c>
      <c r="V161" s="5" t="str">
        <f>IF(ISBLANK(Лист1!V161),"",Лист1!V161)</f>
        <v>28</v>
      </c>
      <c r="W161" s="5" t="str">
        <f>IF(ISBLANK(Лист1!W161),"",Лист1!W161)</f>
        <v>маусым</v>
      </c>
      <c r="X161" s="5" t="str">
        <f>IF(ISBLANK(Лист1!X161),"",Лист1!X161)</f>
        <v>030516600057</v>
      </c>
      <c r="Y161" s="5" t="str">
        <f>IF(ISERROR(VLOOKUP($X161,Лист2!$A$2:$G$498,1,FALSE)),"",VLOOKUP($X161,Лист2!$A$2:$G$498,1,FALSE))</f>
        <v>030516600057</v>
      </c>
      <c r="Z161" s="5" t="str">
        <f>IF(ISERROR(VLOOKUP($X161,Лист2!$A$2:$L$498,9,FALSE)),"",VLOOKUP($X161,Лист2!$A$2:$L$498,9,FALSE))</f>
        <v>BD</v>
      </c>
      <c r="AA161" s="5" t="str">
        <f>IF(ISERROR(VLOOKUP($X161,Лист2!$A$2:$L$498,10,FALSE)),"",VLOOKUP($X161,Лист2!$A$2:$L$498,10,FALSE))</f>
        <v>00025666225</v>
      </c>
      <c r="AB161" s="5" t="str">
        <f>IF(ISERROR(VLOOKUP($X161,Лист2!$A$2:$M$498,13,FALSE)),"",VLOOKUP($X161,Лист2!$A$2:$M$498,13,FALSE))</f>
        <v>https://epvo.kz/#/verification_education_document?iin=030516600057&amp;diplomaSeries=BD&amp;diplomaNumber=00025666225</v>
      </c>
    </row>
    <row r="162" spans="1:28" x14ac:dyDescent="0.25">
      <c r="A162" s="5" t="str">
        <f>IF(ISBLANK(Лист1!A162),"",Лист1!A162)</f>
        <v>21</v>
      </c>
      <c r="B162" s="5" t="str">
        <f>IF(ISBLANK(Лист1!B162),"",Лист1!B162)</f>
        <v>маусымдағы</v>
      </c>
      <c r="C162" s="5" t="str">
        <f>IF(ISBLANK(Лист1!C162),"",Лист1!C162)</f>
        <v>246</v>
      </c>
      <c r="D162" s="5" t="str">
        <f>IF(ISBLANK(Лист1!D162),"",Лист1!D162)</f>
        <v>Сайлаубек  Мерей  Жамбылқызына</v>
      </c>
      <c r="E162" s="5" t="str">
        <f>IF(ISBLANK(Лист1!E162),"",Лист1!E162)</f>
        <v>"6В01705 - Шетел тілі: екі шетел тілі (ағылшын)", В018-Шет тілі мұғалімдерін даярлау</v>
      </c>
      <c r="F162" s="5" t="str">
        <f>IF(ISBLANK(Лист1!F162),"",Лист1!F162)</f>
        <v>білім</v>
      </c>
      <c r="G162" s="5" t="str">
        <f>IF(ISBLANK(Лист1!G162),"",Лист1!G162)</f>
        <v>күндізгі</v>
      </c>
      <c r="H162" s="5" t="str">
        <f>IF(ISBLANK(Лист1!H162),"",Лист1!H162)</f>
        <v>Sailaubek  Merey</v>
      </c>
      <c r="I162" s="5" t="str">
        <f>IF(ISBLANK(Лист1!I162),"",Лист1!I162)</f>
        <v>Education</v>
      </c>
      <c r="J162" s="5" t="str">
        <f>IF(ISBLANK(Лист1!J162),"",Лист1!J162)</f>
        <v>"6B01705 - Foreign language: two foreign languages (English)", B018-Training of foreign language teachers</v>
      </c>
      <c r="K162" s="5" t="str">
        <f>IF(ISBLANK(Лист1!K162),"",Лист1!K162)</f>
        <v>full-time</v>
      </c>
      <c r="L162" s="5" t="str">
        <f>IF(ISBLANK(Лист1!L162),"",Лист1!L162)</f>
        <v>21</v>
      </c>
      <c r="M162" s="5" t="str">
        <f>IF(ISBLANK(Лист1!M162),"",Лист1!M162)</f>
        <v>June</v>
      </c>
      <c r="N162" s="5" t="str">
        <f>IF(ISBLANK(Лист1!N162),"",Лист1!N162)</f>
        <v>21</v>
      </c>
      <c r="O162" s="5" t="str">
        <f>IF(ISBLANK(Лист1!O162),"",Лист1!O162)</f>
        <v>июня</v>
      </c>
      <c r="P162" s="5" t="str">
        <f>IF(ISBLANK(Лист1!P162),"",Лист1!P162)</f>
        <v>246</v>
      </c>
      <c r="Q162" s="5" t="str">
        <f>IF(ISBLANK(Лист1!Q162),"",Лист1!Q162)</f>
        <v>Сайлаубек  Мерей  Жамбылқызы</v>
      </c>
      <c r="R162" s="5" t="str">
        <f>IF(ISBLANK(Лист1!R162),"",Лист1!R162)</f>
        <v>образования</v>
      </c>
      <c r="S162" s="5" t="str">
        <f>IF(ISBLANK(Лист1!S162),"",Лист1!S162)</f>
        <v>"6B01705 - Иностранный язык: два иностранных языка (английский)", В018-Подготовка учителей иностранного языка</v>
      </c>
      <c r="T162" s="5" t="str">
        <f>IF(ISBLANK(Лист1!T162),"",Лист1!T162)</f>
        <v>очное</v>
      </c>
      <c r="U162" s="5" t="str">
        <f>IF(ISBLANK(Лист1!U162),"",Лист1!U162)</f>
        <v/>
      </c>
      <c r="V162" s="5" t="str">
        <f>IF(ISBLANK(Лист1!V162),"",Лист1!V162)</f>
        <v>28</v>
      </c>
      <c r="W162" s="5" t="str">
        <f>IF(ISBLANK(Лист1!W162),"",Лист1!W162)</f>
        <v>маусым</v>
      </c>
      <c r="X162" s="5" t="str">
        <f>IF(ISBLANK(Лист1!X162),"",Лист1!X162)</f>
        <v>031129600326</v>
      </c>
      <c r="Y162" s="5" t="str">
        <f>IF(ISERROR(VLOOKUP($X162,Лист2!$A$2:$G$498,1,FALSE)),"",VLOOKUP($X162,Лист2!$A$2:$G$498,1,FALSE))</f>
        <v>031129600326</v>
      </c>
      <c r="Z162" s="5" t="str">
        <f>IF(ISERROR(VLOOKUP($X162,Лист2!$A$2:$L$498,9,FALSE)),"",VLOOKUP($X162,Лист2!$A$2:$L$498,9,FALSE))</f>
        <v>BD</v>
      </c>
      <c r="AA162" s="5" t="str">
        <f>IF(ISERROR(VLOOKUP($X162,Лист2!$A$2:$L$498,10,FALSE)),"",VLOOKUP($X162,Лист2!$A$2:$L$498,10,FALSE))</f>
        <v>00025666325</v>
      </c>
      <c r="AB162" s="5" t="str">
        <f>IF(ISERROR(VLOOKUP($X162,Лист2!$A$2:$M$498,13,FALSE)),"",VLOOKUP($X162,Лист2!$A$2:$M$498,13,FALSE))</f>
        <v>https://epvo.kz/#/verification_education_document?iin=031129600326&amp;diplomaSeries=BD&amp;diplomaNumber=00025666325</v>
      </c>
    </row>
    <row r="163" spans="1:28" x14ac:dyDescent="0.25">
      <c r="A163" s="5" t="str">
        <f>IF(ISBLANK(Лист1!A163),"",Лист1!A163)</f>
        <v>21</v>
      </c>
      <c r="B163" s="5" t="str">
        <f>IF(ISBLANK(Лист1!B163),"",Лист1!B163)</f>
        <v>маусымдағы</v>
      </c>
      <c r="C163" s="5" t="str">
        <f>IF(ISBLANK(Лист1!C163),"",Лист1!C163)</f>
        <v>78</v>
      </c>
      <c r="D163" s="5" t="str">
        <f>IF(ISBLANK(Лист1!D163),"",Лист1!D163)</f>
        <v>Салхан  Ардақ  Талғатқызына</v>
      </c>
      <c r="E163" s="5" t="str">
        <f>IF(ISBLANK(Лист1!E163),"",Лист1!E163)</f>
        <v>"6В01705 - Шетел тілі: екі шетел тілі (ағылшын)", В018-Шет тілі мұғалімдерін даярлау</v>
      </c>
      <c r="F163" s="5" t="str">
        <f>IF(ISBLANK(Лист1!F163),"",Лист1!F163)</f>
        <v>білім</v>
      </c>
      <c r="G163" s="5" t="str">
        <f>IF(ISBLANK(Лист1!G163),"",Лист1!G163)</f>
        <v>күндізгі</v>
      </c>
      <c r="H163" s="5" t="str">
        <f>IF(ISBLANK(Лист1!H163),"",Лист1!H163)</f>
        <v>Salkhan  Ardak</v>
      </c>
      <c r="I163" s="5" t="str">
        <f>IF(ISBLANK(Лист1!I163),"",Лист1!I163)</f>
        <v>Education</v>
      </c>
      <c r="J163" s="5" t="str">
        <f>IF(ISBLANK(Лист1!J163),"",Лист1!J163)</f>
        <v>"6B01705 - Foreign language: two foreign languages (English)", B018-Training of foreign language teachers</v>
      </c>
      <c r="K163" s="5" t="str">
        <f>IF(ISBLANK(Лист1!K163),"",Лист1!K163)</f>
        <v>full-time</v>
      </c>
      <c r="L163" s="5" t="str">
        <f>IF(ISBLANK(Лист1!L163),"",Лист1!L163)</f>
        <v>21</v>
      </c>
      <c r="M163" s="5" t="str">
        <f>IF(ISBLANK(Лист1!M163),"",Лист1!M163)</f>
        <v>June</v>
      </c>
      <c r="N163" s="5" t="str">
        <f>IF(ISBLANK(Лист1!N163),"",Лист1!N163)</f>
        <v>21</v>
      </c>
      <c r="O163" s="5" t="str">
        <f>IF(ISBLANK(Лист1!O163),"",Лист1!O163)</f>
        <v>июня</v>
      </c>
      <c r="P163" s="5" t="str">
        <f>IF(ISBLANK(Лист1!P163),"",Лист1!P163)</f>
        <v>78</v>
      </c>
      <c r="Q163" s="5" t="str">
        <f>IF(ISBLANK(Лист1!Q163),"",Лист1!Q163)</f>
        <v>Салхан  Ардақ  Талғатқызы</v>
      </c>
      <c r="R163" s="5" t="str">
        <f>IF(ISBLANK(Лист1!R163),"",Лист1!R163)</f>
        <v>образования</v>
      </c>
      <c r="S163" s="5" t="str">
        <f>IF(ISBLANK(Лист1!S163),"",Лист1!S163)</f>
        <v>"6B01705 - Иностранный язык: два иностранных языка (английский)", В018-Подготовка учителей иностранного языка</v>
      </c>
      <c r="T163" s="5" t="str">
        <f>IF(ISBLANK(Лист1!T163),"",Лист1!T163)</f>
        <v>очное</v>
      </c>
      <c r="U163" s="5" t="str">
        <f>IF(ISBLANK(Лист1!U163),"",Лист1!U163)</f>
        <v/>
      </c>
      <c r="V163" s="5" t="str">
        <f>IF(ISBLANK(Лист1!V163),"",Лист1!V163)</f>
        <v>28</v>
      </c>
      <c r="W163" s="5" t="str">
        <f>IF(ISBLANK(Лист1!W163),"",Лист1!W163)</f>
        <v>маусым</v>
      </c>
      <c r="X163" s="5" t="str">
        <f>IF(ISBLANK(Лист1!X163),"",Лист1!X163)</f>
        <v>040618600769</v>
      </c>
      <c r="Y163" s="5" t="str">
        <f>IF(ISERROR(VLOOKUP($X163,Лист2!$A$2:$G$498,1,FALSE)),"",VLOOKUP($X163,Лист2!$A$2:$G$498,1,FALSE))</f>
        <v>040618600769</v>
      </c>
      <c r="Z163" s="5" t="str">
        <f>IF(ISERROR(VLOOKUP($X163,Лист2!$A$2:$L$498,9,FALSE)),"",VLOOKUP($X163,Лист2!$A$2:$L$498,9,FALSE))</f>
        <v>BD</v>
      </c>
      <c r="AA163" s="5" t="str">
        <f>IF(ISERROR(VLOOKUP($X163,Лист2!$A$2:$L$498,10,FALSE)),"",VLOOKUP($X163,Лист2!$A$2:$L$498,10,FALSE))</f>
        <v>00025666425</v>
      </c>
      <c r="AB163" s="5" t="str">
        <f>IF(ISERROR(VLOOKUP($X163,Лист2!$A$2:$M$498,13,FALSE)),"",VLOOKUP($X163,Лист2!$A$2:$M$498,13,FALSE))</f>
        <v>https://epvo.kz/#/verification_education_document?iin=040618600769&amp;diplomaSeries=BD&amp;diplomaNumber=00025666425</v>
      </c>
    </row>
    <row r="164" spans="1:28" x14ac:dyDescent="0.25">
      <c r="A164" s="5" t="str">
        <f>IF(ISBLANK(Лист1!A164),"",Лист1!A164)</f>
        <v>21</v>
      </c>
      <c r="B164" s="5" t="str">
        <f>IF(ISBLANK(Лист1!B164),"",Лист1!B164)</f>
        <v>маусымдағы</v>
      </c>
      <c r="C164" s="5" t="str">
        <f>IF(ISBLANK(Лист1!C164),"",Лист1!C164)</f>
        <v>252</v>
      </c>
      <c r="D164" s="5" t="str">
        <f>IF(ISBLANK(Лист1!D164),"",Лист1!D164)</f>
        <v>Сатыбалды  Әсем  Маратқызына</v>
      </c>
      <c r="E164" s="5" t="str">
        <f>IF(ISBLANK(Лист1!E164),"",Лист1!E164)</f>
        <v>"6В01705 - Шетел тілі: екі шетел тілі (ағылшын)", В018-Шет тілі мұғалімдерін даярлау</v>
      </c>
      <c r="F164" s="5" t="str">
        <f>IF(ISBLANK(Лист1!F164),"",Лист1!F164)</f>
        <v>білім</v>
      </c>
      <c r="G164" s="5" t="str">
        <f>IF(ISBLANK(Лист1!G164),"",Лист1!G164)</f>
        <v>күндізгі</v>
      </c>
      <c r="H164" s="5" t="str">
        <f>IF(ISBLANK(Лист1!H164),"",Лист1!H164)</f>
        <v>Satybaldy  Assem</v>
      </c>
      <c r="I164" s="5" t="str">
        <f>IF(ISBLANK(Лист1!I164),"",Лист1!I164)</f>
        <v>Education</v>
      </c>
      <c r="J164" s="5" t="str">
        <f>IF(ISBLANK(Лист1!J164),"",Лист1!J164)</f>
        <v>"6B01705 - Foreign language: two foreign languages (English)", B018-Training of foreign language teachers</v>
      </c>
      <c r="K164" s="5" t="str">
        <f>IF(ISBLANK(Лист1!K164),"",Лист1!K164)</f>
        <v>full-time</v>
      </c>
      <c r="L164" s="5" t="str">
        <f>IF(ISBLANK(Лист1!L164),"",Лист1!L164)</f>
        <v>21</v>
      </c>
      <c r="M164" s="5" t="str">
        <f>IF(ISBLANK(Лист1!M164),"",Лист1!M164)</f>
        <v>June</v>
      </c>
      <c r="N164" s="5" t="str">
        <f>IF(ISBLANK(Лист1!N164),"",Лист1!N164)</f>
        <v>21</v>
      </c>
      <c r="O164" s="5" t="str">
        <f>IF(ISBLANK(Лист1!O164),"",Лист1!O164)</f>
        <v>июня</v>
      </c>
      <c r="P164" s="5" t="str">
        <f>IF(ISBLANK(Лист1!P164),"",Лист1!P164)</f>
        <v>252</v>
      </c>
      <c r="Q164" s="5" t="str">
        <f>IF(ISBLANK(Лист1!Q164),"",Лист1!Q164)</f>
        <v>Сатыбалды  Әсем  Маратқызы</v>
      </c>
      <c r="R164" s="5" t="str">
        <f>IF(ISBLANK(Лист1!R164),"",Лист1!R164)</f>
        <v>образования</v>
      </c>
      <c r="S164" s="5" t="str">
        <f>IF(ISBLANK(Лист1!S164),"",Лист1!S164)</f>
        <v>"6B01705 - Иностранный язык: два иностранных языка (английский)", В018-Подготовка учителей иностранного языка</v>
      </c>
      <c r="T164" s="5" t="str">
        <f>IF(ISBLANK(Лист1!T164),"",Лист1!T164)</f>
        <v>очное</v>
      </c>
      <c r="U164" s="5" t="str">
        <f>IF(ISBLANK(Лист1!U164),"",Лист1!U164)</f>
        <v/>
      </c>
      <c r="V164" s="5" t="str">
        <f>IF(ISBLANK(Лист1!V164),"",Лист1!V164)</f>
        <v>28</v>
      </c>
      <c r="W164" s="5" t="str">
        <f>IF(ISBLANK(Лист1!W164),"",Лист1!W164)</f>
        <v>маусым</v>
      </c>
      <c r="X164" s="5" t="str">
        <f>IF(ISBLANK(Лист1!X164),"",Лист1!X164)</f>
        <v>040212601205</v>
      </c>
      <c r="Y164" s="5" t="str">
        <f>IF(ISERROR(VLOOKUP($X164,Лист2!$A$2:$G$498,1,FALSE)),"",VLOOKUP($X164,Лист2!$A$2:$G$498,1,FALSE))</f>
        <v>040212601205</v>
      </c>
      <c r="Z164" s="5" t="str">
        <f>IF(ISERROR(VLOOKUP($X164,Лист2!$A$2:$L$498,9,FALSE)),"",VLOOKUP($X164,Лист2!$A$2:$L$498,9,FALSE))</f>
        <v>BD</v>
      </c>
      <c r="AA164" s="5" t="str">
        <f>IF(ISERROR(VLOOKUP($X164,Лист2!$A$2:$L$498,10,FALSE)),"",VLOOKUP($X164,Лист2!$A$2:$L$498,10,FALSE))</f>
        <v>00025692125</v>
      </c>
      <c r="AB164" s="5" t="str">
        <f>IF(ISERROR(VLOOKUP($X164,Лист2!$A$2:$M$498,13,FALSE)),"",VLOOKUP($X164,Лист2!$A$2:$M$498,13,FALSE))</f>
        <v>https://epvo.kz/#/verification_education_document?iin=040212601205&amp;diplomaSeries=BD&amp;diplomaNumber=00025692125</v>
      </c>
    </row>
    <row r="165" spans="1:28" x14ac:dyDescent="0.25">
      <c r="A165" s="5" t="str">
        <f>IF(ISBLANK(Лист1!A165),"",Лист1!A165)</f>
        <v>21</v>
      </c>
      <c r="B165" s="5" t="str">
        <f>IF(ISBLANK(Лист1!B165),"",Лист1!B165)</f>
        <v>маусымдағы</v>
      </c>
      <c r="C165" s="5" t="str">
        <f>IF(ISBLANK(Лист1!C165),"",Лист1!C165)</f>
        <v>253</v>
      </c>
      <c r="D165" s="5" t="str">
        <f>IF(ISBLANK(Лист1!D165),"",Лист1!D165)</f>
        <v>Сауран  Саят  Нурсултанулына</v>
      </c>
      <c r="E165" s="5" t="str">
        <f>IF(ISBLANK(Лист1!E165),"",Лист1!E165)</f>
        <v>"6В01705 - Шетел тілі: екі шетел тілі (ағылшын)", В018-Шет тілі мұғалімдерін даярлау</v>
      </c>
      <c r="F165" s="5" t="str">
        <f>IF(ISBLANK(Лист1!F165),"",Лист1!F165)</f>
        <v>білім</v>
      </c>
      <c r="G165" s="5" t="str">
        <f>IF(ISBLANK(Лист1!G165),"",Лист1!G165)</f>
        <v>күндізгі</v>
      </c>
      <c r="H165" s="5" t="str">
        <f>IF(ISBLANK(Лист1!H165),"",Лист1!H165)</f>
        <v>Sauran  Sayat</v>
      </c>
      <c r="I165" s="5" t="str">
        <f>IF(ISBLANK(Лист1!I165),"",Лист1!I165)</f>
        <v>Education</v>
      </c>
      <c r="J165" s="5" t="str">
        <f>IF(ISBLANK(Лист1!J165),"",Лист1!J165)</f>
        <v>"6B01705 - Foreign language: two foreign languages (English)", B018-Training of foreign language teachers</v>
      </c>
      <c r="K165" s="5" t="str">
        <f>IF(ISBLANK(Лист1!K165),"",Лист1!K165)</f>
        <v>full-time</v>
      </c>
      <c r="L165" s="5" t="str">
        <f>IF(ISBLANK(Лист1!L165),"",Лист1!L165)</f>
        <v>21</v>
      </c>
      <c r="M165" s="5" t="str">
        <f>IF(ISBLANK(Лист1!M165),"",Лист1!M165)</f>
        <v>June</v>
      </c>
      <c r="N165" s="5" t="str">
        <f>IF(ISBLANK(Лист1!N165),"",Лист1!N165)</f>
        <v>21</v>
      </c>
      <c r="O165" s="5" t="str">
        <f>IF(ISBLANK(Лист1!O165),"",Лист1!O165)</f>
        <v>июня</v>
      </c>
      <c r="P165" s="5" t="str">
        <f>IF(ISBLANK(Лист1!P165),"",Лист1!P165)</f>
        <v>253</v>
      </c>
      <c r="Q165" s="5" t="str">
        <f>IF(ISBLANK(Лист1!Q165),"",Лист1!Q165)</f>
        <v>Сауран  Саяту  Нурсултанулы</v>
      </c>
      <c r="R165" s="5" t="str">
        <f>IF(ISBLANK(Лист1!R165),"",Лист1!R165)</f>
        <v>образования</v>
      </c>
      <c r="S165" s="5" t="str">
        <f>IF(ISBLANK(Лист1!S165),"",Лист1!S165)</f>
        <v>"6B01705 - Иностранный язык: два иностранных языка (английский)", В018-Подготовка учителей иностранного языка</v>
      </c>
      <c r="T165" s="5" t="str">
        <f>IF(ISBLANK(Лист1!T165),"",Лист1!T165)</f>
        <v>очное</v>
      </c>
      <c r="U165" s="5" t="str">
        <f>IF(ISBLANK(Лист1!U165),"",Лист1!U165)</f>
        <v/>
      </c>
      <c r="V165" s="5" t="str">
        <f>IF(ISBLANK(Лист1!V165),"",Лист1!V165)</f>
        <v>28</v>
      </c>
      <c r="W165" s="5" t="str">
        <f>IF(ISBLANK(Лист1!W165),"",Лист1!W165)</f>
        <v>маусым</v>
      </c>
      <c r="X165" s="5" t="str">
        <f>IF(ISBLANK(Лист1!X165),"",Лист1!X165)</f>
        <v>040605501887</v>
      </c>
      <c r="Y165" s="5" t="str">
        <f>IF(ISERROR(VLOOKUP($X165,Лист2!$A$2:$G$498,1,FALSE)),"",VLOOKUP($X165,Лист2!$A$2:$G$498,1,FALSE))</f>
        <v>040605501887</v>
      </c>
      <c r="Z165" s="5" t="str">
        <f>IF(ISERROR(VLOOKUP($X165,Лист2!$A$2:$L$498,9,FALSE)),"",VLOOKUP($X165,Лист2!$A$2:$L$498,9,FALSE))</f>
        <v>BD</v>
      </c>
      <c r="AA165" s="5" t="str">
        <f>IF(ISERROR(VLOOKUP($X165,Лист2!$A$2:$L$498,10,FALSE)),"",VLOOKUP($X165,Лист2!$A$2:$L$498,10,FALSE))</f>
        <v>00025668225</v>
      </c>
      <c r="AB165" s="5" t="str">
        <f>IF(ISERROR(VLOOKUP($X165,Лист2!$A$2:$M$498,13,FALSE)),"",VLOOKUP($X165,Лист2!$A$2:$M$498,13,FALSE))</f>
        <v>https://epvo.kz/#/verification_education_document?iin=040605501887&amp;diplomaSeries=BD&amp;diplomaNumber=00025668225</v>
      </c>
    </row>
    <row r="166" spans="1:28" x14ac:dyDescent="0.25">
      <c r="A166" s="5" t="str">
        <f>IF(ISBLANK(Лист1!A166),"",Лист1!A166)</f>
        <v>21</v>
      </c>
      <c r="B166" s="5" t="str">
        <f>IF(ISBLANK(Лист1!B166),"",Лист1!B166)</f>
        <v>маусымдағы</v>
      </c>
      <c r="C166" s="5" t="str">
        <f>IF(ISBLANK(Лист1!C166),"",Лист1!C166)</f>
        <v>70</v>
      </c>
      <c r="D166" s="5" t="str">
        <f>IF(ISBLANK(Лист1!D166),"",Лист1!D166)</f>
        <v>Сейтмахан  Әл-фараби  Нұрмаханұлына</v>
      </c>
      <c r="E166" s="5" t="str">
        <f>IF(ISBLANK(Лист1!E166),"",Лист1!E166)</f>
        <v>"6В01705 - Шетел тілі: екі шетел тілі (ағылшын)", В018-Шет тілі мұғалімдерін даярлау</v>
      </c>
      <c r="F166" s="5" t="str">
        <f>IF(ISBLANK(Лист1!F166),"",Лист1!F166)</f>
        <v>білім</v>
      </c>
      <c r="G166" s="5" t="str">
        <f>IF(ISBLANK(Лист1!G166),"",Лист1!G166)</f>
        <v>күндізгі</v>
      </c>
      <c r="H166" s="5" t="str">
        <f>IF(ISBLANK(Лист1!H166),"",Лист1!H166)</f>
        <v>Seitmahan  Al-farabi</v>
      </c>
      <c r="I166" s="5" t="str">
        <f>IF(ISBLANK(Лист1!I166),"",Лист1!I166)</f>
        <v>Education</v>
      </c>
      <c r="J166" s="5" t="str">
        <f>IF(ISBLANK(Лист1!J166),"",Лист1!J166)</f>
        <v>"6B01705 - Foreign language: two foreign languages (English)", B018-Training of foreign language teachers</v>
      </c>
      <c r="K166" s="5" t="str">
        <f>IF(ISBLANK(Лист1!K166),"",Лист1!K166)</f>
        <v>full-time</v>
      </c>
      <c r="L166" s="5" t="str">
        <f>IF(ISBLANK(Лист1!L166),"",Лист1!L166)</f>
        <v>21</v>
      </c>
      <c r="M166" s="5" t="str">
        <f>IF(ISBLANK(Лист1!M166),"",Лист1!M166)</f>
        <v>June</v>
      </c>
      <c r="N166" s="5" t="str">
        <f>IF(ISBLANK(Лист1!N166),"",Лист1!N166)</f>
        <v>21</v>
      </c>
      <c r="O166" s="5" t="str">
        <f>IF(ISBLANK(Лист1!O166),"",Лист1!O166)</f>
        <v>июня</v>
      </c>
      <c r="P166" s="5" t="str">
        <f>IF(ISBLANK(Лист1!P166),"",Лист1!P166)</f>
        <v>70</v>
      </c>
      <c r="Q166" s="5" t="str">
        <f>IF(ISBLANK(Лист1!Q166),"",Лист1!Q166)</f>
        <v>Сейтмахан  Әл-фараби  Нұрмаханұлы</v>
      </c>
      <c r="R166" s="5" t="str">
        <f>IF(ISBLANK(Лист1!R166),"",Лист1!R166)</f>
        <v>образования</v>
      </c>
      <c r="S166" s="5" t="str">
        <f>IF(ISBLANK(Лист1!S166),"",Лист1!S166)</f>
        <v>"6B01705 - Иностранный язык: два иностранных языка (английский)", В018-Подготовка учителей иностранного языка</v>
      </c>
      <c r="T166" s="5" t="str">
        <f>IF(ISBLANK(Лист1!T166),"",Лист1!T166)</f>
        <v>очное</v>
      </c>
      <c r="U166" s="5" t="str">
        <f>IF(ISBLANK(Лист1!U166),"",Лист1!U166)</f>
        <v/>
      </c>
      <c r="V166" s="5" t="str">
        <f>IF(ISBLANK(Лист1!V166),"",Лист1!V166)</f>
        <v>28</v>
      </c>
      <c r="W166" s="5" t="str">
        <f>IF(ISBLANK(Лист1!W166),"",Лист1!W166)</f>
        <v>маусым</v>
      </c>
      <c r="X166" s="5" t="str">
        <f>IF(ISBLANK(Лист1!X166),"",Лист1!X166)</f>
        <v>030320500474</v>
      </c>
      <c r="Y166" s="5" t="str">
        <f>IF(ISERROR(VLOOKUP($X166,Лист2!$A$2:$G$498,1,FALSE)),"",VLOOKUP($X166,Лист2!$A$2:$G$498,1,FALSE))</f>
        <v>030320500474</v>
      </c>
      <c r="Z166" s="5" t="str">
        <f>IF(ISERROR(VLOOKUP($X166,Лист2!$A$2:$L$498,9,FALSE)),"",VLOOKUP($X166,Лист2!$A$2:$L$498,9,FALSE))</f>
        <v>BD</v>
      </c>
      <c r="AA166" s="5" t="str">
        <f>IF(ISERROR(VLOOKUP($X166,Лист2!$A$2:$L$498,10,FALSE)),"",VLOOKUP($X166,Лист2!$A$2:$L$498,10,FALSE))</f>
        <v>00025668325</v>
      </c>
      <c r="AB166" s="5" t="str">
        <f>IF(ISERROR(VLOOKUP($X166,Лист2!$A$2:$M$498,13,FALSE)),"",VLOOKUP($X166,Лист2!$A$2:$M$498,13,FALSE))</f>
        <v>https://epvo.kz/#/verification_education_document?iin=030320500474&amp;diplomaSeries=BD&amp;diplomaNumber=00025668325</v>
      </c>
    </row>
    <row r="167" spans="1:28" x14ac:dyDescent="0.25">
      <c r="A167" s="5" t="str">
        <f>IF(ISBLANK(Лист1!A167),"",Лист1!A167)</f>
        <v>21</v>
      </c>
      <c r="B167" s="5" t="str">
        <f>IF(ISBLANK(Лист1!B167),"",Лист1!B167)</f>
        <v>маусымдағы</v>
      </c>
      <c r="C167" s="5" t="str">
        <f>IF(ISBLANK(Лист1!C167),"",Лист1!C167)</f>
        <v>138</v>
      </c>
      <c r="D167" s="5" t="str">
        <f>IF(ISBLANK(Лист1!D167),"",Лист1!D167)</f>
        <v>Сәбит  Мәлика  Қуанышқызына</v>
      </c>
      <c r="E167" s="5" t="str">
        <f>IF(ISBLANK(Лист1!E167),"",Лист1!E167)</f>
        <v>"6В01705 - Шетел тілі: екі шетел тілі (ағылшын)", В018-Шет тілі мұғалімдерін даярлау</v>
      </c>
      <c r="F167" s="5" t="str">
        <f>IF(ISBLANK(Лист1!F167),"",Лист1!F167)</f>
        <v>білім</v>
      </c>
      <c r="G167" s="5" t="str">
        <f>IF(ISBLANK(Лист1!G167),"",Лист1!G167)</f>
        <v>күндізгі</v>
      </c>
      <c r="H167" s="5" t="str">
        <f>IF(ISBLANK(Лист1!H167),"",Лист1!H167)</f>
        <v>Sabit  Malika</v>
      </c>
      <c r="I167" s="5" t="str">
        <f>IF(ISBLANK(Лист1!I167),"",Лист1!I167)</f>
        <v>Education</v>
      </c>
      <c r="J167" s="5" t="str">
        <f>IF(ISBLANK(Лист1!J167),"",Лист1!J167)</f>
        <v>"6B01705 - Foreign language: two foreign languages (English)", B018-Training of foreign language teachers</v>
      </c>
      <c r="K167" s="5" t="str">
        <f>IF(ISBLANK(Лист1!K167),"",Лист1!K167)</f>
        <v>full-time</v>
      </c>
      <c r="L167" s="5" t="str">
        <f>IF(ISBLANK(Лист1!L167),"",Лист1!L167)</f>
        <v>21</v>
      </c>
      <c r="M167" s="5" t="str">
        <f>IF(ISBLANK(Лист1!M167),"",Лист1!M167)</f>
        <v>June</v>
      </c>
      <c r="N167" s="5" t="str">
        <f>IF(ISBLANK(Лист1!N167),"",Лист1!N167)</f>
        <v>21</v>
      </c>
      <c r="O167" s="5" t="str">
        <f>IF(ISBLANK(Лист1!O167),"",Лист1!O167)</f>
        <v>июня</v>
      </c>
      <c r="P167" s="5" t="str">
        <f>IF(ISBLANK(Лист1!P167),"",Лист1!P167)</f>
        <v>138</v>
      </c>
      <c r="Q167" s="5" t="str">
        <f>IF(ISBLANK(Лист1!Q167),"",Лист1!Q167)</f>
        <v>Сәбит  Мәлика  Қуанышқызы</v>
      </c>
      <c r="R167" s="5" t="str">
        <f>IF(ISBLANK(Лист1!R167),"",Лист1!R167)</f>
        <v>образования</v>
      </c>
      <c r="S167" s="5" t="str">
        <f>IF(ISBLANK(Лист1!S167),"",Лист1!S167)</f>
        <v>"6B01705 - Иностранный язык: два иностранных языка (английский)", В018-Подготовка учителей иностранного языка</v>
      </c>
      <c r="T167" s="5" t="str">
        <f>IF(ISBLANK(Лист1!T167),"",Лист1!T167)</f>
        <v>очное</v>
      </c>
      <c r="U167" s="5" t="str">
        <f>IF(ISBLANK(Лист1!U167),"",Лист1!U167)</f>
        <v/>
      </c>
      <c r="V167" s="5" t="str">
        <f>IF(ISBLANK(Лист1!V167),"",Лист1!V167)</f>
        <v>28</v>
      </c>
      <c r="W167" s="5" t="str">
        <f>IF(ISBLANK(Лист1!W167),"",Лист1!W167)</f>
        <v>маусым</v>
      </c>
      <c r="X167" s="5" t="str">
        <f>IF(ISBLANK(Лист1!X167),"",Лист1!X167)</f>
        <v>040110650714</v>
      </c>
      <c r="Y167" s="5" t="str">
        <f>IF(ISERROR(VLOOKUP($X167,Лист2!$A$2:$G$498,1,FALSE)),"",VLOOKUP($X167,Лист2!$A$2:$G$498,1,FALSE))</f>
        <v>040110650714</v>
      </c>
      <c r="Z167" s="5" t="str">
        <f>IF(ISERROR(VLOOKUP($X167,Лист2!$A$2:$L$498,9,FALSE)),"",VLOOKUP($X167,Лист2!$A$2:$L$498,9,FALSE))</f>
        <v>BD</v>
      </c>
      <c r="AA167" s="5" t="str">
        <f>IF(ISERROR(VLOOKUP($X167,Лист2!$A$2:$L$498,10,FALSE)),"",VLOOKUP($X167,Лист2!$A$2:$L$498,10,FALSE))</f>
        <v>00025668425</v>
      </c>
      <c r="AB167" s="5" t="str">
        <f>IF(ISERROR(VLOOKUP($X167,Лист2!$A$2:$M$498,13,FALSE)),"",VLOOKUP($X167,Лист2!$A$2:$M$498,13,FALSE))</f>
        <v>https://epvo.kz/#/verification_education_document?iin=040110650714&amp;diplomaSeries=BD&amp;diplomaNumber=00025668425</v>
      </c>
    </row>
    <row r="168" spans="1:28" x14ac:dyDescent="0.25">
      <c r="A168" s="5" t="str">
        <f>IF(ISBLANK(Лист1!A168),"",Лист1!A168)</f>
        <v>21</v>
      </c>
      <c r="B168" s="5" t="str">
        <f>IF(ISBLANK(Лист1!B168),"",Лист1!B168)</f>
        <v>маусымдағы</v>
      </c>
      <c r="C168" s="5" t="str">
        <f>IF(ISBLANK(Лист1!C168),"",Лист1!C168)</f>
        <v>258</v>
      </c>
      <c r="D168" s="5" t="str">
        <f>IF(ISBLANK(Лист1!D168),"",Лист1!D168)</f>
        <v>Смадиярова  Жансая  Казыбекқызына</v>
      </c>
      <c r="E168" s="5" t="str">
        <f>IF(ISBLANK(Лист1!E168),"",Лист1!E168)</f>
        <v>"6В01705 - Шетел тілі: екі шетел тілі (ағылшын)", В018-Шет тілі мұғалімдерін даярлау</v>
      </c>
      <c r="F168" s="5" t="str">
        <f>IF(ISBLANK(Лист1!F168),"",Лист1!F168)</f>
        <v>білім</v>
      </c>
      <c r="G168" s="5" t="str">
        <f>IF(ISBLANK(Лист1!G168),"",Лист1!G168)</f>
        <v>күндізгі</v>
      </c>
      <c r="H168" s="5" t="str">
        <f>IF(ISBLANK(Лист1!H168),"",Лист1!H168)</f>
        <v>Smadiyarova  Zhansaya</v>
      </c>
      <c r="I168" s="5" t="str">
        <f>IF(ISBLANK(Лист1!I168),"",Лист1!I168)</f>
        <v>Education</v>
      </c>
      <c r="J168" s="5" t="str">
        <f>IF(ISBLANK(Лист1!J168),"",Лист1!J168)</f>
        <v>"6B01705 - Foreign language: two foreign languages (English)", B018-Training of foreign language teachers</v>
      </c>
      <c r="K168" s="5" t="str">
        <f>IF(ISBLANK(Лист1!K168),"",Лист1!K168)</f>
        <v>full-time</v>
      </c>
      <c r="L168" s="5" t="str">
        <f>IF(ISBLANK(Лист1!L168),"",Лист1!L168)</f>
        <v>21</v>
      </c>
      <c r="M168" s="5" t="str">
        <f>IF(ISBLANK(Лист1!M168),"",Лист1!M168)</f>
        <v>June</v>
      </c>
      <c r="N168" s="5" t="str">
        <f>IF(ISBLANK(Лист1!N168),"",Лист1!N168)</f>
        <v>21</v>
      </c>
      <c r="O168" s="5" t="str">
        <f>IF(ISBLANK(Лист1!O168),"",Лист1!O168)</f>
        <v>июня</v>
      </c>
      <c r="P168" s="5" t="str">
        <f>IF(ISBLANK(Лист1!P168),"",Лист1!P168)</f>
        <v>258</v>
      </c>
      <c r="Q168" s="5" t="str">
        <f>IF(ISBLANK(Лист1!Q168),"",Лист1!Q168)</f>
        <v>Смадиярова  Жансая  Казыбекқызы</v>
      </c>
      <c r="R168" s="5" t="str">
        <f>IF(ISBLANK(Лист1!R168),"",Лист1!R168)</f>
        <v>образования</v>
      </c>
      <c r="S168" s="5" t="str">
        <f>IF(ISBLANK(Лист1!S168),"",Лист1!S168)</f>
        <v>"6B01705 - Иностранный язык: два иностранных языка (английский)", В018-Подготовка учителей иностранного языка</v>
      </c>
      <c r="T168" s="5" t="str">
        <f>IF(ISBLANK(Лист1!T168),"",Лист1!T168)</f>
        <v>очное</v>
      </c>
      <c r="U168" s="5" t="str">
        <f>IF(ISBLANK(Лист1!U168),"",Лист1!U168)</f>
        <v/>
      </c>
      <c r="V168" s="5" t="str">
        <f>IF(ISBLANK(Лист1!V168),"",Лист1!V168)</f>
        <v>28</v>
      </c>
      <c r="W168" s="5" t="str">
        <f>IF(ISBLANK(Лист1!W168),"",Лист1!W168)</f>
        <v>маусым</v>
      </c>
      <c r="X168" s="5" t="str">
        <f>IF(ISBLANK(Лист1!X168),"",Лист1!X168)</f>
        <v>040104600844</v>
      </c>
      <c r="Y168" s="5" t="str">
        <f>IF(ISERROR(VLOOKUP($X168,Лист2!$A$2:$G$498,1,FALSE)),"",VLOOKUP($X168,Лист2!$A$2:$G$498,1,FALSE))</f>
        <v>040104600844</v>
      </c>
      <c r="Z168" s="5" t="str">
        <f>IF(ISERROR(VLOOKUP($X168,Лист2!$A$2:$L$498,9,FALSE)),"",VLOOKUP($X168,Лист2!$A$2:$L$498,9,FALSE))</f>
        <v>BD</v>
      </c>
      <c r="AA168" s="5" t="str">
        <f>IF(ISERROR(VLOOKUP($X168,Лист2!$A$2:$L$498,10,FALSE)),"",VLOOKUP($X168,Лист2!$A$2:$L$498,10,FALSE))</f>
        <v>00025668525</v>
      </c>
      <c r="AB168" s="5" t="str">
        <f>IF(ISERROR(VLOOKUP($X168,Лист2!$A$2:$M$498,13,FALSE)),"",VLOOKUP($X168,Лист2!$A$2:$M$498,13,FALSE))</f>
        <v>https://epvo.kz/#/verification_education_document?iin=040104600844&amp;diplomaSeries=BD&amp;diplomaNumber=00025668525</v>
      </c>
    </row>
    <row r="169" spans="1:28" x14ac:dyDescent="0.25">
      <c r="A169" s="5" t="str">
        <f>IF(ISBLANK(Лист1!A169),"",Лист1!A169)</f>
        <v>21</v>
      </c>
      <c r="B169" s="5" t="str">
        <f>IF(ISBLANK(Лист1!B169),"",Лист1!B169)</f>
        <v>маусымдағы</v>
      </c>
      <c r="C169" s="5" t="str">
        <f>IF(ISBLANK(Лист1!C169),"",Лист1!C169)</f>
        <v>17</v>
      </c>
      <c r="D169" s="5" t="str">
        <f>IF(ISBLANK(Лист1!D169),"",Лист1!D169)</f>
        <v>Советова  Ажар  Еркебұланқызына</v>
      </c>
      <c r="E169" s="5" t="str">
        <f>IF(ISBLANK(Лист1!E169),"",Лист1!E169)</f>
        <v>"6В01705 - Шетел тілі: екі шетел тілі (ағылшын)", В018-Шет тілі мұғалімдерін даярлау</v>
      </c>
      <c r="F169" s="5" t="str">
        <f>IF(ISBLANK(Лист1!F169),"",Лист1!F169)</f>
        <v>білім</v>
      </c>
      <c r="G169" s="5" t="str">
        <f>IF(ISBLANK(Лист1!G169),"",Лист1!G169)</f>
        <v>күндізгі</v>
      </c>
      <c r="H169" s="5" t="str">
        <f>IF(ISBLANK(Лист1!H169),"",Лист1!H169)</f>
        <v>Sovetova  Azhar</v>
      </c>
      <c r="I169" s="5" t="str">
        <f>IF(ISBLANK(Лист1!I169),"",Лист1!I169)</f>
        <v>Education</v>
      </c>
      <c r="J169" s="5" t="str">
        <f>IF(ISBLANK(Лист1!J169),"",Лист1!J169)</f>
        <v>"6B01705 - Foreign language: two foreign languages (English)", B018-Training of foreign language teachers</v>
      </c>
      <c r="K169" s="5" t="str">
        <f>IF(ISBLANK(Лист1!K169),"",Лист1!K169)</f>
        <v>full-time</v>
      </c>
      <c r="L169" s="5" t="str">
        <f>IF(ISBLANK(Лист1!L169),"",Лист1!L169)</f>
        <v>21</v>
      </c>
      <c r="M169" s="5" t="str">
        <f>IF(ISBLANK(Лист1!M169),"",Лист1!M169)</f>
        <v>June</v>
      </c>
      <c r="N169" s="5" t="str">
        <f>IF(ISBLANK(Лист1!N169),"",Лист1!N169)</f>
        <v>21</v>
      </c>
      <c r="O169" s="5" t="str">
        <f>IF(ISBLANK(Лист1!O169),"",Лист1!O169)</f>
        <v>июня</v>
      </c>
      <c r="P169" s="5" t="str">
        <f>IF(ISBLANK(Лист1!P169),"",Лист1!P169)</f>
        <v>17</v>
      </c>
      <c r="Q169" s="5" t="str">
        <f>IF(ISBLANK(Лист1!Q169),"",Лист1!Q169)</f>
        <v>Советова  Ажар  Еркебұланқызы</v>
      </c>
      <c r="R169" s="5" t="str">
        <f>IF(ISBLANK(Лист1!R169),"",Лист1!R169)</f>
        <v>образования</v>
      </c>
      <c r="S169" s="5" t="str">
        <f>IF(ISBLANK(Лист1!S169),"",Лист1!S169)</f>
        <v>"6B01705 - Иностранный язык: два иностранных языка (английский)", В018-Подготовка учителей иностранного языка</v>
      </c>
      <c r="T169" s="5" t="str">
        <f>IF(ISBLANK(Лист1!T169),"",Лист1!T169)</f>
        <v>очное</v>
      </c>
      <c r="U169" s="5" t="str">
        <f>IF(ISBLANK(Лист1!U169),"",Лист1!U169)</f>
        <v/>
      </c>
      <c r="V169" s="5" t="str">
        <f>IF(ISBLANK(Лист1!V169),"",Лист1!V169)</f>
        <v>28</v>
      </c>
      <c r="W169" s="5" t="str">
        <f>IF(ISBLANK(Лист1!W169),"",Лист1!W169)</f>
        <v>маусым</v>
      </c>
      <c r="X169" s="5" t="str">
        <f>IF(ISBLANK(Лист1!X169),"",Лист1!X169)</f>
        <v>040103650092</v>
      </c>
      <c r="Y169" s="5" t="str">
        <f>IF(ISERROR(VLOOKUP($X169,Лист2!$A$2:$G$498,1,FALSE)),"",VLOOKUP($X169,Лист2!$A$2:$G$498,1,FALSE))</f>
        <v>040103650092</v>
      </c>
      <c r="Z169" s="5" t="str">
        <f>IF(ISERROR(VLOOKUP($X169,Лист2!$A$2:$L$498,9,FALSE)),"",VLOOKUP($X169,Лист2!$A$2:$L$498,9,FALSE))</f>
        <v>BD</v>
      </c>
      <c r="AA169" s="5" t="str">
        <f>IF(ISERROR(VLOOKUP($X169,Лист2!$A$2:$L$498,10,FALSE)),"",VLOOKUP($X169,Лист2!$A$2:$L$498,10,FALSE))</f>
        <v>00025668625</v>
      </c>
      <c r="AB169" s="5" t="str">
        <f>IF(ISERROR(VLOOKUP($X169,Лист2!$A$2:$M$498,13,FALSE)),"",VLOOKUP($X169,Лист2!$A$2:$M$498,13,FALSE))</f>
        <v>https://epvo.kz/#/verification_education_document?iin=040103650092&amp;diplomaSeries=BD&amp;diplomaNumber=00025668625</v>
      </c>
    </row>
    <row r="170" spans="1:28" x14ac:dyDescent="0.25">
      <c r="A170" s="5" t="str">
        <f>IF(ISBLANK(Лист1!A170),"",Лист1!A170)</f>
        <v>21</v>
      </c>
      <c r="B170" s="5" t="str">
        <f>IF(ISBLANK(Лист1!B170),"",Лист1!B170)</f>
        <v>маусымдағы</v>
      </c>
      <c r="C170" s="5" t="str">
        <f>IF(ISBLANK(Лист1!C170),"",Лист1!C170)</f>
        <v>80</v>
      </c>
      <c r="D170" s="5" t="str">
        <f>IF(ISBLANK(Лист1!D170),"",Лист1!D170)</f>
        <v>Советхан  Айдос  Бауржанұлына</v>
      </c>
      <c r="E170" s="5" t="str">
        <f>IF(ISBLANK(Лист1!E170),"",Лист1!E170)</f>
        <v>"6В01705 - Шетел тілі: екі шетел тілі (ағылшын)", В018-Шет тілі мұғалімдерін даярлау</v>
      </c>
      <c r="F170" s="5" t="str">
        <f>IF(ISBLANK(Лист1!F170),"",Лист1!F170)</f>
        <v>білім</v>
      </c>
      <c r="G170" s="5" t="str">
        <f>IF(ISBLANK(Лист1!G170),"",Лист1!G170)</f>
        <v>күндізгі</v>
      </c>
      <c r="H170" s="5" t="str">
        <f>IF(ISBLANK(Лист1!H170),"",Лист1!H170)</f>
        <v>Sovetkhan  Aidos</v>
      </c>
      <c r="I170" s="5" t="str">
        <f>IF(ISBLANK(Лист1!I170),"",Лист1!I170)</f>
        <v>Education</v>
      </c>
      <c r="J170" s="5" t="str">
        <f>IF(ISBLANK(Лист1!J170),"",Лист1!J170)</f>
        <v>"6B01705 - Foreign language: two foreign languages (English)", B018-Training of foreign language teachers</v>
      </c>
      <c r="K170" s="5" t="str">
        <f>IF(ISBLANK(Лист1!K170),"",Лист1!K170)</f>
        <v>full-time</v>
      </c>
      <c r="L170" s="5" t="str">
        <f>IF(ISBLANK(Лист1!L170),"",Лист1!L170)</f>
        <v>21</v>
      </c>
      <c r="M170" s="5" t="str">
        <f>IF(ISBLANK(Лист1!M170),"",Лист1!M170)</f>
        <v>June</v>
      </c>
      <c r="N170" s="5" t="str">
        <f>IF(ISBLANK(Лист1!N170),"",Лист1!N170)</f>
        <v>21</v>
      </c>
      <c r="O170" s="5" t="str">
        <f>IF(ISBLANK(Лист1!O170),"",Лист1!O170)</f>
        <v>июня</v>
      </c>
      <c r="P170" s="5" t="str">
        <f>IF(ISBLANK(Лист1!P170),"",Лист1!P170)</f>
        <v>80</v>
      </c>
      <c r="Q170" s="5" t="str">
        <f>IF(ISBLANK(Лист1!Q170),"",Лист1!Q170)</f>
        <v>Советхан  Айдос  Бауржанұлы</v>
      </c>
      <c r="R170" s="5" t="str">
        <f>IF(ISBLANK(Лист1!R170),"",Лист1!R170)</f>
        <v>образования</v>
      </c>
      <c r="S170" s="5" t="str">
        <f>IF(ISBLANK(Лист1!S170),"",Лист1!S170)</f>
        <v>"6B01705 - Иностранный язык: два иностранных языка (английский)", В018-Подготовка учителей иностранного языка</v>
      </c>
      <c r="T170" s="5" t="str">
        <f>IF(ISBLANK(Лист1!T170),"",Лист1!T170)</f>
        <v>очное</v>
      </c>
      <c r="U170" s="5" t="str">
        <f>IF(ISBLANK(Лист1!U170),"",Лист1!U170)</f>
        <v/>
      </c>
      <c r="V170" s="5" t="str">
        <f>IF(ISBLANK(Лист1!V170),"",Лист1!V170)</f>
        <v>28</v>
      </c>
      <c r="W170" s="5" t="str">
        <f>IF(ISBLANK(Лист1!W170),"",Лист1!W170)</f>
        <v>маусым</v>
      </c>
      <c r="X170" s="5" t="str">
        <f>IF(ISBLANK(Лист1!X170),"",Лист1!X170)</f>
        <v>031203501419</v>
      </c>
      <c r="Y170" s="5" t="str">
        <f>IF(ISERROR(VLOOKUP($X170,Лист2!$A$2:$G$498,1,FALSE)),"",VLOOKUP($X170,Лист2!$A$2:$G$498,1,FALSE))</f>
        <v>031203501419</v>
      </c>
      <c r="Z170" s="5" t="str">
        <f>IF(ISERROR(VLOOKUP($X170,Лист2!$A$2:$L$498,9,FALSE)),"",VLOOKUP($X170,Лист2!$A$2:$L$498,9,FALSE))</f>
        <v>BD</v>
      </c>
      <c r="AA170" s="5" t="str">
        <f>IF(ISERROR(VLOOKUP($X170,Лист2!$A$2:$L$498,10,FALSE)),"",VLOOKUP($X170,Лист2!$A$2:$L$498,10,FALSE))</f>
        <v>00025668825</v>
      </c>
      <c r="AB170" s="5" t="str">
        <f>IF(ISERROR(VLOOKUP($X170,Лист2!$A$2:$M$498,13,FALSE)),"",VLOOKUP($X170,Лист2!$A$2:$M$498,13,FALSE))</f>
        <v>https://epvo.kz/#/verification_education_document?iin=031203501419&amp;diplomaSeries=BD&amp;diplomaNumber=00025668825</v>
      </c>
    </row>
    <row r="171" spans="1:28" x14ac:dyDescent="0.25">
      <c r="A171" s="5" t="str">
        <f>IF(ISBLANK(Лист1!A171),"",Лист1!A171)</f>
        <v>21</v>
      </c>
      <c r="B171" s="5" t="str">
        <f>IF(ISBLANK(Лист1!B171),"",Лист1!B171)</f>
        <v>маусымдағы</v>
      </c>
      <c r="C171" s="5" t="str">
        <f>IF(ISBLANK(Лист1!C171),"",Лист1!C171)</f>
        <v>25</v>
      </c>
      <c r="D171" s="5" t="str">
        <f>IF(ISBLANK(Лист1!D171),"",Лист1!D171)</f>
        <v>Сугурченова  Айя  Нурлановнаға</v>
      </c>
      <c r="E171" s="5" t="str">
        <f>IF(ISBLANK(Лист1!E171),"",Лист1!E171)</f>
        <v>"6В01705 - Шетел тілі: екі шетел тілі (ағылшын)", В018-Шет тілі мұғалімдерін даярлау</v>
      </c>
      <c r="F171" s="5" t="str">
        <f>IF(ISBLANK(Лист1!F171),"",Лист1!F171)</f>
        <v>білім</v>
      </c>
      <c r="G171" s="5" t="str">
        <f>IF(ISBLANK(Лист1!G171),"",Лист1!G171)</f>
        <v>күндізгі</v>
      </c>
      <c r="H171" s="5" t="str">
        <f>IF(ISBLANK(Лист1!H171),"",Лист1!H171)</f>
        <v>Sugurchenova  Aiya</v>
      </c>
      <c r="I171" s="5" t="str">
        <f>IF(ISBLANK(Лист1!I171),"",Лист1!I171)</f>
        <v>Education</v>
      </c>
      <c r="J171" s="5" t="str">
        <f>IF(ISBLANK(Лист1!J171),"",Лист1!J171)</f>
        <v>"6B01705 - Foreign language: two foreign languages (English)", B018-Training of foreign language teachers</v>
      </c>
      <c r="K171" s="5" t="str">
        <f>IF(ISBLANK(Лист1!K171),"",Лист1!K171)</f>
        <v>full-time</v>
      </c>
      <c r="L171" s="5" t="str">
        <f>IF(ISBLANK(Лист1!L171),"",Лист1!L171)</f>
        <v>21</v>
      </c>
      <c r="M171" s="5" t="str">
        <f>IF(ISBLANK(Лист1!M171),"",Лист1!M171)</f>
        <v>June</v>
      </c>
      <c r="N171" s="5" t="str">
        <f>IF(ISBLANK(Лист1!N171),"",Лист1!N171)</f>
        <v>21</v>
      </c>
      <c r="O171" s="5" t="str">
        <f>IF(ISBLANK(Лист1!O171),"",Лист1!O171)</f>
        <v>июня</v>
      </c>
      <c r="P171" s="5" t="str">
        <f>IF(ISBLANK(Лист1!P171),"",Лист1!P171)</f>
        <v>25</v>
      </c>
      <c r="Q171" s="5" t="str">
        <f>IF(ISBLANK(Лист1!Q171),"",Лист1!Q171)</f>
        <v>Сугурченовой  Айе  Нурлановне</v>
      </c>
      <c r="R171" s="5" t="str">
        <f>IF(ISBLANK(Лист1!R171),"",Лист1!R171)</f>
        <v>образования</v>
      </c>
      <c r="S171" s="5" t="str">
        <f>IF(ISBLANK(Лист1!S171),"",Лист1!S171)</f>
        <v>"6B01705 - Иностранный язык: два иностранных языка (английский)", В018-Подготовка учителей иностранного языка</v>
      </c>
      <c r="T171" s="5" t="str">
        <f>IF(ISBLANK(Лист1!T171),"",Лист1!T171)</f>
        <v>очное</v>
      </c>
      <c r="U171" s="5" t="str">
        <f>IF(ISBLANK(Лист1!U171),"",Лист1!U171)</f>
        <v/>
      </c>
      <c r="V171" s="5" t="str">
        <f>IF(ISBLANK(Лист1!V171),"",Лист1!V171)</f>
        <v>28</v>
      </c>
      <c r="W171" s="5" t="str">
        <f>IF(ISBLANK(Лист1!W171),"",Лист1!W171)</f>
        <v>маусым</v>
      </c>
      <c r="X171" s="5" t="str">
        <f>IF(ISBLANK(Лист1!X171),"",Лист1!X171)</f>
        <v>031123650954</v>
      </c>
      <c r="Y171" s="5" t="str">
        <f>IF(ISERROR(VLOOKUP($X171,Лист2!$A$2:$G$498,1,FALSE)),"",VLOOKUP($X171,Лист2!$A$2:$G$498,1,FALSE))</f>
        <v>031123650954</v>
      </c>
      <c r="Z171" s="5" t="str">
        <f>IF(ISERROR(VLOOKUP($X171,Лист2!$A$2:$L$498,9,FALSE)),"",VLOOKUP($X171,Лист2!$A$2:$L$498,9,FALSE))</f>
        <v>BD</v>
      </c>
      <c r="AA171" s="5" t="str">
        <f>IF(ISERROR(VLOOKUP($X171,Лист2!$A$2:$L$498,10,FALSE)),"",VLOOKUP($X171,Лист2!$A$2:$L$498,10,FALSE))</f>
        <v>00025668925</v>
      </c>
      <c r="AB171" s="5" t="str">
        <f>IF(ISERROR(VLOOKUP($X171,Лист2!$A$2:$M$498,13,FALSE)),"",VLOOKUP($X171,Лист2!$A$2:$M$498,13,FALSE))</f>
        <v>https://epvo.kz/#/verification_education_document?iin=031123650954&amp;diplomaSeries=BD&amp;diplomaNumber=00025668925</v>
      </c>
    </row>
    <row r="172" spans="1:28" x14ac:dyDescent="0.25">
      <c r="A172" s="5" t="str">
        <f>IF(ISBLANK(Лист1!A172),"",Лист1!A172)</f>
        <v>21</v>
      </c>
      <c r="B172" s="5" t="str">
        <f>IF(ISBLANK(Лист1!B172),"",Лист1!B172)</f>
        <v>маусымдағы</v>
      </c>
      <c r="C172" s="5" t="str">
        <f>IF(ISBLANK(Лист1!C172),"",Лист1!C172)</f>
        <v>133</v>
      </c>
      <c r="D172" s="5" t="str">
        <f>IF(ISBLANK(Лист1!D172),"",Лист1!D172)</f>
        <v>Суйнбай  Мөлдір  Муратқызына</v>
      </c>
      <c r="E172" s="5" t="str">
        <f>IF(ISBLANK(Лист1!E172),"",Лист1!E172)</f>
        <v>"6В01705 - Шетел тілі: екі шетел тілі (ағылшын)", В018-Шет тілі мұғалімдерін даярлау</v>
      </c>
      <c r="F172" s="5" t="str">
        <f>IF(ISBLANK(Лист1!F172),"",Лист1!F172)</f>
        <v>білім</v>
      </c>
      <c r="G172" s="5" t="str">
        <f>IF(ISBLANK(Лист1!G172),"",Лист1!G172)</f>
        <v>күндізгі</v>
      </c>
      <c r="H172" s="5" t="str">
        <f>IF(ISBLANK(Лист1!H172),"",Лист1!H172)</f>
        <v>Suinbay  Moldir</v>
      </c>
      <c r="I172" s="5" t="str">
        <f>IF(ISBLANK(Лист1!I172),"",Лист1!I172)</f>
        <v>Education</v>
      </c>
      <c r="J172" s="5" t="str">
        <f>IF(ISBLANK(Лист1!J172),"",Лист1!J172)</f>
        <v>"6B01705 - Foreign language: two foreign languages (English)", B018-Training of foreign language teachers</v>
      </c>
      <c r="K172" s="5" t="str">
        <f>IF(ISBLANK(Лист1!K172),"",Лист1!K172)</f>
        <v>full-time</v>
      </c>
      <c r="L172" s="5" t="str">
        <f>IF(ISBLANK(Лист1!L172),"",Лист1!L172)</f>
        <v>21</v>
      </c>
      <c r="M172" s="5" t="str">
        <f>IF(ISBLANK(Лист1!M172),"",Лист1!M172)</f>
        <v>June</v>
      </c>
      <c r="N172" s="5" t="str">
        <f>IF(ISBLANK(Лист1!N172),"",Лист1!N172)</f>
        <v>21</v>
      </c>
      <c r="O172" s="5" t="str">
        <f>IF(ISBLANK(Лист1!O172),"",Лист1!O172)</f>
        <v>июня</v>
      </c>
      <c r="P172" s="5" t="str">
        <f>IF(ISBLANK(Лист1!P172),"",Лист1!P172)</f>
        <v>133</v>
      </c>
      <c r="Q172" s="5" t="str">
        <f>IF(ISBLANK(Лист1!Q172),"",Лист1!Q172)</f>
        <v>Суйнбай  Мөлдір  Муратқызы</v>
      </c>
      <c r="R172" s="5" t="str">
        <f>IF(ISBLANK(Лист1!R172),"",Лист1!R172)</f>
        <v>образования</v>
      </c>
      <c r="S172" s="5" t="str">
        <f>IF(ISBLANK(Лист1!S172),"",Лист1!S172)</f>
        <v>"6B01705 - Иностранный язык: два иностранных языка (английский)", В018-Подготовка учителей иностранного языка</v>
      </c>
      <c r="T172" s="5" t="str">
        <f>IF(ISBLANK(Лист1!T172),"",Лист1!T172)</f>
        <v>очное</v>
      </c>
      <c r="U172" s="5" t="str">
        <f>IF(ISBLANK(Лист1!U172),"",Лист1!U172)</f>
        <v/>
      </c>
      <c r="V172" s="5" t="str">
        <f>IF(ISBLANK(Лист1!V172),"",Лист1!V172)</f>
        <v>28</v>
      </c>
      <c r="W172" s="5" t="str">
        <f>IF(ISBLANK(Лист1!W172),"",Лист1!W172)</f>
        <v>маусым</v>
      </c>
      <c r="X172" s="5" t="str">
        <f>IF(ISBLANK(Лист1!X172),"",Лист1!X172)</f>
        <v>040409601672</v>
      </c>
      <c r="Y172" s="5" t="str">
        <f>IF(ISERROR(VLOOKUP($X172,Лист2!$A$2:$G$498,1,FALSE)),"",VLOOKUP($X172,Лист2!$A$2:$G$498,1,FALSE))</f>
        <v>040409601672</v>
      </c>
      <c r="Z172" s="5" t="str">
        <f>IF(ISERROR(VLOOKUP($X172,Лист2!$A$2:$L$498,9,FALSE)),"",VLOOKUP($X172,Лист2!$A$2:$L$498,9,FALSE))</f>
        <v>BD</v>
      </c>
      <c r="AA172" s="5" t="str">
        <f>IF(ISERROR(VLOOKUP($X172,Лист2!$A$2:$L$498,10,FALSE)),"",VLOOKUP($X172,Лист2!$A$2:$L$498,10,FALSE))</f>
        <v>00025669025</v>
      </c>
      <c r="AB172" s="5" t="str">
        <f>IF(ISERROR(VLOOKUP($X172,Лист2!$A$2:$M$498,13,FALSE)),"",VLOOKUP($X172,Лист2!$A$2:$M$498,13,FALSE))</f>
        <v>https://epvo.kz/#/verification_education_document?iin=040409601672&amp;diplomaSeries=BD&amp;diplomaNumber=00025669025</v>
      </c>
    </row>
    <row r="173" spans="1:28" x14ac:dyDescent="0.25">
      <c r="A173" s="5" t="str">
        <f>IF(ISBLANK(Лист1!A173),"",Лист1!A173)</f>
        <v>21</v>
      </c>
      <c r="B173" s="5" t="str">
        <f>IF(ISBLANK(Лист1!B173),"",Лист1!B173)</f>
        <v>маусымдағы</v>
      </c>
      <c r="C173" s="5" t="str">
        <f>IF(ISBLANK(Лист1!C173),"",Лист1!C173)</f>
        <v>81</v>
      </c>
      <c r="D173" s="5" t="str">
        <f>IF(ISBLANK(Лист1!D173),"",Лист1!D173)</f>
        <v>Сулайманова  Лайло  Анварқызына</v>
      </c>
      <c r="E173" s="5" t="str">
        <f>IF(ISBLANK(Лист1!E173),"",Лист1!E173)</f>
        <v>"6В01705 - Шетел тілі: екі шетел тілі (ағылшын)", В018-Шет тілі мұғалімдерін даярлау</v>
      </c>
      <c r="F173" s="5" t="str">
        <f>IF(ISBLANK(Лист1!F173),"",Лист1!F173)</f>
        <v>білім</v>
      </c>
      <c r="G173" s="5" t="str">
        <f>IF(ISBLANK(Лист1!G173),"",Лист1!G173)</f>
        <v>күндізгі</v>
      </c>
      <c r="H173" s="5" t="str">
        <f>IF(ISBLANK(Лист1!H173),"",Лист1!H173)</f>
        <v>Sulaimanova  Lailo</v>
      </c>
      <c r="I173" s="5" t="str">
        <f>IF(ISBLANK(Лист1!I173),"",Лист1!I173)</f>
        <v>Education</v>
      </c>
      <c r="J173" s="5" t="str">
        <f>IF(ISBLANK(Лист1!J173),"",Лист1!J173)</f>
        <v>"6B01705 - Foreign language: two foreign languages (English)", B018-Training of foreign language teachers</v>
      </c>
      <c r="K173" s="5" t="str">
        <f>IF(ISBLANK(Лист1!K173),"",Лист1!K173)</f>
        <v>full-time</v>
      </c>
      <c r="L173" s="5" t="str">
        <f>IF(ISBLANK(Лист1!L173),"",Лист1!L173)</f>
        <v>21</v>
      </c>
      <c r="M173" s="5" t="str">
        <f>IF(ISBLANK(Лист1!M173),"",Лист1!M173)</f>
        <v>June</v>
      </c>
      <c r="N173" s="5" t="str">
        <f>IF(ISBLANK(Лист1!N173),"",Лист1!N173)</f>
        <v>21</v>
      </c>
      <c r="O173" s="5" t="str">
        <f>IF(ISBLANK(Лист1!O173),"",Лист1!O173)</f>
        <v>июня</v>
      </c>
      <c r="P173" s="5" t="str">
        <f>IF(ISBLANK(Лист1!P173),"",Лист1!P173)</f>
        <v>81</v>
      </c>
      <c r="Q173" s="5" t="str">
        <f>IF(ISBLANK(Лист1!Q173),"",Лист1!Q173)</f>
        <v>Сулайманова  Лайло  Анварқызы</v>
      </c>
      <c r="R173" s="5" t="str">
        <f>IF(ISBLANK(Лист1!R173),"",Лист1!R173)</f>
        <v>образования</v>
      </c>
      <c r="S173" s="5" t="str">
        <f>IF(ISBLANK(Лист1!S173),"",Лист1!S173)</f>
        <v>"6B01705 - Иностранный язык: два иностранных языка (английский)", В018-Подготовка учителей иностранного языка</v>
      </c>
      <c r="T173" s="5" t="str">
        <f>IF(ISBLANK(Лист1!T173),"",Лист1!T173)</f>
        <v>очное</v>
      </c>
      <c r="U173" s="5" t="str">
        <f>IF(ISBLANK(Лист1!U173),"",Лист1!U173)</f>
        <v/>
      </c>
      <c r="V173" s="5" t="str">
        <f>IF(ISBLANK(Лист1!V173),"",Лист1!V173)</f>
        <v>28</v>
      </c>
      <c r="W173" s="5" t="str">
        <f>IF(ISBLANK(Лист1!W173),"",Лист1!W173)</f>
        <v>маусым</v>
      </c>
      <c r="X173" s="5" t="str">
        <f>IF(ISBLANK(Лист1!X173),"",Лист1!X173)</f>
        <v>040410600759</v>
      </c>
      <c r="Y173" s="5" t="str">
        <f>IF(ISERROR(VLOOKUP($X173,Лист2!$A$2:$G$498,1,FALSE)),"",VLOOKUP($X173,Лист2!$A$2:$G$498,1,FALSE))</f>
        <v>040410600759</v>
      </c>
      <c r="Z173" s="5" t="str">
        <f>IF(ISERROR(VLOOKUP($X173,Лист2!$A$2:$L$498,9,FALSE)),"",VLOOKUP($X173,Лист2!$A$2:$L$498,9,FALSE))</f>
        <v>BD</v>
      </c>
      <c r="AA173" s="5" t="str">
        <f>IF(ISERROR(VLOOKUP($X173,Лист2!$A$2:$L$498,10,FALSE)),"",VLOOKUP($X173,Лист2!$A$2:$L$498,10,FALSE))</f>
        <v>00025669125</v>
      </c>
      <c r="AB173" s="5" t="str">
        <f>IF(ISERROR(VLOOKUP($X173,Лист2!$A$2:$M$498,13,FALSE)),"",VLOOKUP($X173,Лист2!$A$2:$M$498,13,FALSE))</f>
        <v>https://epvo.kz/#/verification_education_document?iin=040410600759&amp;diplomaSeries=BD&amp;diplomaNumber=00025669125</v>
      </c>
    </row>
    <row r="174" spans="1:28" x14ac:dyDescent="0.25">
      <c r="A174" s="5" t="str">
        <f>IF(ISBLANK(Лист1!A174),"",Лист1!A174)</f>
        <v>21</v>
      </c>
      <c r="B174" s="5" t="str">
        <f>IF(ISBLANK(Лист1!B174),"",Лист1!B174)</f>
        <v>маусымдағы</v>
      </c>
      <c r="C174" s="5" t="str">
        <f>IF(ISBLANK(Лист1!C174),"",Лист1!C174)</f>
        <v>82</v>
      </c>
      <c r="D174" s="5" t="str">
        <f>IF(ISBLANK(Лист1!D174),"",Лист1!D174)</f>
        <v>Султанбаева  Гулбану  Сериковнаға</v>
      </c>
      <c r="E174" s="5" t="str">
        <f>IF(ISBLANK(Лист1!E174),"",Лист1!E174)</f>
        <v>"6В01705 - Шетел тілі: екі шетел тілі (ағылшын)", В018-Шет тілі мұғалімдерін даярлау</v>
      </c>
      <c r="F174" s="5" t="str">
        <f>IF(ISBLANK(Лист1!F174),"",Лист1!F174)</f>
        <v>білім</v>
      </c>
      <c r="G174" s="5" t="str">
        <f>IF(ISBLANK(Лист1!G174),"",Лист1!G174)</f>
        <v>күндізгі</v>
      </c>
      <c r="H174" s="5" t="str">
        <f>IF(ISBLANK(Лист1!H174),"",Лист1!H174)</f>
        <v>Sultanbayeva  Gulbanu</v>
      </c>
      <c r="I174" s="5" t="str">
        <f>IF(ISBLANK(Лист1!I174),"",Лист1!I174)</f>
        <v>Education</v>
      </c>
      <c r="J174" s="5" t="str">
        <f>IF(ISBLANK(Лист1!J174),"",Лист1!J174)</f>
        <v>"6B01705 - Foreign language: two foreign languages (English)", B018-Training of foreign language teachers</v>
      </c>
      <c r="K174" s="5" t="str">
        <f>IF(ISBLANK(Лист1!K174),"",Лист1!K174)</f>
        <v>full-time</v>
      </c>
      <c r="L174" s="5" t="str">
        <f>IF(ISBLANK(Лист1!L174),"",Лист1!L174)</f>
        <v>21</v>
      </c>
      <c r="M174" s="5" t="str">
        <f>IF(ISBLANK(Лист1!M174),"",Лист1!M174)</f>
        <v>June</v>
      </c>
      <c r="N174" s="5" t="str">
        <f>IF(ISBLANK(Лист1!N174),"",Лист1!N174)</f>
        <v>21</v>
      </c>
      <c r="O174" s="5" t="str">
        <f>IF(ISBLANK(Лист1!O174),"",Лист1!O174)</f>
        <v>июня</v>
      </c>
      <c r="P174" s="5" t="str">
        <f>IF(ISBLANK(Лист1!P174),"",Лист1!P174)</f>
        <v>82</v>
      </c>
      <c r="Q174" s="5" t="str">
        <f>IF(ISBLANK(Лист1!Q174),"",Лист1!Q174)</f>
        <v>Султанбаевой  Гулбану  Сериковне</v>
      </c>
      <c r="R174" s="5" t="str">
        <f>IF(ISBLANK(Лист1!R174),"",Лист1!R174)</f>
        <v>образования</v>
      </c>
      <c r="S174" s="5" t="str">
        <f>IF(ISBLANK(Лист1!S174),"",Лист1!S174)</f>
        <v>"6B01705 - Иностранный язык: два иностранных языка (английский)", В018-Подготовка учителей иностранного языка</v>
      </c>
      <c r="T174" s="5" t="str">
        <f>IF(ISBLANK(Лист1!T174),"",Лист1!T174)</f>
        <v>очное</v>
      </c>
      <c r="U174" s="5" t="str">
        <f>IF(ISBLANK(Лист1!U174),"",Лист1!U174)</f>
        <v/>
      </c>
      <c r="V174" s="5" t="str">
        <f>IF(ISBLANK(Лист1!V174),"",Лист1!V174)</f>
        <v>28</v>
      </c>
      <c r="W174" s="5" t="str">
        <f>IF(ISBLANK(Лист1!W174),"",Лист1!W174)</f>
        <v>маусым</v>
      </c>
      <c r="X174" s="5" t="str">
        <f>IF(ISBLANK(Лист1!X174),"",Лист1!X174)</f>
        <v>040730651056</v>
      </c>
      <c r="Y174" s="5" t="str">
        <f>IF(ISERROR(VLOOKUP($X174,Лист2!$A$2:$G$498,1,FALSE)),"",VLOOKUP($X174,Лист2!$A$2:$G$498,1,FALSE))</f>
        <v>040730651056</v>
      </c>
      <c r="Z174" s="5" t="str">
        <f>IF(ISERROR(VLOOKUP($X174,Лист2!$A$2:$L$498,9,FALSE)),"",VLOOKUP($X174,Лист2!$A$2:$L$498,9,FALSE))</f>
        <v>BD</v>
      </c>
      <c r="AA174" s="5" t="str">
        <f>IF(ISERROR(VLOOKUP($X174,Лист2!$A$2:$L$498,10,FALSE)),"",VLOOKUP($X174,Лист2!$A$2:$L$498,10,FALSE))</f>
        <v>00025669225</v>
      </c>
      <c r="AB174" s="5" t="str">
        <f>IF(ISERROR(VLOOKUP($X174,Лист2!$A$2:$M$498,13,FALSE)),"",VLOOKUP($X174,Лист2!$A$2:$M$498,13,FALSE))</f>
        <v>https://epvo.kz/#/verification_education_document?iin=040730651056&amp;diplomaSeries=BD&amp;diplomaNumber=00025669225</v>
      </c>
    </row>
    <row r="175" spans="1:28" x14ac:dyDescent="0.25">
      <c r="A175" s="5" t="str">
        <f>IF(ISBLANK(Лист1!A175),"",Лист1!A175)</f>
        <v>21</v>
      </c>
      <c r="B175" s="5" t="str">
        <f>IF(ISBLANK(Лист1!B175),"",Лист1!B175)</f>
        <v>маусымдағы</v>
      </c>
      <c r="C175" s="5" t="str">
        <f>IF(ISBLANK(Лист1!C175),"",Лист1!C175)</f>
        <v>83</v>
      </c>
      <c r="D175" s="5" t="str">
        <f>IF(ISBLANK(Лист1!D175),"",Лист1!D175)</f>
        <v>Сұлтанбекова  Айнұр  Дастанқызына</v>
      </c>
      <c r="E175" s="5" t="str">
        <f>IF(ISBLANK(Лист1!E175),"",Лист1!E175)</f>
        <v>"6В01705 - Шетел тілі: екі шетел тілі (ағылшын)", В018-Шет тілі мұғалімдерін даярлау</v>
      </c>
      <c r="F175" s="5" t="str">
        <f>IF(ISBLANK(Лист1!F175),"",Лист1!F175)</f>
        <v>білім</v>
      </c>
      <c r="G175" s="5" t="str">
        <f>IF(ISBLANK(Лист1!G175),"",Лист1!G175)</f>
        <v>күндізгі</v>
      </c>
      <c r="H175" s="5" t="str">
        <f>IF(ISBLANK(Лист1!H175),"",Лист1!H175)</f>
        <v>Sultanbekova  Ainur</v>
      </c>
      <c r="I175" s="5" t="str">
        <f>IF(ISBLANK(Лист1!I175),"",Лист1!I175)</f>
        <v>Education</v>
      </c>
      <c r="J175" s="5" t="str">
        <f>IF(ISBLANK(Лист1!J175),"",Лист1!J175)</f>
        <v>"6B01705 - Foreign language: two foreign languages (English)", B018-Training of foreign language teachers</v>
      </c>
      <c r="K175" s="5" t="str">
        <f>IF(ISBLANK(Лист1!K175),"",Лист1!K175)</f>
        <v>full-time</v>
      </c>
      <c r="L175" s="5" t="str">
        <f>IF(ISBLANK(Лист1!L175),"",Лист1!L175)</f>
        <v>21</v>
      </c>
      <c r="M175" s="5" t="str">
        <f>IF(ISBLANK(Лист1!M175),"",Лист1!M175)</f>
        <v>June</v>
      </c>
      <c r="N175" s="5" t="str">
        <f>IF(ISBLANK(Лист1!N175),"",Лист1!N175)</f>
        <v>21</v>
      </c>
      <c r="O175" s="5" t="str">
        <f>IF(ISBLANK(Лист1!O175),"",Лист1!O175)</f>
        <v>июня</v>
      </c>
      <c r="P175" s="5" t="str">
        <f>IF(ISBLANK(Лист1!P175),"",Лист1!P175)</f>
        <v>83</v>
      </c>
      <c r="Q175" s="5" t="str">
        <f>IF(ISBLANK(Лист1!Q175),"",Лист1!Q175)</f>
        <v>Сұлтанбекова  Айнұр  Дастанқызы</v>
      </c>
      <c r="R175" s="5" t="str">
        <f>IF(ISBLANK(Лист1!R175),"",Лист1!R175)</f>
        <v>образования</v>
      </c>
      <c r="S175" s="5" t="str">
        <f>IF(ISBLANK(Лист1!S175),"",Лист1!S175)</f>
        <v>"6B01705 - Иностранный язык: два иностранных языка (английский)", В018-Подготовка учителей иностранного языка</v>
      </c>
      <c r="T175" s="5" t="str">
        <f>IF(ISBLANK(Лист1!T175),"",Лист1!T175)</f>
        <v>очное</v>
      </c>
      <c r="U175" s="5" t="str">
        <f>IF(ISBLANK(Лист1!U175),"",Лист1!U175)</f>
        <v/>
      </c>
      <c r="V175" s="5" t="str">
        <f>IF(ISBLANK(Лист1!V175),"",Лист1!V175)</f>
        <v>28</v>
      </c>
      <c r="W175" s="5" t="str">
        <f>IF(ISBLANK(Лист1!W175),"",Лист1!W175)</f>
        <v>маусым</v>
      </c>
      <c r="X175" s="5" t="str">
        <f>IF(ISBLANK(Лист1!X175),"",Лист1!X175)</f>
        <v>030710601489</v>
      </c>
      <c r="Y175" s="5" t="str">
        <f>IF(ISERROR(VLOOKUP($X175,Лист2!$A$2:$G$498,1,FALSE)),"",VLOOKUP($X175,Лист2!$A$2:$G$498,1,FALSE))</f>
        <v>030710601489</v>
      </c>
      <c r="Z175" s="5" t="str">
        <f>IF(ISERROR(VLOOKUP($X175,Лист2!$A$2:$L$498,9,FALSE)),"",VLOOKUP($X175,Лист2!$A$2:$L$498,9,FALSE))</f>
        <v>BD</v>
      </c>
      <c r="AA175" s="5" t="str">
        <f>IF(ISERROR(VLOOKUP($X175,Лист2!$A$2:$L$498,10,FALSE)),"",VLOOKUP($X175,Лист2!$A$2:$L$498,10,FALSE))</f>
        <v>00025669325</v>
      </c>
      <c r="AB175" s="5" t="str">
        <f>IF(ISERROR(VLOOKUP($X175,Лист2!$A$2:$M$498,13,FALSE)),"",VLOOKUP($X175,Лист2!$A$2:$M$498,13,FALSE))</f>
        <v>https://epvo.kz/#/verification_education_document?iin=030710601489&amp;diplomaSeries=BD&amp;diplomaNumber=00025669325</v>
      </c>
    </row>
    <row r="176" spans="1:28" x14ac:dyDescent="0.25">
      <c r="A176" s="5" t="str">
        <f>IF(ISBLANK(Лист1!A176),"",Лист1!A176)</f>
        <v>21</v>
      </c>
      <c r="B176" s="5" t="str">
        <f>IF(ISBLANK(Лист1!B176),"",Лист1!B176)</f>
        <v>маусымдағы</v>
      </c>
      <c r="C176" s="5" t="str">
        <f>IF(ISBLANK(Лист1!C176),"",Лист1!C176)</f>
        <v>84</v>
      </c>
      <c r="D176" s="5" t="str">
        <f>IF(ISBLANK(Лист1!D176),"",Лист1!D176)</f>
        <v>Сұлтанғалиева  Айдана  Молдаханқызына</v>
      </c>
      <c r="E176" s="5" t="str">
        <f>IF(ISBLANK(Лист1!E176),"",Лист1!E176)</f>
        <v>"6В01705 - Шетел тілі: екі шетел тілі (ағылшын)", В018-Шет тілі мұғалімдерін даярлау</v>
      </c>
      <c r="F176" s="5" t="str">
        <f>IF(ISBLANK(Лист1!F176),"",Лист1!F176)</f>
        <v>білім</v>
      </c>
      <c r="G176" s="5" t="str">
        <f>IF(ISBLANK(Лист1!G176),"",Лист1!G176)</f>
        <v>күндізгі</v>
      </c>
      <c r="H176" s="5" t="str">
        <f>IF(ISBLANK(Лист1!H176),"",Лист1!H176)</f>
        <v>Sultangaliyeva  Aidana</v>
      </c>
      <c r="I176" s="5" t="str">
        <f>IF(ISBLANK(Лист1!I176),"",Лист1!I176)</f>
        <v>Education</v>
      </c>
      <c r="J176" s="5" t="str">
        <f>IF(ISBLANK(Лист1!J176),"",Лист1!J176)</f>
        <v>"6B01705 - Foreign language: two foreign languages (English)", B018-Training of foreign language teachers</v>
      </c>
      <c r="K176" s="5" t="str">
        <f>IF(ISBLANK(Лист1!K176),"",Лист1!K176)</f>
        <v>full-time</v>
      </c>
      <c r="L176" s="5" t="str">
        <f>IF(ISBLANK(Лист1!L176),"",Лист1!L176)</f>
        <v>21</v>
      </c>
      <c r="M176" s="5" t="str">
        <f>IF(ISBLANK(Лист1!M176),"",Лист1!M176)</f>
        <v>June</v>
      </c>
      <c r="N176" s="5" t="str">
        <f>IF(ISBLANK(Лист1!N176),"",Лист1!N176)</f>
        <v>21</v>
      </c>
      <c r="O176" s="5" t="str">
        <f>IF(ISBLANK(Лист1!O176),"",Лист1!O176)</f>
        <v>июня</v>
      </c>
      <c r="P176" s="5" t="str">
        <f>IF(ISBLANK(Лист1!P176),"",Лист1!P176)</f>
        <v>84</v>
      </c>
      <c r="Q176" s="5" t="str">
        <f>IF(ISBLANK(Лист1!Q176),"",Лист1!Q176)</f>
        <v>Сұлтанғалиева  Айдана  Молдаханқызы</v>
      </c>
      <c r="R176" s="5" t="str">
        <f>IF(ISBLANK(Лист1!R176),"",Лист1!R176)</f>
        <v>образования</v>
      </c>
      <c r="S176" s="5" t="str">
        <f>IF(ISBLANK(Лист1!S176),"",Лист1!S176)</f>
        <v>"6B01705 - Иностранный язык: два иностранных языка (английский)", В018-Подготовка учителей иностранного языка</v>
      </c>
      <c r="T176" s="5" t="str">
        <f>IF(ISBLANK(Лист1!T176),"",Лист1!T176)</f>
        <v>очное</v>
      </c>
      <c r="U176" s="5" t="str">
        <f>IF(ISBLANK(Лист1!U176),"",Лист1!U176)</f>
        <v/>
      </c>
      <c r="V176" s="5" t="str">
        <f>IF(ISBLANK(Лист1!V176),"",Лист1!V176)</f>
        <v>28</v>
      </c>
      <c r="W176" s="5" t="str">
        <f>IF(ISBLANK(Лист1!W176),"",Лист1!W176)</f>
        <v>маусым</v>
      </c>
      <c r="X176" s="5" t="str">
        <f>IF(ISBLANK(Лист1!X176),"",Лист1!X176)</f>
        <v>031213650170</v>
      </c>
      <c r="Y176" s="5" t="str">
        <f>IF(ISERROR(VLOOKUP($X176,Лист2!$A$2:$G$498,1,FALSE)),"",VLOOKUP($X176,Лист2!$A$2:$G$498,1,FALSE))</f>
        <v>031213650170</v>
      </c>
      <c r="Z176" s="5" t="str">
        <f>IF(ISERROR(VLOOKUP($X176,Лист2!$A$2:$L$498,9,FALSE)),"",VLOOKUP($X176,Лист2!$A$2:$L$498,9,FALSE))</f>
        <v>BD</v>
      </c>
      <c r="AA176" s="5" t="str">
        <f>IF(ISERROR(VLOOKUP($X176,Лист2!$A$2:$L$498,10,FALSE)),"",VLOOKUP($X176,Лист2!$A$2:$L$498,10,FALSE))</f>
        <v>00025669425</v>
      </c>
      <c r="AB176" s="5" t="str">
        <f>IF(ISERROR(VLOOKUP($X176,Лист2!$A$2:$M$498,13,FALSE)),"",VLOOKUP($X176,Лист2!$A$2:$M$498,13,FALSE))</f>
        <v>https://epvo.kz/#/verification_education_document?iin=031213650170&amp;diplomaSeries=BD&amp;diplomaNumber=00025669425</v>
      </c>
    </row>
    <row r="177" spans="1:28" x14ac:dyDescent="0.25">
      <c r="A177" s="5" t="str">
        <f>IF(ISBLANK(Лист1!A177),"",Лист1!A177)</f>
        <v>21</v>
      </c>
      <c r="B177" s="5" t="str">
        <f>IF(ISBLANK(Лист1!B177),"",Лист1!B177)</f>
        <v>маусымдағы</v>
      </c>
      <c r="C177" s="5" t="str">
        <f>IF(ISBLANK(Лист1!C177),"",Лист1!C177)</f>
        <v>35</v>
      </c>
      <c r="D177" s="5" t="str">
        <f>IF(ISBLANK(Лист1!D177),"",Лист1!D177)</f>
        <v>Таңат  Аяжан  Аяғанқызына</v>
      </c>
      <c r="E177" s="5" t="str">
        <f>IF(ISBLANK(Лист1!E177),"",Лист1!E177)</f>
        <v>"6В01705 - Шетел тілі: екі шетел тілі (ағылшын)", В018-Шет тілі мұғалімдерін даярлау</v>
      </c>
      <c r="F177" s="5" t="str">
        <f>IF(ISBLANK(Лист1!F177),"",Лист1!F177)</f>
        <v>білім</v>
      </c>
      <c r="G177" s="5" t="str">
        <f>IF(ISBLANK(Лист1!G177),"",Лист1!G177)</f>
        <v>күндізгі</v>
      </c>
      <c r="H177" s="5" t="str">
        <f>IF(ISBLANK(Лист1!H177),"",Лист1!H177)</f>
        <v>Tanat  Ayazhan</v>
      </c>
      <c r="I177" s="5" t="str">
        <f>IF(ISBLANK(Лист1!I177),"",Лист1!I177)</f>
        <v>Education</v>
      </c>
      <c r="J177" s="5" t="str">
        <f>IF(ISBLANK(Лист1!J177),"",Лист1!J177)</f>
        <v>"6B01705 - Foreign language: two foreign languages (English)", B018-Training of foreign language teachers</v>
      </c>
      <c r="K177" s="5" t="str">
        <f>IF(ISBLANK(Лист1!K177),"",Лист1!K177)</f>
        <v>full-time</v>
      </c>
      <c r="L177" s="5" t="str">
        <f>IF(ISBLANK(Лист1!L177),"",Лист1!L177)</f>
        <v>21</v>
      </c>
      <c r="M177" s="5" t="str">
        <f>IF(ISBLANK(Лист1!M177),"",Лист1!M177)</f>
        <v>June</v>
      </c>
      <c r="N177" s="5" t="str">
        <f>IF(ISBLANK(Лист1!N177),"",Лист1!N177)</f>
        <v>21</v>
      </c>
      <c r="O177" s="5" t="str">
        <f>IF(ISBLANK(Лист1!O177),"",Лист1!O177)</f>
        <v>июня</v>
      </c>
      <c r="P177" s="5" t="str">
        <f>IF(ISBLANK(Лист1!P177),"",Лист1!P177)</f>
        <v>35</v>
      </c>
      <c r="Q177" s="5" t="str">
        <f>IF(ISBLANK(Лист1!Q177),"",Лист1!Q177)</f>
        <v>Таңат  Аяжан  Аяғанқызы</v>
      </c>
      <c r="R177" s="5" t="str">
        <f>IF(ISBLANK(Лист1!R177),"",Лист1!R177)</f>
        <v>образования</v>
      </c>
      <c r="S177" s="5" t="str">
        <f>IF(ISBLANK(Лист1!S177),"",Лист1!S177)</f>
        <v>"6B01705 - Иностранный язык: два иностранных языка (английский)", В018-Подготовка учителей иностранного языка</v>
      </c>
      <c r="T177" s="5" t="str">
        <f>IF(ISBLANK(Лист1!T177),"",Лист1!T177)</f>
        <v>очное</v>
      </c>
      <c r="U177" s="5" t="str">
        <f>IF(ISBLANK(Лист1!U177),"",Лист1!U177)</f>
        <v/>
      </c>
      <c r="V177" s="5" t="str">
        <f>IF(ISBLANK(Лист1!V177),"",Лист1!V177)</f>
        <v>28</v>
      </c>
      <c r="W177" s="5" t="str">
        <f>IF(ISBLANK(Лист1!W177),"",Лист1!W177)</f>
        <v>маусым</v>
      </c>
      <c r="X177" s="5" t="str">
        <f>IF(ISBLANK(Лист1!X177),"",Лист1!X177)</f>
        <v>040618650396</v>
      </c>
      <c r="Y177" s="5" t="str">
        <f>IF(ISERROR(VLOOKUP($X177,Лист2!$A$2:$G$498,1,FALSE)),"",VLOOKUP($X177,Лист2!$A$2:$G$498,1,FALSE))</f>
        <v>040618650396</v>
      </c>
      <c r="Z177" s="5" t="str">
        <f>IF(ISERROR(VLOOKUP($X177,Лист2!$A$2:$L$498,9,FALSE)),"",VLOOKUP($X177,Лист2!$A$2:$L$498,9,FALSE))</f>
        <v>BD</v>
      </c>
      <c r="AA177" s="5" t="str">
        <f>IF(ISERROR(VLOOKUP($X177,Лист2!$A$2:$L$498,10,FALSE)),"",VLOOKUP($X177,Лист2!$A$2:$L$498,10,FALSE))</f>
        <v>00025669525</v>
      </c>
      <c r="AB177" s="5" t="str">
        <f>IF(ISERROR(VLOOKUP($X177,Лист2!$A$2:$M$498,13,FALSE)),"",VLOOKUP($X177,Лист2!$A$2:$M$498,13,FALSE))</f>
        <v>https://epvo.kz/#/verification_education_document?iin=040618650396&amp;diplomaSeries=BD&amp;diplomaNumber=00025669525</v>
      </c>
    </row>
    <row r="178" spans="1:28" x14ac:dyDescent="0.25">
      <c r="A178" s="5" t="str">
        <f>IF(ISBLANK(Лист1!A178),"",Лист1!A178)</f>
        <v>21</v>
      </c>
      <c r="B178" s="5" t="str">
        <f>IF(ISBLANK(Лист1!B178),"",Лист1!B178)</f>
        <v>маусымдағы</v>
      </c>
      <c r="C178" s="5" t="str">
        <f>IF(ISBLANK(Лист1!C178),"",Лист1!C178)</f>
        <v>266</v>
      </c>
      <c r="D178" s="5" t="str">
        <f>IF(ISBLANK(Лист1!D178),"",Лист1!D178)</f>
        <v>Ташмаханбет  Сезім  Әсілқызына</v>
      </c>
      <c r="E178" s="5" t="str">
        <f>IF(ISBLANK(Лист1!E178),"",Лист1!E178)</f>
        <v>"6В01705 - Шетел тілі: екі шетел тілі (ағылшын)", В018-Шет тілі мұғалімдерін даярлау</v>
      </c>
      <c r="F178" s="5" t="str">
        <f>IF(ISBLANK(Лист1!F178),"",Лист1!F178)</f>
        <v>білім</v>
      </c>
      <c r="G178" s="5" t="str">
        <f>IF(ISBLANK(Лист1!G178),"",Лист1!G178)</f>
        <v>күндізгі</v>
      </c>
      <c r="H178" s="5" t="str">
        <f>IF(ISBLANK(Лист1!H178),"",Лист1!H178)</f>
        <v>Tashmakhanbet  Sezim</v>
      </c>
      <c r="I178" s="5" t="str">
        <f>IF(ISBLANK(Лист1!I178),"",Лист1!I178)</f>
        <v>Education</v>
      </c>
      <c r="J178" s="5" t="str">
        <f>IF(ISBLANK(Лист1!J178),"",Лист1!J178)</f>
        <v>"6B01705 - Foreign language: two foreign languages (English)", B018-Training of foreign language teachers</v>
      </c>
      <c r="K178" s="5" t="str">
        <f>IF(ISBLANK(Лист1!K178),"",Лист1!K178)</f>
        <v>full-time</v>
      </c>
      <c r="L178" s="5" t="str">
        <f>IF(ISBLANK(Лист1!L178),"",Лист1!L178)</f>
        <v>21</v>
      </c>
      <c r="M178" s="5" t="str">
        <f>IF(ISBLANK(Лист1!M178),"",Лист1!M178)</f>
        <v>June</v>
      </c>
      <c r="N178" s="5" t="str">
        <f>IF(ISBLANK(Лист1!N178),"",Лист1!N178)</f>
        <v>21</v>
      </c>
      <c r="O178" s="5" t="str">
        <f>IF(ISBLANK(Лист1!O178),"",Лист1!O178)</f>
        <v>июня</v>
      </c>
      <c r="P178" s="5" t="str">
        <f>IF(ISBLANK(Лист1!P178),"",Лист1!P178)</f>
        <v>266</v>
      </c>
      <c r="Q178" s="5" t="str">
        <f>IF(ISBLANK(Лист1!Q178),"",Лист1!Q178)</f>
        <v>Ташмаханбет  Сезім  Әсілқызы</v>
      </c>
      <c r="R178" s="5" t="str">
        <f>IF(ISBLANK(Лист1!R178),"",Лист1!R178)</f>
        <v>образования</v>
      </c>
      <c r="S178" s="5" t="str">
        <f>IF(ISBLANK(Лист1!S178),"",Лист1!S178)</f>
        <v>"6B01705 - Иностранный язык: два иностранных языка (английский)", В018-Подготовка учителей иностранного языка</v>
      </c>
      <c r="T178" s="5" t="str">
        <f>IF(ISBLANK(Лист1!T178),"",Лист1!T178)</f>
        <v>очное</v>
      </c>
      <c r="U178" s="5" t="str">
        <f>IF(ISBLANK(Лист1!U178),"",Лист1!U178)</f>
        <v/>
      </c>
      <c r="V178" s="5" t="str">
        <f>IF(ISBLANK(Лист1!V178),"",Лист1!V178)</f>
        <v>28</v>
      </c>
      <c r="W178" s="5" t="str">
        <f>IF(ISBLANK(Лист1!W178),"",Лист1!W178)</f>
        <v>маусым</v>
      </c>
      <c r="X178" s="5" t="str">
        <f>IF(ISBLANK(Лист1!X178),"",Лист1!X178)</f>
        <v>041203600677</v>
      </c>
      <c r="Y178" s="5" t="str">
        <f>IF(ISERROR(VLOOKUP($X178,Лист2!$A$2:$G$498,1,FALSE)),"",VLOOKUP($X178,Лист2!$A$2:$G$498,1,FALSE))</f>
        <v>041203600677</v>
      </c>
      <c r="Z178" s="5" t="str">
        <f>IF(ISERROR(VLOOKUP($X178,Лист2!$A$2:$L$498,9,FALSE)),"",VLOOKUP($X178,Лист2!$A$2:$L$498,9,FALSE))</f>
        <v>BD</v>
      </c>
      <c r="AA178" s="5" t="str">
        <f>IF(ISERROR(VLOOKUP($X178,Лист2!$A$2:$L$498,10,FALSE)),"",VLOOKUP($X178,Лист2!$A$2:$L$498,10,FALSE))</f>
        <v>00025669625</v>
      </c>
      <c r="AB178" s="5" t="str">
        <f>IF(ISERROR(VLOOKUP($X178,Лист2!$A$2:$M$498,13,FALSE)),"",VLOOKUP($X178,Лист2!$A$2:$M$498,13,FALSE))</f>
        <v>https://epvo.kz/#/verification_education_document?iin=041203600677&amp;diplomaSeries=BD&amp;diplomaNumber=00025669625</v>
      </c>
    </row>
    <row r="179" spans="1:28" x14ac:dyDescent="0.25">
      <c r="A179" s="5" t="str">
        <f>IF(ISBLANK(Лист1!A179),"",Лист1!A179)</f>
        <v>21</v>
      </c>
      <c r="B179" s="5" t="str">
        <f>IF(ISBLANK(Лист1!B179),"",Лист1!B179)</f>
        <v>маусымдағы</v>
      </c>
      <c r="C179" s="5" t="str">
        <f>IF(ISBLANK(Лист1!C179),"",Лист1!C179)</f>
        <v>18</v>
      </c>
      <c r="D179" s="5" t="str">
        <f>IF(ISBLANK(Лист1!D179),"",Лист1!D179)</f>
        <v>Темірәлиева  Нұрай  Сабыралиқызына</v>
      </c>
      <c r="E179" s="5" t="str">
        <f>IF(ISBLANK(Лист1!E179),"",Лист1!E179)</f>
        <v>"6В01705 - Шетел тілі: екі шетел тілі (ағылшын)", В018-Шет тілі мұғалімдерін даярлау</v>
      </c>
      <c r="F179" s="5" t="str">
        <f>IF(ISBLANK(Лист1!F179),"",Лист1!F179)</f>
        <v>білім</v>
      </c>
      <c r="G179" s="5" t="str">
        <f>IF(ISBLANK(Лист1!G179),"",Лист1!G179)</f>
        <v>күндізгі</v>
      </c>
      <c r="H179" s="5" t="str">
        <f>IF(ISBLANK(Лист1!H179),"",Лист1!H179)</f>
        <v>Temiraliyeva  Nuray</v>
      </c>
      <c r="I179" s="5" t="str">
        <f>IF(ISBLANK(Лист1!I179),"",Лист1!I179)</f>
        <v>Education</v>
      </c>
      <c r="J179" s="5" t="str">
        <f>IF(ISBLANK(Лист1!J179),"",Лист1!J179)</f>
        <v>"6B01705 - Foreign language: two foreign languages (English)", B018-Training of foreign language teachers</v>
      </c>
      <c r="K179" s="5" t="str">
        <f>IF(ISBLANK(Лист1!K179),"",Лист1!K179)</f>
        <v>full-time</v>
      </c>
      <c r="L179" s="5" t="str">
        <f>IF(ISBLANK(Лист1!L179),"",Лист1!L179)</f>
        <v>21</v>
      </c>
      <c r="M179" s="5" t="str">
        <f>IF(ISBLANK(Лист1!M179),"",Лист1!M179)</f>
        <v>June</v>
      </c>
      <c r="N179" s="5" t="str">
        <f>IF(ISBLANK(Лист1!N179),"",Лист1!N179)</f>
        <v>21</v>
      </c>
      <c r="O179" s="5" t="str">
        <f>IF(ISBLANK(Лист1!O179),"",Лист1!O179)</f>
        <v>июня</v>
      </c>
      <c r="P179" s="5" t="str">
        <f>IF(ISBLANK(Лист1!P179),"",Лист1!P179)</f>
        <v>18</v>
      </c>
      <c r="Q179" s="5" t="str">
        <f>IF(ISBLANK(Лист1!Q179),"",Лист1!Q179)</f>
        <v>Темірәлиева  Нұрай  Сабыралиқызы</v>
      </c>
      <c r="R179" s="5" t="str">
        <f>IF(ISBLANK(Лист1!R179),"",Лист1!R179)</f>
        <v>образования</v>
      </c>
      <c r="S179" s="5" t="str">
        <f>IF(ISBLANK(Лист1!S179),"",Лист1!S179)</f>
        <v>"6B01705 - Иностранный язык: два иностранных языка (английский)", В018-Подготовка учителей иностранного языка</v>
      </c>
      <c r="T179" s="5" t="str">
        <f>IF(ISBLANK(Лист1!T179),"",Лист1!T179)</f>
        <v>очное</v>
      </c>
      <c r="U179" s="5" t="str">
        <f>IF(ISBLANK(Лист1!U179),"",Лист1!U179)</f>
        <v/>
      </c>
      <c r="V179" s="5" t="str">
        <f>IF(ISBLANK(Лист1!V179),"",Лист1!V179)</f>
        <v>28</v>
      </c>
      <c r="W179" s="5" t="str">
        <f>IF(ISBLANK(Лист1!W179),"",Лист1!W179)</f>
        <v>маусым</v>
      </c>
      <c r="X179" s="5" t="str">
        <f>IF(ISBLANK(Лист1!X179),"",Лист1!X179)</f>
        <v>040420600169</v>
      </c>
      <c r="Y179" s="5" t="str">
        <f>IF(ISERROR(VLOOKUP($X179,Лист2!$A$2:$G$498,1,FALSE)),"",VLOOKUP($X179,Лист2!$A$2:$G$498,1,FALSE))</f>
        <v>040420600169</v>
      </c>
      <c r="Z179" s="5" t="str">
        <f>IF(ISERROR(VLOOKUP($X179,Лист2!$A$2:$L$498,9,FALSE)),"",VLOOKUP($X179,Лист2!$A$2:$L$498,9,FALSE))</f>
        <v>BD</v>
      </c>
      <c r="AA179" s="5" t="str">
        <f>IF(ISERROR(VLOOKUP($X179,Лист2!$A$2:$L$498,10,FALSE)),"",VLOOKUP($X179,Лист2!$A$2:$L$498,10,FALSE))</f>
        <v>00025669725</v>
      </c>
      <c r="AB179" s="5" t="str">
        <f>IF(ISERROR(VLOOKUP($X179,Лист2!$A$2:$M$498,13,FALSE)),"",VLOOKUP($X179,Лист2!$A$2:$M$498,13,FALSE))</f>
        <v>https://epvo.kz/#/verification_education_document?iin=040420600169&amp;diplomaSeries=BD&amp;diplomaNumber=00025669725</v>
      </c>
    </row>
    <row r="180" spans="1:28" x14ac:dyDescent="0.25">
      <c r="A180" s="5" t="str">
        <f>IF(ISBLANK(Лист1!A180),"",Лист1!A180)</f>
        <v>21</v>
      </c>
      <c r="B180" s="5" t="str">
        <f>IF(ISBLANK(Лист1!B180),"",Лист1!B180)</f>
        <v>маусымдағы</v>
      </c>
      <c r="C180" s="5" t="str">
        <f>IF(ISBLANK(Лист1!C180),"",Лист1!C180)</f>
        <v>90</v>
      </c>
      <c r="D180" s="5" t="str">
        <f>IF(ISBLANK(Лист1!D180),"",Лист1!D180)</f>
        <v>Тулебаева  Райхана  Максатовнаға</v>
      </c>
      <c r="E180" s="5" t="str">
        <f>IF(ISBLANK(Лист1!E180),"",Лист1!E180)</f>
        <v>"6В01705 - Шетел тілі: екі шетел тілі (ағылшын)", В018-Шет тілі мұғалімдерін даярлау</v>
      </c>
      <c r="F180" s="5" t="str">
        <f>IF(ISBLANK(Лист1!F180),"",Лист1!F180)</f>
        <v>білім</v>
      </c>
      <c r="G180" s="5" t="str">
        <f>IF(ISBLANK(Лист1!G180),"",Лист1!G180)</f>
        <v>күндізгі</v>
      </c>
      <c r="H180" s="5" t="str">
        <f>IF(ISBLANK(Лист1!H180),"",Лист1!H180)</f>
        <v>Tulebayeva  Raikhana</v>
      </c>
      <c r="I180" s="5" t="str">
        <f>IF(ISBLANK(Лист1!I180),"",Лист1!I180)</f>
        <v>Education</v>
      </c>
      <c r="J180" s="5" t="str">
        <f>IF(ISBLANK(Лист1!J180),"",Лист1!J180)</f>
        <v>"6B01705 - Foreign language: two foreign languages (English)", B018-Training of foreign language teachers</v>
      </c>
      <c r="K180" s="5" t="str">
        <f>IF(ISBLANK(Лист1!K180),"",Лист1!K180)</f>
        <v>full-time</v>
      </c>
      <c r="L180" s="5" t="str">
        <f>IF(ISBLANK(Лист1!L180),"",Лист1!L180)</f>
        <v>21</v>
      </c>
      <c r="M180" s="5" t="str">
        <f>IF(ISBLANK(Лист1!M180),"",Лист1!M180)</f>
        <v>June</v>
      </c>
      <c r="N180" s="5" t="str">
        <f>IF(ISBLANK(Лист1!N180),"",Лист1!N180)</f>
        <v>21</v>
      </c>
      <c r="O180" s="5" t="str">
        <f>IF(ISBLANK(Лист1!O180),"",Лист1!O180)</f>
        <v>июня</v>
      </c>
      <c r="P180" s="5" t="str">
        <f>IF(ISBLANK(Лист1!P180),"",Лист1!P180)</f>
        <v>90</v>
      </c>
      <c r="Q180" s="5" t="str">
        <f>IF(ISBLANK(Лист1!Q180),"",Лист1!Q180)</f>
        <v>Тулебаевой  Райхане  Максатовне</v>
      </c>
      <c r="R180" s="5" t="str">
        <f>IF(ISBLANK(Лист1!R180),"",Лист1!R180)</f>
        <v>образования</v>
      </c>
      <c r="S180" s="5" t="str">
        <f>IF(ISBLANK(Лист1!S180),"",Лист1!S180)</f>
        <v>"6B01705 - Иностранный язык: два иностранных языка (английский)", В018-Подготовка учителей иностранного языка</v>
      </c>
      <c r="T180" s="5" t="str">
        <f>IF(ISBLANK(Лист1!T180),"",Лист1!T180)</f>
        <v>очное</v>
      </c>
      <c r="U180" s="5" t="str">
        <f>IF(ISBLANK(Лист1!U180),"",Лист1!U180)</f>
        <v/>
      </c>
      <c r="V180" s="5" t="str">
        <f>IF(ISBLANK(Лист1!V180),"",Лист1!V180)</f>
        <v>28</v>
      </c>
      <c r="W180" s="5" t="str">
        <f>IF(ISBLANK(Лист1!W180),"",Лист1!W180)</f>
        <v>маусым</v>
      </c>
      <c r="X180" s="5" t="str">
        <f>IF(ISBLANK(Лист1!X180),"",Лист1!X180)</f>
        <v>040321601456</v>
      </c>
      <c r="Y180" s="5" t="str">
        <f>IF(ISERROR(VLOOKUP($X180,Лист2!$A$2:$G$498,1,FALSE)),"",VLOOKUP($X180,Лист2!$A$2:$G$498,1,FALSE))</f>
        <v>040321601456</v>
      </c>
      <c r="Z180" s="5" t="str">
        <f>IF(ISERROR(VLOOKUP($X180,Лист2!$A$2:$L$498,9,FALSE)),"",VLOOKUP($X180,Лист2!$A$2:$L$498,9,FALSE))</f>
        <v>BD</v>
      </c>
      <c r="AA180" s="5" t="str">
        <f>IF(ISERROR(VLOOKUP($X180,Лист2!$A$2:$L$498,10,FALSE)),"",VLOOKUP($X180,Лист2!$A$2:$L$498,10,FALSE))</f>
        <v>00025670125</v>
      </c>
      <c r="AB180" s="5" t="str">
        <f>IF(ISERROR(VLOOKUP($X180,Лист2!$A$2:$M$498,13,FALSE)),"",VLOOKUP($X180,Лист2!$A$2:$M$498,13,FALSE))</f>
        <v>https://epvo.kz/#/verification_education_document?iin=040321601456&amp;diplomaSeries=BD&amp;diplomaNumber=00025670125</v>
      </c>
    </row>
    <row r="181" spans="1:28" x14ac:dyDescent="0.25">
      <c r="A181" s="5" t="str">
        <f>IF(ISBLANK(Лист1!A181),"",Лист1!A181)</f>
        <v>21</v>
      </c>
      <c r="B181" s="5" t="str">
        <f>IF(ISBLANK(Лист1!B181),"",Лист1!B181)</f>
        <v>маусымдағы</v>
      </c>
      <c r="C181" s="5" t="str">
        <f>IF(ISBLANK(Лист1!C181),"",Лист1!C181)</f>
        <v>07</v>
      </c>
      <c r="D181" s="5" t="str">
        <f>IF(ISBLANK(Лист1!D181),"",Лист1!D181)</f>
        <v>Турдикулова  Комила  Бахтиёровнага</v>
      </c>
      <c r="E181" s="5" t="str">
        <f>IF(ISBLANK(Лист1!E181),"",Лист1!E181)</f>
        <v>"6В01705 - Шетел тілі: екі шетел тілі (ағылшын)", В018-Шет тілі мұғалімдерін даярлау</v>
      </c>
      <c r="F181" s="5" t="str">
        <f>IF(ISBLANK(Лист1!F181),"",Лист1!F181)</f>
        <v>білім</v>
      </c>
      <c r="G181" s="5" t="str">
        <f>IF(ISBLANK(Лист1!G181),"",Лист1!G181)</f>
        <v>күндізгі</v>
      </c>
      <c r="H181" s="5" t="str">
        <f>IF(ISBLANK(Лист1!H181),"",Лист1!H181)</f>
        <v>Turdikulova  Komila</v>
      </c>
      <c r="I181" s="5" t="str">
        <f>IF(ISBLANK(Лист1!I181),"",Лист1!I181)</f>
        <v>Education</v>
      </c>
      <c r="J181" s="5" t="str">
        <f>IF(ISBLANK(Лист1!J181),"",Лист1!J181)</f>
        <v>"6B01705 - Foreign language: two foreign languages (English)", B018-Training of foreign language teachers</v>
      </c>
      <c r="K181" s="5" t="str">
        <f>IF(ISBLANK(Лист1!K181),"",Лист1!K181)</f>
        <v>full-time</v>
      </c>
      <c r="L181" s="5" t="str">
        <f>IF(ISBLANK(Лист1!L181),"",Лист1!L181)</f>
        <v>21</v>
      </c>
      <c r="M181" s="5" t="str">
        <f>IF(ISBLANK(Лист1!M181),"",Лист1!M181)</f>
        <v>June</v>
      </c>
      <c r="N181" s="5" t="str">
        <f>IF(ISBLANK(Лист1!N181),"",Лист1!N181)</f>
        <v>21</v>
      </c>
      <c r="O181" s="5" t="str">
        <f>IF(ISBLANK(Лист1!O181),"",Лист1!O181)</f>
        <v>июня</v>
      </c>
      <c r="P181" s="5" t="str">
        <f>IF(ISBLANK(Лист1!P181),"",Лист1!P181)</f>
        <v>07</v>
      </c>
      <c r="Q181" s="5" t="str">
        <f>IF(ISBLANK(Лист1!Q181),"",Лист1!Q181)</f>
        <v>Турдикуловой  Комиле  Бахтиёровне</v>
      </c>
      <c r="R181" s="5" t="str">
        <f>IF(ISBLANK(Лист1!R181),"",Лист1!R181)</f>
        <v>образования</v>
      </c>
      <c r="S181" s="5" t="str">
        <f>IF(ISBLANK(Лист1!S181),"",Лист1!S181)</f>
        <v>"6B01705 - Иностранный язык: два иностранных языка (английский)", В018-Подготовка учителей иностранного языка</v>
      </c>
      <c r="T181" s="5" t="str">
        <f>IF(ISBLANK(Лист1!T181),"",Лист1!T181)</f>
        <v>очное</v>
      </c>
      <c r="U181" s="5" t="str">
        <f>IF(ISBLANK(Лист1!U181),"",Лист1!U181)</f>
        <v/>
      </c>
      <c r="V181" s="5" t="str">
        <f>IF(ISBLANK(Лист1!V181),"",Лист1!V181)</f>
        <v>28</v>
      </c>
      <c r="W181" s="5" t="str">
        <f>IF(ISBLANK(Лист1!W181),"",Лист1!W181)</f>
        <v>маусым</v>
      </c>
      <c r="X181" s="5" t="str">
        <f>IF(ISBLANK(Лист1!X181),"",Лист1!X181)</f>
        <v>040110601141</v>
      </c>
      <c r="Y181" s="5" t="str">
        <f>IF(ISERROR(VLOOKUP($X181,Лист2!$A$2:$G$498,1,FALSE)),"",VLOOKUP($X181,Лист2!$A$2:$G$498,1,FALSE))</f>
        <v>040110601141</v>
      </c>
      <c r="Z181" s="5" t="str">
        <f>IF(ISERROR(VLOOKUP($X181,Лист2!$A$2:$L$498,9,FALSE)),"",VLOOKUP($X181,Лист2!$A$2:$L$498,9,FALSE))</f>
        <v>BD</v>
      </c>
      <c r="AA181" s="5" t="str">
        <f>IF(ISERROR(VLOOKUP($X181,Лист2!$A$2:$L$498,10,FALSE)),"",VLOOKUP($X181,Лист2!$A$2:$L$498,10,FALSE))</f>
        <v>00025671025</v>
      </c>
      <c r="AB181" s="5" t="str">
        <f>IF(ISERROR(VLOOKUP($X181,Лист2!$A$2:$M$498,13,FALSE)),"",VLOOKUP($X181,Лист2!$A$2:$M$498,13,FALSE))</f>
        <v>https://epvo.kz/#/verification_education_document?iin=040110601141&amp;diplomaSeries=BD&amp;diplomaNumber=00025671025</v>
      </c>
    </row>
    <row r="182" spans="1:28" x14ac:dyDescent="0.25">
      <c r="A182" s="5" t="str">
        <f>IF(ISBLANK(Лист1!A182),"",Лист1!A182)</f>
        <v>21</v>
      </c>
      <c r="B182" s="5" t="str">
        <f>IF(ISBLANK(Лист1!B182),"",Лист1!B182)</f>
        <v>маусымдағы</v>
      </c>
      <c r="C182" s="5" t="str">
        <f>IF(ISBLANK(Лист1!C182),"",Лист1!C182)</f>
        <v>03</v>
      </c>
      <c r="D182" s="5" t="str">
        <f>IF(ISBLANK(Лист1!D182),"",Лист1!D182)</f>
        <v>Тұрсынбаева  Мөлдір  Жамбылқызына</v>
      </c>
      <c r="E182" s="5" t="str">
        <f>IF(ISBLANK(Лист1!E182),"",Лист1!E182)</f>
        <v>"6В01705 - Шетел тілі: екі шетел тілі (ағылшын)", В018-Шет тілі мұғалімдерін даярлау</v>
      </c>
      <c r="F182" s="5" t="str">
        <f>IF(ISBLANK(Лист1!F182),"",Лист1!F182)</f>
        <v>білім</v>
      </c>
      <c r="G182" s="5" t="str">
        <f>IF(ISBLANK(Лист1!G182),"",Лист1!G182)</f>
        <v>күндізгі</v>
      </c>
      <c r="H182" s="5" t="str">
        <f>IF(ISBLANK(Лист1!H182),"",Лист1!H182)</f>
        <v>Tursynbayeva  Moldir</v>
      </c>
      <c r="I182" s="5" t="str">
        <f>IF(ISBLANK(Лист1!I182),"",Лист1!I182)</f>
        <v>Education</v>
      </c>
      <c r="J182" s="5" t="str">
        <f>IF(ISBLANK(Лист1!J182),"",Лист1!J182)</f>
        <v>"6B01705 - Foreign language: two foreign languages (English)", B018-Training of foreign language teachers</v>
      </c>
      <c r="K182" s="5" t="str">
        <f>IF(ISBLANK(Лист1!K182),"",Лист1!K182)</f>
        <v>full-time</v>
      </c>
      <c r="L182" s="5" t="str">
        <f>IF(ISBLANK(Лист1!L182),"",Лист1!L182)</f>
        <v>21</v>
      </c>
      <c r="M182" s="5" t="str">
        <f>IF(ISBLANK(Лист1!M182),"",Лист1!M182)</f>
        <v>June</v>
      </c>
      <c r="N182" s="5" t="str">
        <f>IF(ISBLANK(Лист1!N182),"",Лист1!N182)</f>
        <v>21</v>
      </c>
      <c r="O182" s="5" t="str">
        <f>IF(ISBLANK(Лист1!O182),"",Лист1!O182)</f>
        <v>июня</v>
      </c>
      <c r="P182" s="5" t="str">
        <f>IF(ISBLANK(Лист1!P182),"",Лист1!P182)</f>
        <v>03</v>
      </c>
      <c r="Q182" s="5" t="str">
        <f>IF(ISBLANK(Лист1!Q182),"",Лист1!Q182)</f>
        <v>Тұрсынбаева  Мөлдір  Жамбылқызы</v>
      </c>
      <c r="R182" s="5" t="str">
        <f>IF(ISBLANK(Лист1!R182),"",Лист1!R182)</f>
        <v>образования</v>
      </c>
      <c r="S182" s="5" t="str">
        <f>IF(ISBLANK(Лист1!S182),"",Лист1!S182)</f>
        <v>"6B01705 - Иностранный язык: два иностранных языка (английский)", В018-Подготовка учителей иностранного языка</v>
      </c>
      <c r="T182" s="5" t="str">
        <f>IF(ISBLANK(Лист1!T182),"",Лист1!T182)</f>
        <v>очное</v>
      </c>
      <c r="U182" s="5" t="str">
        <f>IF(ISBLANK(Лист1!U182),"",Лист1!U182)</f>
        <v/>
      </c>
      <c r="V182" s="5" t="str">
        <f>IF(ISBLANK(Лист1!V182),"",Лист1!V182)</f>
        <v>28</v>
      </c>
      <c r="W182" s="5" t="str">
        <f>IF(ISBLANK(Лист1!W182),"",Лист1!W182)</f>
        <v>маусым</v>
      </c>
      <c r="X182" s="5" t="str">
        <f>IF(ISBLANK(Лист1!X182),"",Лист1!X182)</f>
        <v>040113600171</v>
      </c>
      <c r="Y182" s="5" t="str">
        <f>IF(ISERROR(VLOOKUP($X182,Лист2!$A$2:$G$498,1,FALSE)),"",VLOOKUP($X182,Лист2!$A$2:$G$498,1,FALSE))</f>
        <v>040113600171</v>
      </c>
      <c r="Z182" s="5" t="str">
        <f>IF(ISERROR(VLOOKUP($X182,Лист2!$A$2:$L$498,9,FALSE)),"",VLOOKUP($X182,Лист2!$A$2:$L$498,9,FALSE))</f>
        <v>BD</v>
      </c>
      <c r="AA182" s="5" t="str">
        <f>IF(ISERROR(VLOOKUP($X182,Лист2!$A$2:$L$498,10,FALSE)),"",VLOOKUP($X182,Лист2!$A$2:$L$498,10,FALSE))</f>
        <v>00025677025</v>
      </c>
      <c r="AB182" s="5" t="str">
        <f>IF(ISERROR(VLOOKUP($X182,Лист2!$A$2:$M$498,13,FALSE)),"",VLOOKUP($X182,Лист2!$A$2:$M$498,13,FALSE))</f>
        <v>https://epvo.kz/#/verification_education_document?iin=040113600171&amp;diplomaSeries=BD&amp;diplomaNumber=00025677025</v>
      </c>
    </row>
    <row r="183" spans="1:28" x14ac:dyDescent="0.25">
      <c r="A183" s="5" t="str">
        <f>IF(ISBLANK(Лист1!A183),"",Лист1!A183)</f>
        <v>21</v>
      </c>
      <c r="B183" s="5" t="str">
        <f>IF(ISBLANK(Лист1!B183),"",Лист1!B183)</f>
        <v>маусымдағы</v>
      </c>
      <c r="C183" s="5" t="str">
        <f>IF(ISBLANK(Лист1!C183),"",Лист1!C183)</f>
        <v>91</v>
      </c>
      <c r="D183" s="5" t="str">
        <f>IF(ISBLANK(Лист1!D183),"",Лист1!D183)</f>
        <v>Тұрсынбай  Ғани  Даниярұлына</v>
      </c>
      <c r="E183" s="5" t="str">
        <f>IF(ISBLANK(Лист1!E183),"",Лист1!E183)</f>
        <v>"6В01705 - Шетел тілі: екі шетел тілі (ағылшын)", В018-Шет тілі мұғалімдерін даярлау</v>
      </c>
      <c r="F183" s="5" t="str">
        <f>IF(ISBLANK(Лист1!F183),"",Лист1!F183)</f>
        <v>білім</v>
      </c>
      <c r="G183" s="5" t="str">
        <f>IF(ISBLANK(Лист1!G183),"",Лист1!G183)</f>
        <v>күндізгі</v>
      </c>
      <c r="H183" s="5" t="str">
        <f>IF(ISBLANK(Лист1!H183),"",Лист1!H183)</f>
        <v>Tursynbay  Gani</v>
      </c>
      <c r="I183" s="5" t="str">
        <f>IF(ISBLANK(Лист1!I183),"",Лист1!I183)</f>
        <v>Education</v>
      </c>
      <c r="J183" s="5" t="str">
        <f>IF(ISBLANK(Лист1!J183),"",Лист1!J183)</f>
        <v>"6B01705 - Foreign language: two foreign languages (English)", B018-Training of foreign language teachers</v>
      </c>
      <c r="K183" s="5" t="str">
        <f>IF(ISBLANK(Лист1!K183),"",Лист1!K183)</f>
        <v>full-time</v>
      </c>
      <c r="L183" s="5" t="str">
        <f>IF(ISBLANK(Лист1!L183),"",Лист1!L183)</f>
        <v>21</v>
      </c>
      <c r="M183" s="5" t="str">
        <f>IF(ISBLANK(Лист1!M183),"",Лист1!M183)</f>
        <v>June</v>
      </c>
      <c r="N183" s="5" t="str">
        <f>IF(ISBLANK(Лист1!N183),"",Лист1!N183)</f>
        <v>21</v>
      </c>
      <c r="O183" s="5" t="str">
        <f>IF(ISBLANK(Лист1!O183),"",Лист1!O183)</f>
        <v>июня</v>
      </c>
      <c r="P183" s="5" t="str">
        <f>IF(ISBLANK(Лист1!P183),"",Лист1!P183)</f>
        <v>91</v>
      </c>
      <c r="Q183" s="5" t="str">
        <f>IF(ISBLANK(Лист1!Q183),"",Лист1!Q183)</f>
        <v>Тұрсынбай  Ғани  Даниярұлы</v>
      </c>
      <c r="R183" s="5" t="str">
        <f>IF(ISBLANK(Лист1!R183),"",Лист1!R183)</f>
        <v>образования</v>
      </c>
      <c r="S183" s="5" t="str">
        <f>IF(ISBLANK(Лист1!S183),"",Лист1!S183)</f>
        <v>"6B01705 - Иностранный язык: два иностранных языка (английский)", В018-Подготовка учителей иностранного языка</v>
      </c>
      <c r="T183" s="5" t="str">
        <f>IF(ISBLANK(Лист1!T183),"",Лист1!T183)</f>
        <v>очное</v>
      </c>
      <c r="U183" s="5" t="str">
        <f>IF(ISBLANK(Лист1!U183),"",Лист1!U183)</f>
        <v/>
      </c>
      <c r="V183" s="5" t="str">
        <f>IF(ISBLANK(Лист1!V183),"",Лист1!V183)</f>
        <v>28</v>
      </c>
      <c r="W183" s="5" t="str">
        <f>IF(ISBLANK(Лист1!W183),"",Лист1!W183)</f>
        <v>маусым</v>
      </c>
      <c r="X183" s="5" t="str">
        <f>IF(ISBLANK(Лист1!X183),"",Лист1!X183)</f>
        <v>040612500463</v>
      </c>
      <c r="Y183" s="5" t="str">
        <f>IF(ISERROR(VLOOKUP($X183,Лист2!$A$2:$G$498,1,FALSE)),"",VLOOKUP($X183,Лист2!$A$2:$G$498,1,FALSE))</f>
        <v>040612500463</v>
      </c>
      <c r="Z183" s="5" t="str">
        <f>IF(ISERROR(VLOOKUP($X183,Лист2!$A$2:$L$498,9,FALSE)),"",VLOOKUP($X183,Лист2!$A$2:$L$498,9,FALSE))</f>
        <v>BD</v>
      </c>
      <c r="AA183" s="5" t="str">
        <f>IF(ISERROR(VLOOKUP($X183,Лист2!$A$2:$L$498,10,FALSE)),"",VLOOKUP($X183,Лист2!$A$2:$L$498,10,FALSE))</f>
        <v>00025677125</v>
      </c>
      <c r="AB183" s="5" t="str">
        <f>IF(ISERROR(VLOOKUP($X183,Лист2!$A$2:$M$498,13,FALSE)),"",VLOOKUP($X183,Лист2!$A$2:$M$498,13,FALSE))</f>
        <v>https://epvo.kz/#/verification_education_document?iin=040612500463&amp;diplomaSeries=BD&amp;diplomaNumber=00025677125</v>
      </c>
    </row>
    <row r="184" spans="1:28" x14ac:dyDescent="0.25">
      <c r="A184" s="5" t="str">
        <f>IF(ISBLANK(Лист1!A184),"",Лист1!A184)</f>
        <v>21</v>
      </c>
      <c r="B184" s="5" t="str">
        <f>IF(ISBLANK(Лист1!B184),"",Лист1!B184)</f>
        <v>маусымдағы</v>
      </c>
      <c r="C184" s="5" t="str">
        <f>IF(ISBLANK(Лист1!C184),"",Лист1!C184)</f>
        <v>42</v>
      </c>
      <c r="D184" s="5" t="str">
        <f>IF(ISBLANK(Лист1!D184),"",Лист1!D184)</f>
        <v>Узбекбаева  Балжанай  Жамбул қизина</v>
      </c>
      <c r="E184" s="5" t="str">
        <f>IF(ISBLANK(Лист1!E184),"",Лист1!E184)</f>
        <v>"6В01705 - Шетел тілі: екі шетел тілі (ағылшын)", В018-Шет тілі мұғалімдерін даярлау</v>
      </c>
      <c r="F184" s="5" t="str">
        <f>IF(ISBLANK(Лист1!F184),"",Лист1!F184)</f>
        <v>білім</v>
      </c>
      <c r="G184" s="5" t="str">
        <f>IF(ISBLANK(Лист1!G184),"",Лист1!G184)</f>
        <v>күндізгі</v>
      </c>
      <c r="H184" s="5" t="str">
        <f>IF(ISBLANK(Лист1!H184),"",Лист1!H184)</f>
        <v>Uzbekbayeva  Balzhanay</v>
      </c>
      <c r="I184" s="5" t="str">
        <f>IF(ISBLANK(Лист1!I184),"",Лист1!I184)</f>
        <v>Education</v>
      </c>
      <c r="J184" s="5" t="str">
        <f>IF(ISBLANK(Лист1!J184),"",Лист1!J184)</f>
        <v>"6B01705 - Foreign language: two foreign languages (English)", B018-Training of foreign language teachers</v>
      </c>
      <c r="K184" s="5" t="str">
        <f>IF(ISBLANK(Лист1!K184),"",Лист1!K184)</f>
        <v>full-time</v>
      </c>
      <c r="L184" s="5" t="str">
        <f>IF(ISBLANK(Лист1!L184),"",Лист1!L184)</f>
        <v>21</v>
      </c>
      <c r="M184" s="5" t="str">
        <f>IF(ISBLANK(Лист1!M184),"",Лист1!M184)</f>
        <v>June</v>
      </c>
      <c r="N184" s="5" t="str">
        <f>IF(ISBLANK(Лист1!N184),"",Лист1!N184)</f>
        <v>21</v>
      </c>
      <c r="O184" s="5" t="str">
        <f>IF(ISBLANK(Лист1!O184),"",Лист1!O184)</f>
        <v>июня</v>
      </c>
      <c r="P184" s="5" t="str">
        <f>IF(ISBLANK(Лист1!P184),"",Лист1!P184)</f>
        <v>42</v>
      </c>
      <c r="Q184" s="5" t="str">
        <f>IF(ISBLANK(Лист1!Q184),"",Лист1!Q184)</f>
        <v>Узбекбаева  Балжанай  Жамбул қизи</v>
      </c>
      <c r="R184" s="5" t="str">
        <f>IF(ISBLANK(Лист1!R184),"",Лист1!R184)</f>
        <v>образования</v>
      </c>
      <c r="S184" s="5" t="str">
        <f>IF(ISBLANK(Лист1!S184),"",Лист1!S184)</f>
        <v>"6B01705 - Иностранный язык: два иностранных языка (английский)", В018-Подготовка учителей иностранного языка</v>
      </c>
      <c r="T184" s="5" t="str">
        <f>IF(ISBLANK(Лист1!T184),"",Лист1!T184)</f>
        <v>очное</v>
      </c>
      <c r="U184" s="5" t="str">
        <f>IF(ISBLANK(Лист1!U184),"",Лист1!U184)</f>
        <v/>
      </c>
      <c r="V184" s="5" t="str">
        <f>IF(ISBLANK(Лист1!V184),"",Лист1!V184)</f>
        <v>28</v>
      </c>
      <c r="W184" s="5" t="str">
        <f>IF(ISBLANK(Лист1!W184),"",Лист1!W184)</f>
        <v>маусым</v>
      </c>
      <c r="X184" s="5" t="str">
        <f>IF(ISBLANK(Лист1!X184),"",Лист1!X184)</f>
        <v>040415600578</v>
      </c>
      <c r="Y184" s="5" t="str">
        <f>IF(ISERROR(VLOOKUP($X184,Лист2!$A$2:$G$498,1,FALSE)),"",VLOOKUP($X184,Лист2!$A$2:$G$498,1,FALSE))</f>
        <v>040415600578</v>
      </c>
      <c r="Z184" s="5" t="str">
        <f>IF(ISERROR(VLOOKUP($X184,Лист2!$A$2:$L$498,9,FALSE)),"",VLOOKUP($X184,Лист2!$A$2:$L$498,9,FALSE))</f>
        <v>BD</v>
      </c>
      <c r="AA184" s="5" t="str">
        <f>IF(ISERROR(VLOOKUP($X184,Лист2!$A$2:$L$498,10,FALSE)),"",VLOOKUP($X184,Лист2!$A$2:$L$498,10,FALSE))</f>
        <v>00025677225</v>
      </c>
      <c r="AB184" s="5" t="str">
        <f>IF(ISERROR(VLOOKUP($X184,Лист2!$A$2:$M$498,13,FALSE)),"",VLOOKUP($X184,Лист2!$A$2:$M$498,13,FALSE))</f>
        <v>https://epvo.kz/#/verification_education_document?iin=040415600578&amp;diplomaSeries=BD&amp;diplomaNumber=00025677225</v>
      </c>
    </row>
    <row r="185" spans="1:28" x14ac:dyDescent="0.25">
      <c r="A185" s="5" t="str">
        <f>IF(ISBLANK(Лист1!A185),"",Лист1!A185)</f>
        <v>21</v>
      </c>
      <c r="B185" s="5" t="str">
        <f>IF(ISBLANK(Лист1!B185),"",Лист1!B185)</f>
        <v>маусымдағы</v>
      </c>
      <c r="C185" s="5" t="str">
        <f>IF(ISBLANK(Лист1!C185),"",Лист1!C185)</f>
        <v>92</v>
      </c>
      <c r="D185" s="5" t="str">
        <f>IF(ISBLANK(Лист1!D185),"",Лист1!D185)</f>
        <v>Узбекова  Нигора  Исламханқызына</v>
      </c>
      <c r="E185" s="5" t="str">
        <f>IF(ISBLANK(Лист1!E185),"",Лист1!E185)</f>
        <v>"6В01705 - Шетел тілі: екі шетел тілі (ағылшын)", В018-Шет тілі мұғалімдерін даярлау</v>
      </c>
      <c r="F185" s="5" t="str">
        <f>IF(ISBLANK(Лист1!F185),"",Лист1!F185)</f>
        <v>білім</v>
      </c>
      <c r="G185" s="5" t="str">
        <f>IF(ISBLANK(Лист1!G185),"",Лист1!G185)</f>
        <v>күндізгі</v>
      </c>
      <c r="H185" s="5" t="str">
        <f>IF(ISBLANK(Лист1!H185),"",Лист1!H185)</f>
        <v>Uzbekova  Nigora</v>
      </c>
      <c r="I185" s="5" t="str">
        <f>IF(ISBLANK(Лист1!I185),"",Лист1!I185)</f>
        <v>Education</v>
      </c>
      <c r="J185" s="5" t="str">
        <f>IF(ISBLANK(Лист1!J185),"",Лист1!J185)</f>
        <v>"6B01705 - Foreign language: two foreign languages (English)", B018-Training of foreign language teachers</v>
      </c>
      <c r="K185" s="5" t="str">
        <f>IF(ISBLANK(Лист1!K185),"",Лист1!K185)</f>
        <v>full-time</v>
      </c>
      <c r="L185" s="5" t="str">
        <f>IF(ISBLANK(Лист1!L185),"",Лист1!L185)</f>
        <v>21</v>
      </c>
      <c r="M185" s="5" t="str">
        <f>IF(ISBLANK(Лист1!M185),"",Лист1!M185)</f>
        <v>June</v>
      </c>
      <c r="N185" s="5" t="str">
        <f>IF(ISBLANK(Лист1!N185),"",Лист1!N185)</f>
        <v>21</v>
      </c>
      <c r="O185" s="5" t="str">
        <f>IF(ISBLANK(Лист1!O185),"",Лист1!O185)</f>
        <v>июня</v>
      </c>
      <c r="P185" s="5" t="str">
        <f>IF(ISBLANK(Лист1!P185),"",Лист1!P185)</f>
        <v>92</v>
      </c>
      <c r="Q185" s="5" t="str">
        <f>IF(ISBLANK(Лист1!Q185),"",Лист1!Q185)</f>
        <v>Узбекова  Нигора  Исламханқызы</v>
      </c>
      <c r="R185" s="5" t="str">
        <f>IF(ISBLANK(Лист1!R185),"",Лист1!R185)</f>
        <v>образования</v>
      </c>
      <c r="S185" s="5" t="str">
        <f>IF(ISBLANK(Лист1!S185),"",Лист1!S185)</f>
        <v>"6B01705 - Иностранный язык: два иностранных языка (английский)", В018-Подготовка учителей иностранного языка</v>
      </c>
      <c r="T185" s="5" t="str">
        <f>IF(ISBLANK(Лист1!T185),"",Лист1!T185)</f>
        <v>очное</v>
      </c>
      <c r="U185" s="5" t="str">
        <f>IF(ISBLANK(Лист1!U185),"",Лист1!U185)</f>
        <v/>
      </c>
      <c r="V185" s="5" t="str">
        <f>IF(ISBLANK(Лист1!V185),"",Лист1!V185)</f>
        <v>28</v>
      </c>
      <c r="W185" s="5" t="str">
        <f>IF(ISBLANK(Лист1!W185),"",Лист1!W185)</f>
        <v>маусым</v>
      </c>
      <c r="X185" s="5" t="str">
        <f>IF(ISBLANK(Лист1!X185),"",Лист1!X185)</f>
        <v>030606600752</v>
      </c>
      <c r="Y185" s="5" t="str">
        <f>IF(ISERROR(VLOOKUP($X185,Лист2!$A$2:$G$498,1,FALSE)),"",VLOOKUP($X185,Лист2!$A$2:$G$498,1,FALSE))</f>
        <v>030606600752</v>
      </c>
      <c r="Z185" s="5" t="str">
        <f>IF(ISERROR(VLOOKUP($X185,Лист2!$A$2:$L$498,9,FALSE)),"",VLOOKUP($X185,Лист2!$A$2:$L$498,9,FALSE))</f>
        <v>BD</v>
      </c>
      <c r="AA185" s="5" t="str">
        <f>IF(ISERROR(VLOOKUP($X185,Лист2!$A$2:$L$498,10,FALSE)),"",VLOOKUP($X185,Лист2!$A$2:$L$498,10,FALSE))</f>
        <v>00025677325</v>
      </c>
      <c r="AB185" s="5" t="str">
        <f>IF(ISERROR(VLOOKUP($X185,Лист2!$A$2:$M$498,13,FALSE)),"",VLOOKUP($X185,Лист2!$A$2:$M$498,13,FALSE))</f>
        <v>https://epvo.kz/#/verification_education_document?iin=030606600752&amp;diplomaSeries=BD&amp;diplomaNumber=00025677325</v>
      </c>
    </row>
    <row r="186" spans="1:28" x14ac:dyDescent="0.25">
      <c r="A186" s="5" t="str">
        <f>IF(ISBLANK(Лист1!A186),"",Лист1!A186)</f>
        <v>21</v>
      </c>
      <c r="B186" s="5" t="str">
        <f>IF(ISBLANK(Лист1!B186),"",Лист1!B186)</f>
        <v>маусымдағы</v>
      </c>
      <c r="C186" s="5" t="str">
        <f>IF(ISBLANK(Лист1!C186),"",Лист1!C186)</f>
        <v>93</v>
      </c>
      <c r="D186" s="5" t="str">
        <f>IF(ISBLANK(Лист1!D186),"",Лист1!D186)</f>
        <v>Умирбекова  Сабина  Бахтжановнаға</v>
      </c>
      <c r="E186" s="5" t="str">
        <f>IF(ISBLANK(Лист1!E186),"",Лист1!E186)</f>
        <v>"6В01705 - Шетел тілі: екі шетел тілі (ағылшын)", В018-Шет тілі мұғалімдерін даярлау</v>
      </c>
      <c r="F186" s="5" t="str">
        <f>IF(ISBLANK(Лист1!F186),"",Лист1!F186)</f>
        <v>білім</v>
      </c>
      <c r="G186" s="5" t="str">
        <f>IF(ISBLANK(Лист1!G186),"",Лист1!G186)</f>
        <v>күндізгі</v>
      </c>
      <c r="H186" s="5" t="str">
        <f>IF(ISBLANK(Лист1!H186),"",Лист1!H186)</f>
        <v>Umirbekova  Sabina</v>
      </c>
      <c r="I186" s="5" t="str">
        <f>IF(ISBLANK(Лист1!I186),"",Лист1!I186)</f>
        <v>Education</v>
      </c>
      <c r="J186" s="5" t="str">
        <f>IF(ISBLANK(Лист1!J186),"",Лист1!J186)</f>
        <v>"6B01705 - Foreign language: two foreign languages (English)", B018-Training of foreign language teachers</v>
      </c>
      <c r="K186" s="5" t="str">
        <f>IF(ISBLANK(Лист1!K186),"",Лист1!K186)</f>
        <v>full-time</v>
      </c>
      <c r="L186" s="5" t="str">
        <f>IF(ISBLANK(Лист1!L186),"",Лист1!L186)</f>
        <v>21</v>
      </c>
      <c r="M186" s="5" t="str">
        <f>IF(ISBLANK(Лист1!M186),"",Лист1!M186)</f>
        <v>June</v>
      </c>
      <c r="N186" s="5" t="str">
        <f>IF(ISBLANK(Лист1!N186),"",Лист1!N186)</f>
        <v>21</v>
      </c>
      <c r="O186" s="5" t="str">
        <f>IF(ISBLANK(Лист1!O186),"",Лист1!O186)</f>
        <v>июня</v>
      </c>
      <c r="P186" s="5" t="str">
        <f>IF(ISBLANK(Лист1!P186),"",Лист1!P186)</f>
        <v>93</v>
      </c>
      <c r="Q186" s="5" t="str">
        <f>IF(ISBLANK(Лист1!Q186),"",Лист1!Q186)</f>
        <v>Умирбековой  Сабине  Бахтжановне</v>
      </c>
      <c r="R186" s="5" t="str">
        <f>IF(ISBLANK(Лист1!R186),"",Лист1!R186)</f>
        <v>образования</v>
      </c>
      <c r="S186" s="5" t="str">
        <f>IF(ISBLANK(Лист1!S186),"",Лист1!S186)</f>
        <v>"6B01705 - Иностранный язык: два иностранных языка (английский)", В018-Подготовка учителей иностранного языка</v>
      </c>
      <c r="T186" s="5" t="str">
        <f>IF(ISBLANK(Лист1!T186),"",Лист1!T186)</f>
        <v>очное</v>
      </c>
      <c r="U186" s="5" t="str">
        <f>IF(ISBLANK(Лист1!U186),"",Лист1!U186)</f>
        <v/>
      </c>
      <c r="V186" s="5" t="str">
        <f>IF(ISBLANK(Лист1!V186),"",Лист1!V186)</f>
        <v>28</v>
      </c>
      <c r="W186" s="5" t="str">
        <f>IF(ISBLANK(Лист1!W186),"",Лист1!W186)</f>
        <v>маусым</v>
      </c>
      <c r="X186" s="5" t="str">
        <f>IF(ISBLANK(Лист1!X186),"",Лист1!X186)</f>
        <v>040530600922</v>
      </c>
      <c r="Y186" s="5" t="str">
        <f>IF(ISERROR(VLOOKUP($X186,Лист2!$A$2:$G$498,1,FALSE)),"",VLOOKUP($X186,Лист2!$A$2:$G$498,1,FALSE))</f>
        <v>040530600922</v>
      </c>
      <c r="Z186" s="5" t="str">
        <f>IF(ISERROR(VLOOKUP($X186,Лист2!$A$2:$L$498,9,FALSE)),"",VLOOKUP($X186,Лист2!$A$2:$L$498,9,FALSE))</f>
        <v>BD</v>
      </c>
      <c r="AA186" s="5" t="str">
        <f>IF(ISERROR(VLOOKUP($X186,Лист2!$A$2:$L$498,10,FALSE)),"",VLOOKUP($X186,Лист2!$A$2:$L$498,10,FALSE))</f>
        <v>00025677425</v>
      </c>
      <c r="AB186" s="5" t="str">
        <f>IF(ISERROR(VLOOKUP($X186,Лист2!$A$2:$M$498,13,FALSE)),"",VLOOKUP($X186,Лист2!$A$2:$M$498,13,FALSE))</f>
        <v>https://epvo.kz/#/verification_education_document?iin=040530600922&amp;diplomaSeries=BD&amp;diplomaNumber=00025677425</v>
      </c>
    </row>
    <row r="187" spans="1:28" x14ac:dyDescent="0.25">
      <c r="A187" s="5" t="str">
        <f>IF(ISBLANK(Лист1!A187),"",Лист1!A187)</f>
        <v>21</v>
      </c>
      <c r="B187" s="5" t="str">
        <f>IF(ISBLANK(Лист1!B187),"",Лист1!B187)</f>
        <v>маусымдағы</v>
      </c>
      <c r="C187" s="5" t="str">
        <f>IF(ISBLANK(Лист1!C187),"",Лист1!C187)</f>
        <v>44</v>
      </c>
      <c r="D187" s="5" t="str">
        <f>IF(ISBLANK(Лист1!D187),"",Лист1!D187)</f>
        <v>Уролова  Мухлиса  Баходир кизина</v>
      </c>
      <c r="E187" s="5" t="str">
        <f>IF(ISBLANK(Лист1!E187),"",Лист1!E187)</f>
        <v>"6В01705 - Шетел тілі: екі шетел тілі (ағылшын)", В018-Шет тілі мұғалімдерін даярлау</v>
      </c>
      <c r="F187" s="5" t="str">
        <f>IF(ISBLANK(Лист1!F187),"",Лист1!F187)</f>
        <v>білім</v>
      </c>
      <c r="G187" s="5" t="str">
        <f>IF(ISBLANK(Лист1!G187),"",Лист1!G187)</f>
        <v>күндізгі</v>
      </c>
      <c r="H187" s="5" t="str">
        <f>IF(ISBLANK(Лист1!H187),"",Лист1!H187)</f>
        <v>Uralova  Mukhlissa</v>
      </c>
      <c r="I187" s="5" t="str">
        <f>IF(ISBLANK(Лист1!I187),"",Лист1!I187)</f>
        <v>Education</v>
      </c>
      <c r="J187" s="5" t="str">
        <f>IF(ISBLANK(Лист1!J187),"",Лист1!J187)</f>
        <v>"6B01705 - Foreign language: two foreign languages (English)", B018-Training of foreign language teachers</v>
      </c>
      <c r="K187" s="5" t="str">
        <f>IF(ISBLANK(Лист1!K187),"",Лист1!K187)</f>
        <v>full-time</v>
      </c>
      <c r="L187" s="5" t="str">
        <f>IF(ISBLANK(Лист1!L187),"",Лист1!L187)</f>
        <v>21</v>
      </c>
      <c r="M187" s="5" t="str">
        <f>IF(ISBLANK(Лист1!M187),"",Лист1!M187)</f>
        <v>June</v>
      </c>
      <c r="N187" s="5" t="str">
        <f>IF(ISBLANK(Лист1!N187),"",Лист1!N187)</f>
        <v>21</v>
      </c>
      <c r="O187" s="5" t="str">
        <f>IF(ISBLANK(Лист1!O187),"",Лист1!O187)</f>
        <v>июня</v>
      </c>
      <c r="P187" s="5" t="str">
        <f>IF(ISBLANK(Лист1!P187),"",Лист1!P187)</f>
        <v>44</v>
      </c>
      <c r="Q187" s="5" t="str">
        <f>IF(ISBLANK(Лист1!Q187),"",Лист1!Q187)</f>
        <v>Уроловой  Мухлисе  Баходир кизи</v>
      </c>
      <c r="R187" s="5" t="str">
        <f>IF(ISBLANK(Лист1!R187),"",Лист1!R187)</f>
        <v>образования</v>
      </c>
      <c r="S187" s="5" t="str">
        <f>IF(ISBLANK(Лист1!S187),"",Лист1!S187)</f>
        <v>"6B01705 - Иностранный язык: два иностранных языка (английский)", В018-Подготовка учителей иностранного языка</v>
      </c>
      <c r="T187" s="5" t="str">
        <f>IF(ISBLANK(Лист1!T187),"",Лист1!T187)</f>
        <v>очное</v>
      </c>
      <c r="U187" s="5" t="str">
        <f>IF(ISBLANK(Лист1!U187),"",Лист1!U187)</f>
        <v/>
      </c>
      <c r="V187" s="5" t="str">
        <f>IF(ISBLANK(Лист1!V187),"",Лист1!V187)</f>
        <v>28</v>
      </c>
      <c r="W187" s="5" t="str">
        <f>IF(ISBLANK(Лист1!W187),"",Лист1!W187)</f>
        <v>маусым</v>
      </c>
      <c r="X187" s="5" t="str">
        <f>IF(ISBLANK(Лист1!X187),"",Лист1!X187)</f>
        <v>040508600682</v>
      </c>
      <c r="Y187" s="5" t="str">
        <f>IF(ISERROR(VLOOKUP($X187,Лист2!$A$2:$G$498,1,FALSE)),"",VLOOKUP($X187,Лист2!$A$2:$G$498,1,FALSE))</f>
        <v>040508600682</v>
      </c>
      <c r="Z187" s="5" t="str">
        <f>IF(ISERROR(VLOOKUP($X187,Лист2!$A$2:$L$498,9,FALSE)),"",VLOOKUP($X187,Лист2!$A$2:$L$498,9,FALSE))</f>
        <v>BD</v>
      </c>
      <c r="AA187" s="5" t="str">
        <f>IF(ISERROR(VLOOKUP($X187,Лист2!$A$2:$L$498,10,FALSE)),"",VLOOKUP($X187,Лист2!$A$2:$L$498,10,FALSE))</f>
        <v>00025677525</v>
      </c>
      <c r="AB187" s="5" t="str">
        <f>IF(ISERROR(VLOOKUP($X187,Лист2!$A$2:$M$498,13,FALSE)),"",VLOOKUP($X187,Лист2!$A$2:$M$498,13,FALSE))</f>
        <v>https://epvo.kz/#/verification_education_document?iin=040508600682&amp;diplomaSeries=BD&amp;diplomaNumber=00025677525</v>
      </c>
    </row>
    <row r="188" spans="1:28" x14ac:dyDescent="0.25">
      <c r="A188" s="5" t="str">
        <f>IF(ISBLANK(Лист1!A188),"",Лист1!A188)</f>
        <v>21</v>
      </c>
      <c r="B188" s="5" t="str">
        <f>IF(ISBLANK(Лист1!B188),"",Лист1!B188)</f>
        <v>маусымдағы</v>
      </c>
      <c r="C188" s="5" t="str">
        <f>IF(ISBLANK(Лист1!C188),"",Лист1!C188)</f>
        <v>112</v>
      </c>
      <c r="D188" s="5" t="str">
        <f>IF(ISBLANK(Лист1!D188),"",Лист1!D188)</f>
        <v>Үшкемпіров  Әкімжан  Маратұлына</v>
      </c>
      <c r="E188" s="5" t="str">
        <f>IF(ISBLANK(Лист1!E188),"",Лист1!E188)</f>
        <v>"6В01705 - Шетел тілі: екі шетел тілі (ағылшын)", В018-Шет тілі мұғалімдерін даярлау</v>
      </c>
      <c r="F188" s="5" t="str">
        <f>IF(ISBLANK(Лист1!F188),"",Лист1!F188)</f>
        <v>білім</v>
      </c>
      <c r="G188" s="5" t="str">
        <f>IF(ISBLANK(Лист1!G188),"",Лист1!G188)</f>
        <v>күндізгі</v>
      </c>
      <c r="H188" s="5" t="str">
        <f>IF(ISBLANK(Лист1!H188),"",Лист1!H188)</f>
        <v>Ushkempirov  Akimzhan</v>
      </c>
      <c r="I188" s="5" t="str">
        <f>IF(ISBLANK(Лист1!I188),"",Лист1!I188)</f>
        <v>Education</v>
      </c>
      <c r="J188" s="5" t="str">
        <f>IF(ISBLANK(Лист1!J188),"",Лист1!J188)</f>
        <v>"6B01705 - Foreign language: two foreign languages (English)", B018-Training of foreign language teachers</v>
      </c>
      <c r="K188" s="5" t="str">
        <f>IF(ISBLANK(Лист1!K188),"",Лист1!K188)</f>
        <v>full-time</v>
      </c>
      <c r="L188" s="5" t="str">
        <f>IF(ISBLANK(Лист1!L188),"",Лист1!L188)</f>
        <v>21</v>
      </c>
      <c r="M188" s="5" t="str">
        <f>IF(ISBLANK(Лист1!M188),"",Лист1!M188)</f>
        <v>June</v>
      </c>
      <c r="N188" s="5" t="str">
        <f>IF(ISBLANK(Лист1!N188),"",Лист1!N188)</f>
        <v>21</v>
      </c>
      <c r="O188" s="5" t="str">
        <f>IF(ISBLANK(Лист1!O188),"",Лист1!O188)</f>
        <v>июня</v>
      </c>
      <c r="P188" s="5" t="str">
        <f>IF(ISBLANK(Лист1!P188),"",Лист1!P188)</f>
        <v>112</v>
      </c>
      <c r="Q188" s="5" t="str">
        <f>IF(ISBLANK(Лист1!Q188),"",Лист1!Q188)</f>
        <v>Үшкемпіров  Әкімжан  Маратұлы</v>
      </c>
      <c r="R188" s="5" t="str">
        <f>IF(ISBLANK(Лист1!R188),"",Лист1!R188)</f>
        <v>образования</v>
      </c>
      <c r="S188" s="5" t="str">
        <f>IF(ISBLANK(Лист1!S188),"",Лист1!S188)</f>
        <v>"6B01705 - Иностранный язык: два иностранных языка (английский)", В018-Подготовка учителей иностранного языка</v>
      </c>
      <c r="T188" s="5" t="str">
        <f>IF(ISBLANK(Лист1!T188),"",Лист1!T188)</f>
        <v>очное</v>
      </c>
      <c r="U188" s="5" t="str">
        <f>IF(ISBLANK(Лист1!U188),"",Лист1!U188)</f>
        <v/>
      </c>
      <c r="V188" s="5" t="str">
        <f>IF(ISBLANK(Лист1!V188),"",Лист1!V188)</f>
        <v>28</v>
      </c>
      <c r="W188" s="5" t="str">
        <f>IF(ISBLANK(Лист1!W188),"",Лист1!W188)</f>
        <v>маусым</v>
      </c>
      <c r="X188" s="5" t="str">
        <f>IF(ISBLANK(Лист1!X188),"",Лист1!X188)</f>
        <v>030825500777</v>
      </c>
      <c r="Y188" s="5" t="str">
        <f>IF(ISERROR(VLOOKUP($X188,Лист2!$A$2:$G$498,1,FALSE)),"",VLOOKUP($X188,Лист2!$A$2:$G$498,1,FALSE))</f>
        <v>030825500777</v>
      </c>
      <c r="Z188" s="5" t="str">
        <f>IF(ISERROR(VLOOKUP($X188,Лист2!$A$2:$L$498,9,FALSE)),"",VLOOKUP($X188,Лист2!$A$2:$L$498,9,FALSE))</f>
        <v>BD</v>
      </c>
      <c r="AA188" s="5" t="str">
        <f>IF(ISERROR(VLOOKUP($X188,Лист2!$A$2:$L$498,10,FALSE)),"",VLOOKUP($X188,Лист2!$A$2:$L$498,10,FALSE))</f>
        <v>00025677625</v>
      </c>
      <c r="AB188" s="5" t="str">
        <f>IF(ISERROR(VLOOKUP($X188,Лист2!$A$2:$M$498,13,FALSE)),"",VLOOKUP($X188,Лист2!$A$2:$M$498,13,FALSE))</f>
        <v>https://epvo.kz/#/verification_education_document?iin=030825500777&amp;diplomaSeries=BD&amp;diplomaNumber=00025677625</v>
      </c>
    </row>
    <row r="189" spans="1:28" x14ac:dyDescent="0.25">
      <c r="A189" s="5" t="str">
        <f>IF(ISBLANK(Лист1!A189),"",Лист1!A189)</f>
        <v>21</v>
      </c>
      <c r="B189" s="5" t="str">
        <f>IF(ISBLANK(Лист1!B189),"",Лист1!B189)</f>
        <v>маусымдағы</v>
      </c>
      <c r="C189" s="5" t="str">
        <f>IF(ISBLANK(Лист1!C189),"",Лист1!C189)</f>
        <v>27</v>
      </c>
      <c r="D189" s="5" t="str">
        <f>IF(ISBLANK(Лист1!D189),"",Лист1!D189)</f>
        <v>Фрибус  Виктор  Алексеевичке</v>
      </c>
      <c r="E189" s="5" t="str">
        <f>IF(ISBLANK(Лист1!E189),"",Лист1!E189)</f>
        <v>"6В01705 - Шетел тілі: екі шетел тілі (ағылшын)", В018-Шет тілі мұғалімдерін даярлау</v>
      </c>
      <c r="F189" s="5" t="str">
        <f>IF(ISBLANK(Лист1!F189),"",Лист1!F189)</f>
        <v>білім</v>
      </c>
      <c r="G189" s="5" t="str">
        <f>IF(ISBLANK(Лист1!G189),"",Лист1!G189)</f>
        <v>күндізгі</v>
      </c>
      <c r="H189" s="5" t="str">
        <f>IF(ISBLANK(Лист1!H189),"",Лист1!H189)</f>
        <v>Fribus  Viktor</v>
      </c>
      <c r="I189" s="5" t="str">
        <f>IF(ISBLANK(Лист1!I189),"",Лист1!I189)</f>
        <v>Education</v>
      </c>
      <c r="J189" s="5" t="str">
        <f>IF(ISBLANK(Лист1!J189),"",Лист1!J189)</f>
        <v>"6B01705 - Foreign language: two foreign languages (English)", B018-Training of foreign language teachers</v>
      </c>
      <c r="K189" s="5" t="str">
        <f>IF(ISBLANK(Лист1!K189),"",Лист1!K189)</f>
        <v>full-time</v>
      </c>
      <c r="L189" s="5" t="str">
        <f>IF(ISBLANK(Лист1!L189),"",Лист1!L189)</f>
        <v>21</v>
      </c>
      <c r="M189" s="5" t="str">
        <f>IF(ISBLANK(Лист1!M189),"",Лист1!M189)</f>
        <v>June</v>
      </c>
      <c r="N189" s="5" t="str">
        <f>IF(ISBLANK(Лист1!N189),"",Лист1!N189)</f>
        <v>21</v>
      </c>
      <c r="O189" s="5" t="str">
        <f>IF(ISBLANK(Лист1!O189),"",Лист1!O189)</f>
        <v>июня</v>
      </c>
      <c r="P189" s="5" t="str">
        <f>IF(ISBLANK(Лист1!P189),"",Лист1!P189)</f>
        <v>27</v>
      </c>
      <c r="Q189" s="5" t="str">
        <f>IF(ISBLANK(Лист1!Q189),"",Лист1!Q189)</f>
        <v>Фрибус  Виктору  Алексеевичу</v>
      </c>
      <c r="R189" s="5" t="str">
        <f>IF(ISBLANK(Лист1!R189),"",Лист1!R189)</f>
        <v>образования</v>
      </c>
      <c r="S189" s="5" t="str">
        <f>IF(ISBLANK(Лист1!S189),"",Лист1!S189)</f>
        <v>"6B01705 - Иностранный язык: два иностранных языка (английский)", В018-Подготовка учителей иностранного языка</v>
      </c>
      <c r="T189" s="5" t="str">
        <f>IF(ISBLANK(Лист1!T189),"",Лист1!T189)</f>
        <v>очное</v>
      </c>
      <c r="U189" s="5" t="str">
        <f>IF(ISBLANK(Лист1!U189),"",Лист1!U189)</f>
        <v/>
      </c>
      <c r="V189" s="5" t="str">
        <f>IF(ISBLANK(Лист1!V189),"",Лист1!V189)</f>
        <v>28</v>
      </c>
      <c r="W189" s="5" t="str">
        <f>IF(ISBLANK(Лист1!W189),"",Лист1!W189)</f>
        <v>маусым</v>
      </c>
      <c r="X189" s="5" t="str">
        <f>IF(ISBLANK(Лист1!X189),"",Лист1!X189)</f>
        <v>960703352023</v>
      </c>
      <c r="Y189" s="5" t="str">
        <f>IF(ISERROR(VLOOKUP($X189,Лист2!$A$2:$G$498,1,FALSE)),"",VLOOKUP($X189,Лист2!$A$2:$G$498,1,FALSE))</f>
        <v>960703352023</v>
      </c>
      <c r="Z189" s="5" t="str">
        <f>IF(ISERROR(VLOOKUP($X189,Лист2!$A$2:$L$498,9,FALSE)),"",VLOOKUP($X189,Лист2!$A$2:$L$498,9,FALSE))</f>
        <v>BD</v>
      </c>
      <c r="AA189" s="5" t="str">
        <f>IF(ISERROR(VLOOKUP($X189,Лист2!$A$2:$L$498,10,FALSE)),"",VLOOKUP($X189,Лист2!$A$2:$L$498,10,FALSE))</f>
        <v>00025677825</v>
      </c>
      <c r="AB189" s="5" t="str">
        <f>IF(ISERROR(VLOOKUP($X189,Лист2!$A$2:$M$498,13,FALSE)),"",VLOOKUP($X189,Лист2!$A$2:$M$498,13,FALSE))</f>
        <v>https://epvo.kz/#/verification_education_document?iin=960703352023&amp;diplomaSeries=BD&amp;diplomaNumber=00025677825</v>
      </c>
    </row>
    <row r="190" spans="1:28" x14ac:dyDescent="0.25">
      <c r="A190" s="5" t="str">
        <f>IF(ISBLANK(Лист1!A190),"",Лист1!A190)</f>
        <v>21</v>
      </c>
      <c r="B190" s="5" t="str">
        <f>IF(ISBLANK(Лист1!B190),"",Лист1!B190)</f>
        <v>маусымдағы</v>
      </c>
      <c r="C190" s="5" t="str">
        <f>IF(ISBLANK(Лист1!C190),"",Лист1!C190)</f>
        <v>260</v>
      </c>
      <c r="D190" s="5" t="str">
        <f>IF(ISBLANK(Лист1!D190),"",Лист1!D190)</f>
        <v>Хамитова  Дарига  Алибековнаға</v>
      </c>
      <c r="E190" s="5" t="str">
        <f>IF(ISBLANK(Лист1!E190),"",Лист1!E190)</f>
        <v>"6В01705 - Шетел тілі: екі шетел тілі (ағылшын)", В018-Шет тілі мұғалімдерін даярлау</v>
      </c>
      <c r="F190" s="5" t="str">
        <f>IF(ISBLANK(Лист1!F190),"",Лист1!F190)</f>
        <v>білім</v>
      </c>
      <c r="G190" s="5" t="str">
        <f>IF(ISBLANK(Лист1!G190),"",Лист1!G190)</f>
        <v>күндізгі</v>
      </c>
      <c r="H190" s="5" t="str">
        <f>IF(ISBLANK(Лист1!H190),"",Лист1!H190)</f>
        <v>Khamitova  Dariga</v>
      </c>
      <c r="I190" s="5" t="str">
        <f>IF(ISBLANK(Лист1!I190),"",Лист1!I190)</f>
        <v>Education</v>
      </c>
      <c r="J190" s="5" t="str">
        <f>IF(ISBLANK(Лист1!J190),"",Лист1!J190)</f>
        <v>"6B01705 - Foreign language: two foreign languages (English)", B018-Training of foreign language teachers</v>
      </c>
      <c r="K190" s="5" t="str">
        <f>IF(ISBLANK(Лист1!K190),"",Лист1!K190)</f>
        <v>full-time</v>
      </c>
      <c r="L190" s="5" t="str">
        <f>IF(ISBLANK(Лист1!L190),"",Лист1!L190)</f>
        <v>21</v>
      </c>
      <c r="M190" s="5" t="str">
        <f>IF(ISBLANK(Лист1!M190),"",Лист1!M190)</f>
        <v>June</v>
      </c>
      <c r="N190" s="5" t="str">
        <f>IF(ISBLANK(Лист1!N190),"",Лист1!N190)</f>
        <v>21</v>
      </c>
      <c r="O190" s="5" t="str">
        <f>IF(ISBLANK(Лист1!O190),"",Лист1!O190)</f>
        <v>июня</v>
      </c>
      <c r="P190" s="5" t="str">
        <f>IF(ISBLANK(Лист1!P190),"",Лист1!P190)</f>
        <v>260</v>
      </c>
      <c r="Q190" s="5" t="str">
        <f>IF(ISBLANK(Лист1!Q190),"",Лист1!Q190)</f>
        <v>Хамитовой  Дариге  Алибековне</v>
      </c>
      <c r="R190" s="5" t="str">
        <f>IF(ISBLANK(Лист1!R190),"",Лист1!R190)</f>
        <v>образования</v>
      </c>
      <c r="S190" s="5" t="str">
        <f>IF(ISBLANK(Лист1!S190),"",Лист1!S190)</f>
        <v>"6B01705 - Иностранный язык: два иностранных языка (английский)", В018-Подготовка учителей иностранного языка</v>
      </c>
      <c r="T190" s="5" t="str">
        <f>IF(ISBLANK(Лист1!T190),"",Лист1!T190)</f>
        <v>очное</v>
      </c>
      <c r="U190" s="5" t="str">
        <f>IF(ISBLANK(Лист1!U190),"",Лист1!U190)</f>
        <v/>
      </c>
      <c r="V190" s="5" t="str">
        <f>IF(ISBLANK(Лист1!V190),"",Лист1!V190)</f>
        <v>28</v>
      </c>
      <c r="W190" s="5" t="str">
        <f>IF(ISBLANK(Лист1!W190),"",Лист1!W190)</f>
        <v>маусым</v>
      </c>
      <c r="X190" s="5" t="str">
        <f>IF(ISBLANK(Лист1!X190),"",Лист1!X190)</f>
        <v>041017650583</v>
      </c>
      <c r="Y190" s="5" t="str">
        <f>IF(ISERROR(VLOOKUP($X190,Лист2!$A$2:$G$498,1,FALSE)),"",VLOOKUP($X190,Лист2!$A$2:$G$498,1,FALSE))</f>
        <v>041017650583</v>
      </c>
      <c r="Z190" s="5" t="str">
        <f>IF(ISERROR(VLOOKUP($X190,Лист2!$A$2:$L$498,9,FALSE)),"",VLOOKUP($X190,Лист2!$A$2:$L$498,9,FALSE))</f>
        <v>BD</v>
      </c>
      <c r="AA190" s="5" t="str">
        <f>IF(ISERROR(VLOOKUP($X190,Лист2!$A$2:$L$498,10,FALSE)),"",VLOOKUP($X190,Лист2!$A$2:$L$498,10,FALSE))</f>
        <v>00025677925</v>
      </c>
      <c r="AB190" s="5" t="str">
        <f>IF(ISERROR(VLOOKUP($X190,Лист2!$A$2:$M$498,13,FALSE)),"",VLOOKUP($X190,Лист2!$A$2:$M$498,13,FALSE))</f>
        <v>https://epvo.kz/#/verification_education_document?iin=041017650583&amp;diplomaSeries=BD&amp;diplomaNumber=00025677925</v>
      </c>
    </row>
    <row r="191" spans="1:28" x14ac:dyDescent="0.25">
      <c r="A191" s="5" t="str">
        <f>IF(ISBLANK(Лист1!A191),"",Лист1!A191)</f>
        <v>21</v>
      </c>
      <c r="B191" s="5" t="str">
        <f>IF(ISBLANK(Лист1!B191),"",Лист1!B191)</f>
        <v>маусымдағы</v>
      </c>
      <c r="C191" s="5" t="str">
        <f>IF(ISBLANK(Лист1!C191),"",Лист1!C191)</f>
        <v>271</v>
      </c>
      <c r="D191" s="5" t="str">
        <f>IF(ISBLANK(Лист1!D191),"",Лист1!D191)</f>
        <v>Хыдырбаева  Айнұр  Жарылғапқызына</v>
      </c>
      <c r="E191" s="5" t="str">
        <f>IF(ISBLANK(Лист1!E191),"",Лист1!E191)</f>
        <v>"6В01705 - Шетел тілі: екі шетел тілі (ағылшын)", В018-Шет тілі мұғалімдерін даярлау</v>
      </c>
      <c r="F191" s="5" t="str">
        <f>IF(ISBLANK(Лист1!F191),"",Лист1!F191)</f>
        <v>білім</v>
      </c>
      <c r="G191" s="5" t="str">
        <f>IF(ISBLANK(Лист1!G191),"",Лист1!G191)</f>
        <v>күндізгі</v>
      </c>
      <c r="H191" s="5" t="str">
        <f>IF(ISBLANK(Лист1!H191),"",Лист1!H191)</f>
        <v>Khydyrbayeva  Ainur</v>
      </c>
      <c r="I191" s="5" t="str">
        <f>IF(ISBLANK(Лист1!I191),"",Лист1!I191)</f>
        <v>Education</v>
      </c>
      <c r="J191" s="5" t="str">
        <f>IF(ISBLANK(Лист1!J191),"",Лист1!J191)</f>
        <v>"6B01705 - Foreign language: two foreign languages (English)", B018-Training of foreign language teachers</v>
      </c>
      <c r="K191" s="5" t="str">
        <f>IF(ISBLANK(Лист1!K191),"",Лист1!K191)</f>
        <v>full-time</v>
      </c>
      <c r="L191" s="5" t="str">
        <f>IF(ISBLANK(Лист1!L191),"",Лист1!L191)</f>
        <v>21</v>
      </c>
      <c r="M191" s="5" t="str">
        <f>IF(ISBLANK(Лист1!M191),"",Лист1!M191)</f>
        <v>June</v>
      </c>
      <c r="N191" s="5" t="str">
        <f>IF(ISBLANK(Лист1!N191),"",Лист1!N191)</f>
        <v>21</v>
      </c>
      <c r="O191" s="5" t="str">
        <f>IF(ISBLANK(Лист1!O191),"",Лист1!O191)</f>
        <v>июня</v>
      </c>
      <c r="P191" s="5" t="str">
        <f>IF(ISBLANK(Лист1!P191),"",Лист1!P191)</f>
        <v>271</v>
      </c>
      <c r="Q191" s="5" t="str">
        <f>IF(ISBLANK(Лист1!Q191),"",Лист1!Q191)</f>
        <v>Хыдырбаева  Айнұр  Жарылғапқызы</v>
      </c>
      <c r="R191" s="5" t="str">
        <f>IF(ISBLANK(Лист1!R191),"",Лист1!R191)</f>
        <v>образования</v>
      </c>
      <c r="S191" s="5" t="str">
        <f>IF(ISBLANK(Лист1!S191),"",Лист1!S191)</f>
        <v>"6B01705 - Иностранный язык: два иностранных языка (английский)", В018-Подготовка учителей иностранного языка</v>
      </c>
      <c r="T191" s="5" t="str">
        <f>IF(ISBLANK(Лист1!T191),"",Лист1!T191)</f>
        <v>очное</v>
      </c>
      <c r="U191" s="5" t="str">
        <f>IF(ISBLANK(Лист1!U191),"",Лист1!U191)</f>
        <v/>
      </c>
      <c r="V191" s="5" t="str">
        <f>IF(ISBLANK(Лист1!V191),"",Лист1!V191)</f>
        <v>28</v>
      </c>
      <c r="W191" s="5" t="str">
        <f>IF(ISBLANK(Лист1!W191),"",Лист1!W191)</f>
        <v>маусым</v>
      </c>
      <c r="X191" s="5" t="str">
        <f>IF(ISBLANK(Лист1!X191),"",Лист1!X191)</f>
        <v>040322650935</v>
      </c>
      <c r="Y191" s="5" t="str">
        <f>IF(ISERROR(VLOOKUP($X191,Лист2!$A$2:$G$498,1,FALSE)),"",VLOOKUP($X191,Лист2!$A$2:$G$498,1,FALSE))</f>
        <v>040322650935</v>
      </c>
      <c r="Z191" s="5" t="str">
        <f>IF(ISERROR(VLOOKUP($X191,Лист2!$A$2:$L$498,9,FALSE)),"",VLOOKUP($X191,Лист2!$A$2:$L$498,9,FALSE))</f>
        <v>BD</v>
      </c>
      <c r="AA191" s="5" t="str">
        <f>IF(ISERROR(VLOOKUP($X191,Лист2!$A$2:$L$498,10,FALSE)),"",VLOOKUP($X191,Лист2!$A$2:$L$498,10,FALSE))</f>
        <v>00025679925</v>
      </c>
      <c r="AB191" s="5" t="str">
        <f>IF(ISERROR(VLOOKUP($X191,Лист2!$A$2:$M$498,13,FALSE)),"",VLOOKUP($X191,Лист2!$A$2:$M$498,13,FALSE))</f>
        <v>https://epvo.kz/#/verification_education_document?iin=040322650935&amp;diplomaSeries=BD&amp;diplomaNumber=00025679925</v>
      </c>
    </row>
    <row r="192" spans="1:28" x14ac:dyDescent="0.25">
      <c r="A192" s="5" t="str">
        <f>IF(ISBLANK(Лист1!A192),"",Лист1!A192)</f>
        <v>21</v>
      </c>
      <c r="B192" s="5" t="str">
        <f>IF(ISBLANK(Лист1!B192),"",Лист1!B192)</f>
        <v>маусымдағы</v>
      </c>
      <c r="C192" s="5" t="str">
        <f>IF(ISBLANK(Лист1!C192),"",Лист1!C192)</f>
        <v>272</v>
      </c>
      <c r="D192" s="5" t="str">
        <f>IF(ISBLANK(Лист1!D192),"",Лист1!D192)</f>
        <v>Шайдарова  Алина  Мейіржанқызы</v>
      </c>
      <c r="E192" s="5" t="str">
        <f>IF(ISBLANK(Лист1!E192),"",Лист1!E192)</f>
        <v>"6В01705 - Шетел тілі: екі шетел тілі (ағылшын)", В018-Шет тілі мұғалімдерін даярлау</v>
      </c>
      <c r="F192" s="5" t="str">
        <f>IF(ISBLANK(Лист1!F192),"",Лист1!F192)</f>
        <v>білім</v>
      </c>
      <c r="G192" s="5" t="str">
        <f>IF(ISBLANK(Лист1!G192),"",Лист1!G192)</f>
        <v>күндізгі</v>
      </c>
      <c r="H192" s="5" t="str">
        <f>IF(ISBLANK(Лист1!H192),"",Лист1!H192)</f>
        <v>Shaidarova  Alina</v>
      </c>
      <c r="I192" s="5" t="str">
        <f>IF(ISBLANK(Лист1!I192),"",Лист1!I192)</f>
        <v>Education</v>
      </c>
      <c r="J192" s="5" t="str">
        <f>IF(ISBLANK(Лист1!J192),"",Лист1!J192)</f>
        <v>"6B01705 - Foreign language: two foreign languages (English)", B018-Training of foreign language teachers</v>
      </c>
      <c r="K192" s="5" t="str">
        <f>IF(ISBLANK(Лист1!K192),"",Лист1!K192)</f>
        <v>full-time</v>
      </c>
      <c r="L192" s="5" t="str">
        <f>IF(ISBLANK(Лист1!L192),"",Лист1!L192)</f>
        <v>21</v>
      </c>
      <c r="M192" s="5" t="str">
        <f>IF(ISBLANK(Лист1!M192),"",Лист1!M192)</f>
        <v>June</v>
      </c>
      <c r="N192" s="5" t="str">
        <f>IF(ISBLANK(Лист1!N192),"",Лист1!N192)</f>
        <v>21</v>
      </c>
      <c r="O192" s="5" t="str">
        <f>IF(ISBLANK(Лист1!O192),"",Лист1!O192)</f>
        <v>июня</v>
      </c>
      <c r="P192" s="5" t="str">
        <f>IF(ISBLANK(Лист1!P192),"",Лист1!P192)</f>
        <v>272</v>
      </c>
      <c r="Q192" s="5" t="str">
        <f>IF(ISBLANK(Лист1!Q192),"",Лист1!Q192)</f>
        <v>Шайдарова  Алина  Мейіржанқызы</v>
      </c>
      <c r="R192" s="5" t="str">
        <f>IF(ISBLANK(Лист1!R192),"",Лист1!R192)</f>
        <v>образования</v>
      </c>
      <c r="S192" s="5" t="str">
        <f>IF(ISBLANK(Лист1!S192),"",Лист1!S192)</f>
        <v>"6B01705 - Иностранный язык: два иностранных языка (английский)", В018-Подготовка учителей иностранного языка</v>
      </c>
      <c r="T192" s="5" t="str">
        <f>IF(ISBLANK(Лист1!T192),"",Лист1!T192)</f>
        <v>очное</v>
      </c>
      <c r="U192" s="5" t="str">
        <f>IF(ISBLANK(Лист1!U192),"",Лист1!U192)</f>
        <v/>
      </c>
      <c r="V192" s="5" t="str">
        <f>IF(ISBLANK(Лист1!V192),"",Лист1!V192)</f>
        <v>28</v>
      </c>
      <c r="W192" s="5" t="str">
        <f>IF(ISBLANK(Лист1!W192),"",Лист1!W192)</f>
        <v>маусым</v>
      </c>
      <c r="X192" s="5" t="str">
        <f>IF(ISBLANK(Лист1!X192),"",Лист1!X192)</f>
        <v>041008650306</v>
      </c>
      <c r="Y192" s="5" t="str">
        <f>IF(ISERROR(VLOOKUP($X192,Лист2!$A$2:$G$498,1,FALSE)),"",VLOOKUP($X192,Лист2!$A$2:$G$498,1,FALSE))</f>
        <v>041008650306</v>
      </c>
      <c r="Z192" s="5" t="str">
        <f>IF(ISERROR(VLOOKUP($X192,Лист2!$A$2:$L$498,9,FALSE)),"",VLOOKUP($X192,Лист2!$A$2:$L$498,9,FALSE))</f>
        <v>BD</v>
      </c>
      <c r="AA192" s="5" t="str">
        <f>IF(ISERROR(VLOOKUP($X192,Лист2!$A$2:$L$498,10,FALSE)),"",VLOOKUP($X192,Лист2!$A$2:$L$498,10,FALSE))</f>
        <v>00025680025</v>
      </c>
      <c r="AB192" s="5" t="str">
        <f>IF(ISERROR(VLOOKUP($X192,Лист2!$A$2:$M$498,13,FALSE)),"",VLOOKUP($X192,Лист2!$A$2:$M$498,13,FALSE))</f>
        <v>https://epvo.kz/#/verification_education_document?iin=041008650306&amp;diplomaSeries=BD&amp;diplomaNumber=00025680025</v>
      </c>
    </row>
    <row r="193" spans="1:28" x14ac:dyDescent="0.25">
      <c r="A193" s="5" t="str">
        <f>IF(ISBLANK(Лист1!A193),"",Лист1!A193)</f>
        <v>21</v>
      </c>
      <c r="B193" s="5" t="str">
        <f>IF(ISBLANK(Лист1!B193),"",Лист1!B193)</f>
        <v>маусымдағы</v>
      </c>
      <c r="C193" s="5" t="str">
        <f>IF(ISBLANK(Лист1!C193),"",Лист1!C193)</f>
        <v>273</v>
      </c>
      <c r="D193" s="5" t="str">
        <f>IF(ISBLANK(Лист1!D193),"",Лист1!D193)</f>
        <v>Шамуратова  Ақниет  Аманжолқызына</v>
      </c>
      <c r="E193" s="5" t="str">
        <f>IF(ISBLANK(Лист1!E193),"",Лист1!E193)</f>
        <v>"6В01705 - Шетел тілі: екі шетел тілі (ағылшын)", В018-Шет тілі мұғалімдерін даярлау</v>
      </c>
      <c r="F193" s="5" t="str">
        <f>IF(ISBLANK(Лист1!F193),"",Лист1!F193)</f>
        <v>білім</v>
      </c>
      <c r="G193" s="5" t="str">
        <f>IF(ISBLANK(Лист1!G193),"",Лист1!G193)</f>
        <v>күндізгі</v>
      </c>
      <c r="H193" s="5" t="str">
        <f>IF(ISBLANK(Лист1!H193),"",Лист1!H193)</f>
        <v>Shamuratova  Akniyet</v>
      </c>
      <c r="I193" s="5" t="str">
        <f>IF(ISBLANK(Лист1!I193),"",Лист1!I193)</f>
        <v>Education</v>
      </c>
      <c r="J193" s="5" t="str">
        <f>IF(ISBLANK(Лист1!J193),"",Лист1!J193)</f>
        <v>"6B01705 - Foreign language: two foreign languages (English)", B018-Training of foreign language teachers</v>
      </c>
      <c r="K193" s="5" t="str">
        <f>IF(ISBLANK(Лист1!K193),"",Лист1!K193)</f>
        <v>full-time</v>
      </c>
      <c r="L193" s="5" t="str">
        <f>IF(ISBLANK(Лист1!L193),"",Лист1!L193)</f>
        <v>21</v>
      </c>
      <c r="M193" s="5" t="str">
        <f>IF(ISBLANK(Лист1!M193),"",Лист1!M193)</f>
        <v>June</v>
      </c>
      <c r="N193" s="5" t="str">
        <f>IF(ISBLANK(Лист1!N193),"",Лист1!N193)</f>
        <v>21</v>
      </c>
      <c r="O193" s="5" t="str">
        <f>IF(ISBLANK(Лист1!O193),"",Лист1!O193)</f>
        <v>июня</v>
      </c>
      <c r="P193" s="5" t="str">
        <f>IF(ISBLANK(Лист1!P193),"",Лист1!P193)</f>
        <v>273</v>
      </c>
      <c r="Q193" s="5" t="str">
        <f>IF(ISBLANK(Лист1!Q193),"",Лист1!Q193)</f>
        <v>Шамуратова  Ақниет  Аманжолқызы</v>
      </c>
      <c r="R193" s="5" t="str">
        <f>IF(ISBLANK(Лист1!R193),"",Лист1!R193)</f>
        <v>образования</v>
      </c>
      <c r="S193" s="5" t="str">
        <f>IF(ISBLANK(Лист1!S193),"",Лист1!S193)</f>
        <v>"6B01705 - Иностранный язык: два иностранных языка (английский)", В018-Подготовка учителей иностранного языка</v>
      </c>
      <c r="T193" s="5" t="str">
        <f>IF(ISBLANK(Лист1!T193),"",Лист1!T193)</f>
        <v>очное</v>
      </c>
      <c r="U193" s="5" t="str">
        <f>IF(ISBLANK(Лист1!U193),"",Лист1!U193)</f>
        <v/>
      </c>
      <c r="V193" s="5" t="str">
        <f>IF(ISBLANK(Лист1!V193),"",Лист1!V193)</f>
        <v>28</v>
      </c>
      <c r="W193" s="5" t="str">
        <f>IF(ISBLANK(Лист1!W193),"",Лист1!W193)</f>
        <v>маусым</v>
      </c>
      <c r="X193" s="5" t="str">
        <f>IF(ISBLANK(Лист1!X193),"",Лист1!X193)</f>
        <v>031021650335</v>
      </c>
      <c r="Y193" s="5" t="str">
        <f>IF(ISERROR(VLOOKUP($X193,Лист2!$A$2:$G$498,1,FALSE)),"",VLOOKUP($X193,Лист2!$A$2:$G$498,1,FALSE))</f>
        <v>031021650335</v>
      </c>
      <c r="Z193" s="5" t="str">
        <f>IF(ISERROR(VLOOKUP($X193,Лист2!$A$2:$L$498,9,FALSE)),"",VLOOKUP($X193,Лист2!$A$2:$L$498,9,FALSE))</f>
        <v>BD</v>
      </c>
      <c r="AA193" s="5" t="str">
        <f>IF(ISERROR(VLOOKUP($X193,Лист2!$A$2:$L$498,10,FALSE)),"",VLOOKUP($X193,Лист2!$A$2:$L$498,10,FALSE))</f>
        <v>00025680225</v>
      </c>
      <c r="AB193" s="5" t="str">
        <f>IF(ISERROR(VLOOKUP($X193,Лист2!$A$2:$M$498,13,FALSE)),"",VLOOKUP($X193,Лист2!$A$2:$M$498,13,FALSE))</f>
        <v>https://epvo.kz/#/verification_education_document?iin=031021650335&amp;diplomaSeries=BD&amp;diplomaNumber=00025680225</v>
      </c>
    </row>
    <row r="194" spans="1:28" x14ac:dyDescent="0.25">
      <c r="A194" s="5" t="str">
        <f>IF(ISBLANK(Лист1!A194),"",Лист1!A194)</f>
        <v>21</v>
      </c>
      <c r="B194" s="5" t="str">
        <f>IF(ISBLANK(Лист1!B194),"",Лист1!B194)</f>
        <v>маусымдағы</v>
      </c>
      <c r="C194" s="5" t="str">
        <f>IF(ISBLANK(Лист1!C194),"",Лист1!C194)</f>
        <v>204</v>
      </c>
      <c r="D194" s="5" t="str">
        <f>IF(ISBLANK(Лист1!D194),"",Лист1!D194)</f>
        <v>Шерикбай  Даниял  Ертайұлына</v>
      </c>
      <c r="E194" s="5" t="str">
        <f>IF(ISBLANK(Лист1!E194),"",Лист1!E194)</f>
        <v>"6В01705 - Шетел тілі: екі шетел тілі (ағылшын)", В018-Шет тілі мұғалімдерін даярлау</v>
      </c>
      <c r="F194" s="5" t="str">
        <f>IF(ISBLANK(Лист1!F194),"",Лист1!F194)</f>
        <v>білім</v>
      </c>
      <c r="G194" s="5" t="str">
        <f>IF(ISBLANK(Лист1!G194),"",Лист1!G194)</f>
        <v>күндізгі</v>
      </c>
      <c r="H194" s="5" t="str">
        <f>IF(ISBLANK(Лист1!H194),"",Лист1!H194)</f>
        <v>Sherikbay  Daniyal</v>
      </c>
      <c r="I194" s="5" t="str">
        <f>IF(ISBLANK(Лист1!I194),"",Лист1!I194)</f>
        <v>Education</v>
      </c>
      <c r="J194" s="5" t="str">
        <f>IF(ISBLANK(Лист1!J194),"",Лист1!J194)</f>
        <v>"6B01705 - Foreign language: two foreign languages (English)", B018-Training of foreign language teachers</v>
      </c>
      <c r="K194" s="5" t="str">
        <f>IF(ISBLANK(Лист1!K194),"",Лист1!K194)</f>
        <v>full-time</v>
      </c>
      <c r="L194" s="5" t="str">
        <f>IF(ISBLANK(Лист1!L194),"",Лист1!L194)</f>
        <v>21</v>
      </c>
      <c r="M194" s="5" t="str">
        <f>IF(ISBLANK(Лист1!M194),"",Лист1!M194)</f>
        <v>June</v>
      </c>
      <c r="N194" s="5" t="str">
        <f>IF(ISBLANK(Лист1!N194),"",Лист1!N194)</f>
        <v>21</v>
      </c>
      <c r="O194" s="5" t="str">
        <f>IF(ISBLANK(Лист1!O194),"",Лист1!O194)</f>
        <v>июня</v>
      </c>
      <c r="P194" s="5" t="str">
        <f>IF(ISBLANK(Лист1!P194),"",Лист1!P194)</f>
        <v>204</v>
      </c>
      <c r="Q194" s="5" t="str">
        <f>IF(ISBLANK(Лист1!Q194),"",Лист1!Q194)</f>
        <v>Шерикбай  Даниял  Ертайұлы</v>
      </c>
      <c r="R194" s="5" t="str">
        <f>IF(ISBLANK(Лист1!R194),"",Лист1!R194)</f>
        <v>образования</v>
      </c>
      <c r="S194" s="5" t="str">
        <f>IF(ISBLANK(Лист1!S194),"",Лист1!S194)</f>
        <v>"6B01705 - Иностранный язык: два иностранных языка (английский)", В018-Подготовка учителей иностранного языка</v>
      </c>
      <c r="T194" s="5" t="str">
        <f>IF(ISBLANK(Лист1!T194),"",Лист1!T194)</f>
        <v>очное</v>
      </c>
      <c r="U194" s="5" t="str">
        <f>IF(ISBLANK(Лист1!U194),"",Лист1!U194)</f>
        <v/>
      </c>
      <c r="V194" s="5" t="str">
        <f>IF(ISBLANK(Лист1!V194),"",Лист1!V194)</f>
        <v>28</v>
      </c>
      <c r="W194" s="5" t="str">
        <f>IF(ISBLANK(Лист1!W194),"",Лист1!W194)</f>
        <v>маусым</v>
      </c>
      <c r="X194" s="5" t="str">
        <f>IF(ISBLANK(Лист1!X194),"",Лист1!X194)</f>
        <v>040520550767</v>
      </c>
      <c r="Y194" s="5" t="str">
        <f>IF(ISERROR(VLOOKUP($X194,Лист2!$A$2:$G$498,1,FALSE)),"",VLOOKUP($X194,Лист2!$A$2:$G$498,1,FALSE))</f>
        <v>040520550767</v>
      </c>
      <c r="Z194" s="5" t="str">
        <f>IF(ISERROR(VLOOKUP($X194,Лист2!$A$2:$L$498,9,FALSE)),"",VLOOKUP($X194,Лист2!$A$2:$L$498,9,FALSE))</f>
        <v>BD</v>
      </c>
      <c r="AA194" s="5" t="str">
        <f>IF(ISERROR(VLOOKUP($X194,Лист2!$A$2:$L$498,10,FALSE)),"",VLOOKUP($X194,Лист2!$A$2:$L$498,10,FALSE))</f>
        <v>00025680325</v>
      </c>
      <c r="AB194" s="5" t="str">
        <f>IF(ISERROR(VLOOKUP($X194,Лист2!$A$2:$M$498,13,FALSE)),"",VLOOKUP($X194,Лист2!$A$2:$M$498,13,FALSE))</f>
        <v>https://epvo.kz/#/verification_education_document?iin=040520550767&amp;diplomaSeries=BD&amp;diplomaNumber=00025680325</v>
      </c>
    </row>
    <row r="195" spans="1:28" x14ac:dyDescent="0.25">
      <c r="A195" s="5" t="str">
        <f>IF(ISBLANK(Лист1!A195),"",Лист1!A195)</f>
        <v>21</v>
      </c>
      <c r="B195" s="5" t="str">
        <f>IF(ISBLANK(Лист1!B195),"",Лист1!B195)</f>
        <v>маусымдағы</v>
      </c>
      <c r="C195" s="5" t="str">
        <f>IF(ISBLANK(Лист1!C195),"",Лист1!C195)</f>
        <v>274</v>
      </c>
      <c r="D195" s="5" t="str">
        <f>IF(ISBLANK(Лист1!D195),"",Лист1!D195)</f>
        <v>Ыбраймбек  Қымбат  Қуанышбекқызына</v>
      </c>
      <c r="E195" s="5" t="str">
        <f>IF(ISBLANK(Лист1!E195),"",Лист1!E195)</f>
        <v>"6В01705 - Шетел тілі: екі шетел тілі (ағылшын)", В018-Шет тілі мұғалімдерін даярлау</v>
      </c>
      <c r="F195" s="5" t="str">
        <f>IF(ISBLANK(Лист1!F195),"",Лист1!F195)</f>
        <v>білім</v>
      </c>
      <c r="G195" s="5" t="str">
        <f>IF(ISBLANK(Лист1!G195),"",Лист1!G195)</f>
        <v>күндізгі</v>
      </c>
      <c r="H195" s="5" t="str">
        <f>IF(ISBLANK(Лист1!H195),"",Лист1!H195)</f>
        <v>Ybraimbek  Kymbat</v>
      </c>
      <c r="I195" s="5" t="str">
        <f>IF(ISBLANK(Лист1!I195),"",Лист1!I195)</f>
        <v>Education</v>
      </c>
      <c r="J195" s="5" t="str">
        <f>IF(ISBLANK(Лист1!J195),"",Лист1!J195)</f>
        <v>"6B01705 - Foreign language: two foreign languages (English)", B018-Training of foreign language teachers</v>
      </c>
      <c r="K195" s="5" t="str">
        <f>IF(ISBLANK(Лист1!K195),"",Лист1!K195)</f>
        <v>full-time</v>
      </c>
      <c r="L195" s="5" t="str">
        <f>IF(ISBLANK(Лист1!L195),"",Лист1!L195)</f>
        <v>21</v>
      </c>
      <c r="M195" s="5" t="str">
        <f>IF(ISBLANK(Лист1!M195),"",Лист1!M195)</f>
        <v>June</v>
      </c>
      <c r="N195" s="5" t="str">
        <f>IF(ISBLANK(Лист1!N195),"",Лист1!N195)</f>
        <v>21</v>
      </c>
      <c r="O195" s="5" t="str">
        <f>IF(ISBLANK(Лист1!O195),"",Лист1!O195)</f>
        <v>июня</v>
      </c>
      <c r="P195" s="5" t="str">
        <f>IF(ISBLANK(Лист1!P195),"",Лист1!P195)</f>
        <v>274</v>
      </c>
      <c r="Q195" s="5" t="str">
        <f>IF(ISBLANK(Лист1!Q195),"",Лист1!Q195)</f>
        <v>Ыбраймбек  Қымбат  Қуанышбекқызы</v>
      </c>
      <c r="R195" s="5" t="str">
        <f>IF(ISBLANK(Лист1!R195),"",Лист1!R195)</f>
        <v>образования</v>
      </c>
      <c r="S195" s="5" t="str">
        <f>IF(ISBLANK(Лист1!S195),"",Лист1!S195)</f>
        <v>"6B01705 - Иностранный язык: два иностранных языка (английский)", В018-Подготовка учителей иностранного языка</v>
      </c>
      <c r="T195" s="5" t="str">
        <f>IF(ISBLANK(Лист1!T195),"",Лист1!T195)</f>
        <v>очное</v>
      </c>
      <c r="U195" s="5" t="str">
        <f>IF(ISBLANK(Лист1!U195),"",Лист1!U195)</f>
        <v/>
      </c>
      <c r="V195" s="5" t="str">
        <f>IF(ISBLANK(Лист1!V195),"",Лист1!V195)</f>
        <v>28</v>
      </c>
      <c r="W195" s="5" t="str">
        <f>IF(ISBLANK(Лист1!W195),"",Лист1!W195)</f>
        <v>маусым</v>
      </c>
      <c r="X195" s="5" t="str">
        <f>IF(ISBLANK(Лист1!X195),"",Лист1!X195)</f>
        <v>040409601266</v>
      </c>
      <c r="Y195" s="5" t="str">
        <f>IF(ISERROR(VLOOKUP($X195,Лист2!$A$2:$G$498,1,FALSE)),"",VLOOKUP($X195,Лист2!$A$2:$G$498,1,FALSE))</f>
        <v>040409601266</v>
      </c>
      <c r="Z195" s="5" t="str">
        <f>IF(ISERROR(VLOOKUP($X195,Лист2!$A$2:$L$498,9,FALSE)),"",VLOOKUP($X195,Лист2!$A$2:$L$498,9,FALSE))</f>
        <v>BD</v>
      </c>
      <c r="AA195" s="5" t="str">
        <f>IF(ISERROR(VLOOKUP($X195,Лист2!$A$2:$L$498,10,FALSE)),"",VLOOKUP($X195,Лист2!$A$2:$L$498,10,FALSE))</f>
        <v>00025680425</v>
      </c>
      <c r="AB195" s="5" t="str">
        <f>IF(ISERROR(VLOOKUP($X195,Лист2!$A$2:$M$498,13,FALSE)),"",VLOOKUP($X195,Лист2!$A$2:$M$498,13,FALSE))</f>
        <v>https://epvo.kz/#/verification_education_document?iin=040409601266&amp;diplomaSeries=BD&amp;diplomaNumber=00025680425</v>
      </c>
    </row>
    <row r="196" spans="1:28" x14ac:dyDescent="0.25">
      <c r="A196" s="5" t="str">
        <f>IF(ISBLANK(Лист1!A196),"",Лист1!A196)</f>
        <v>21</v>
      </c>
      <c r="B196" s="5" t="str">
        <f>IF(ISBLANK(Лист1!B196),"",Лист1!B196)</f>
        <v>маусымдағы</v>
      </c>
      <c r="C196" s="5" t="str">
        <f>IF(ISBLANK(Лист1!C196),"",Лист1!C196)</f>
        <v>15</v>
      </c>
      <c r="D196" s="5" t="str">
        <f>IF(ISBLANK(Лист1!D196),"",Лист1!D196)</f>
        <v>Эргашова  Сабогул  Икрамжановнаға</v>
      </c>
      <c r="E196" s="5" t="str">
        <f>IF(ISBLANK(Лист1!E196),"",Лист1!E196)</f>
        <v>"6В01705 - Шетел тілі: екі шетел тілі (ағылшын)", В018-Шет тілі мұғалімдерін даярлау</v>
      </c>
      <c r="F196" s="5" t="str">
        <f>IF(ISBLANK(Лист1!F196),"",Лист1!F196)</f>
        <v>білім</v>
      </c>
      <c r="G196" s="5" t="str">
        <f>IF(ISBLANK(Лист1!G196),"",Лист1!G196)</f>
        <v>күндізгі</v>
      </c>
      <c r="H196" s="5" t="str">
        <f>IF(ISBLANK(Лист1!H196),"",Лист1!H196)</f>
        <v>Ergashova  Sabogul</v>
      </c>
      <c r="I196" s="5" t="str">
        <f>IF(ISBLANK(Лист1!I196),"",Лист1!I196)</f>
        <v>Education</v>
      </c>
      <c r="J196" s="5" t="str">
        <f>IF(ISBLANK(Лист1!J196),"",Лист1!J196)</f>
        <v>"6B01705 - Foreign language: two foreign languages (English)", B018-Training of foreign language teachers</v>
      </c>
      <c r="K196" s="5" t="str">
        <f>IF(ISBLANK(Лист1!K196),"",Лист1!K196)</f>
        <v>full-time</v>
      </c>
      <c r="L196" s="5" t="str">
        <f>IF(ISBLANK(Лист1!L196),"",Лист1!L196)</f>
        <v>21</v>
      </c>
      <c r="M196" s="5" t="str">
        <f>IF(ISBLANK(Лист1!M196),"",Лист1!M196)</f>
        <v>June</v>
      </c>
      <c r="N196" s="5" t="str">
        <f>IF(ISBLANK(Лист1!N196),"",Лист1!N196)</f>
        <v>21</v>
      </c>
      <c r="O196" s="5" t="str">
        <f>IF(ISBLANK(Лист1!O196),"",Лист1!O196)</f>
        <v>июня</v>
      </c>
      <c r="P196" s="5" t="str">
        <f>IF(ISBLANK(Лист1!P196),"",Лист1!P196)</f>
        <v>15</v>
      </c>
      <c r="Q196" s="5" t="str">
        <f>IF(ISBLANK(Лист1!Q196),"",Лист1!Q196)</f>
        <v>Эргашовой  Сабогул  Икрамжановне</v>
      </c>
      <c r="R196" s="5" t="str">
        <f>IF(ISBLANK(Лист1!R196),"",Лист1!R196)</f>
        <v>образования</v>
      </c>
      <c r="S196" s="5" t="str">
        <f>IF(ISBLANK(Лист1!S196),"",Лист1!S196)</f>
        <v>"6B01705 - Иностранный язык: два иностранных языка (английский)", В018-Подготовка учителей иностранного языка</v>
      </c>
      <c r="T196" s="5" t="str">
        <f>IF(ISBLANK(Лист1!T196),"",Лист1!T196)</f>
        <v>очное</v>
      </c>
      <c r="U196" s="5" t="str">
        <f>IF(ISBLANK(Лист1!U196),"",Лист1!U196)</f>
        <v/>
      </c>
      <c r="V196" s="5" t="str">
        <f>IF(ISBLANK(Лист1!V196),"",Лист1!V196)</f>
        <v>28</v>
      </c>
      <c r="W196" s="5" t="str">
        <f>IF(ISBLANK(Лист1!W196),"",Лист1!W196)</f>
        <v>маусым</v>
      </c>
      <c r="X196" s="5" t="str">
        <f>IF(ISBLANK(Лист1!X196),"",Лист1!X196)</f>
        <v>030727601682</v>
      </c>
      <c r="Y196" s="5" t="str">
        <f>IF(ISERROR(VLOOKUP($X196,Лист2!$A$2:$G$498,1,FALSE)),"",VLOOKUP($X196,Лист2!$A$2:$G$498,1,FALSE))</f>
        <v>030727601682</v>
      </c>
      <c r="Z196" s="5" t="str">
        <f>IF(ISERROR(VLOOKUP($X196,Лист2!$A$2:$L$498,9,FALSE)),"",VLOOKUP($X196,Лист2!$A$2:$L$498,9,FALSE))</f>
        <v>BD</v>
      </c>
      <c r="AA196" s="5" t="str">
        <f>IF(ISERROR(VLOOKUP($X196,Лист2!$A$2:$L$498,10,FALSE)),"",VLOOKUP($X196,Лист2!$A$2:$L$498,10,FALSE))</f>
        <v>00025680525</v>
      </c>
      <c r="AB196" s="5" t="str">
        <f>IF(ISERROR(VLOOKUP($X196,Лист2!$A$2:$M$498,13,FALSE)),"",VLOOKUP($X196,Лист2!$A$2:$M$498,13,FALSE))</f>
        <v>https://epvo.kz/#/verification_education_document?iin=030727601682&amp;diplomaSeries=BD&amp;diplomaNumber=00025680525</v>
      </c>
    </row>
    <row r="197" spans="1:28" x14ac:dyDescent="0.25">
      <c r="A197" s="5" t="str">
        <f>IF(ISBLANK(Лист1!A197),"",Лист1!A197)</f>
        <v>21</v>
      </c>
      <c r="B197" s="5" t="str">
        <f>IF(ISBLANK(Лист1!B197),"",Лист1!B197)</f>
        <v>маусымдағы</v>
      </c>
      <c r="C197" s="5" t="str">
        <f>IF(ISBLANK(Лист1!C197),"",Лист1!C197)</f>
        <v>96</v>
      </c>
      <c r="D197" s="5" t="str">
        <f>IF(ISBLANK(Лист1!D197),"",Лист1!D197)</f>
        <v>Юлдаш  Саидмурат  Халмурадулына</v>
      </c>
      <c r="E197" s="5" t="str">
        <f>IF(ISBLANK(Лист1!E197),"",Лист1!E197)</f>
        <v>"6В01705 - Шетел тілі: екі шетел тілі (ағылшын)", В018-Шет тілі мұғалімдерін даярлау</v>
      </c>
      <c r="F197" s="5" t="str">
        <f>IF(ISBLANK(Лист1!F197),"",Лист1!F197)</f>
        <v>білім</v>
      </c>
      <c r="G197" s="5" t="str">
        <f>IF(ISBLANK(Лист1!G197),"",Лист1!G197)</f>
        <v>күндізгі</v>
      </c>
      <c r="H197" s="5" t="str">
        <f>IF(ISBLANK(Лист1!H197),"",Лист1!H197)</f>
        <v>Yuldash  Saidmurat</v>
      </c>
      <c r="I197" s="5" t="str">
        <f>IF(ISBLANK(Лист1!I197),"",Лист1!I197)</f>
        <v>Education</v>
      </c>
      <c r="J197" s="5" t="str">
        <f>IF(ISBLANK(Лист1!J197),"",Лист1!J197)</f>
        <v>"6B01705 - Foreign language: two foreign languages (English)", B018-Training of foreign language teachers</v>
      </c>
      <c r="K197" s="5" t="str">
        <f>IF(ISBLANK(Лист1!K197),"",Лист1!K197)</f>
        <v>full-time</v>
      </c>
      <c r="L197" s="5" t="str">
        <f>IF(ISBLANK(Лист1!L197),"",Лист1!L197)</f>
        <v>21</v>
      </c>
      <c r="M197" s="5" t="str">
        <f>IF(ISBLANK(Лист1!M197),"",Лист1!M197)</f>
        <v>June</v>
      </c>
      <c r="N197" s="5" t="str">
        <f>IF(ISBLANK(Лист1!N197),"",Лист1!N197)</f>
        <v>21</v>
      </c>
      <c r="O197" s="5" t="str">
        <f>IF(ISBLANK(Лист1!O197),"",Лист1!O197)</f>
        <v>июня</v>
      </c>
      <c r="P197" s="5" t="str">
        <f>IF(ISBLANK(Лист1!P197),"",Лист1!P197)</f>
        <v>96</v>
      </c>
      <c r="Q197" s="5" t="str">
        <f>IF(ISBLANK(Лист1!Q197),"",Лист1!Q197)</f>
        <v>Юлдаш  Саидмурату  Халмурадулы</v>
      </c>
      <c r="R197" s="5" t="str">
        <f>IF(ISBLANK(Лист1!R197),"",Лист1!R197)</f>
        <v>образования</v>
      </c>
      <c r="S197" s="5" t="str">
        <f>IF(ISBLANK(Лист1!S197),"",Лист1!S197)</f>
        <v>"6B01705 - Иностранный язык: два иностранных языка (английский)", В018-Подготовка учителей иностранного языка</v>
      </c>
      <c r="T197" s="5" t="str">
        <f>IF(ISBLANK(Лист1!T197),"",Лист1!T197)</f>
        <v>очное</v>
      </c>
      <c r="U197" s="5" t="str">
        <f>IF(ISBLANK(Лист1!U197),"",Лист1!U197)</f>
        <v/>
      </c>
      <c r="V197" s="5" t="str">
        <f>IF(ISBLANK(Лист1!V197),"",Лист1!V197)</f>
        <v>28</v>
      </c>
      <c r="W197" s="5" t="str">
        <f>IF(ISBLANK(Лист1!W197),"",Лист1!W197)</f>
        <v>маусым</v>
      </c>
      <c r="X197" s="5" t="str">
        <f>IF(ISBLANK(Лист1!X197),"",Лист1!X197)</f>
        <v>030520500858</v>
      </c>
      <c r="Y197" s="5" t="str">
        <f>IF(ISERROR(VLOOKUP($X197,Лист2!$A$2:$G$498,1,FALSE)),"",VLOOKUP($X197,Лист2!$A$2:$G$498,1,FALSE))</f>
        <v>030520500858</v>
      </c>
      <c r="Z197" s="5" t="str">
        <f>IF(ISERROR(VLOOKUP($X197,Лист2!$A$2:$L$498,9,FALSE)),"",VLOOKUP($X197,Лист2!$A$2:$L$498,9,FALSE))</f>
        <v>BD</v>
      </c>
      <c r="AA197" s="5" t="str">
        <f>IF(ISERROR(VLOOKUP($X197,Лист2!$A$2:$L$498,10,FALSE)),"",VLOOKUP($X197,Лист2!$A$2:$L$498,10,FALSE))</f>
        <v>00025680725</v>
      </c>
      <c r="AB197" s="5" t="str">
        <f>IF(ISERROR(VLOOKUP($X197,Лист2!$A$2:$M$498,13,FALSE)),"",VLOOKUP($X197,Лист2!$A$2:$M$498,13,FALSE))</f>
        <v>https://epvo.kz/#/verification_education_document?iin=030520500858&amp;diplomaSeries=BD&amp;diplomaNumber=00025680725</v>
      </c>
    </row>
    <row r="198" spans="1:28" x14ac:dyDescent="0.25">
      <c r="A198" s="5" t="str">
        <f>IF(ISBLANK(Лист1!A198),"",Лист1!A198)</f>
        <v>21</v>
      </c>
      <c r="B198" s="5" t="str">
        <f>IF(ISBLANK(Лист1!B198),"",Лист1!B198)</f>
        <v>маусымдағы</v>
      </c>
      <c r="C198" s="5" t="str">
        <f>IF(ISBLANK(Лист1!C198),"",Лист1!C198)</f>
        <v>08</v>
      </c>
      <c r="D198" s="5" t="str">
        <f>IF(ISBLANK(Лист1!D198),"",Лист1!D198)</f>
        <v>Юсантаева  Рушана  Бахтияровнаға</v>
      </c>
      <c r="E198" s="5" t="str">
        <f>IF(ISBLANK(Лист1!E198),"",Лист1!E198)</f>
        <v>"6В01705 - Шетел тілі: екі шетел тілі (ағылшын)", В018-Шет тілі мұғалімдерін даярлау</v>
      </c>
      <c r="F198" s="5" t="str">
        <f>IF(ISBLANK(Лист1!F198),"",Лист1!F198)</f>
        <v>білім</v>
      </c>
      <c r="G198" s="5" t="str">
        <f>IF(ISBLANK(Лист1!G198),"",Лист1!G198)</f>
        <v>күндізгі</v>
      </c>
      <c r="H198" s="5" t="str">
        <f>IF(ISBLANK(Лист1!H198),"",Лист1!H198)</f>
        <v>Yussantayeva  Rushana</v>
      </c>
      <c r="I198" s="5" t="str">
        <f>IF(ISBLANK(Лист1!I198),"",Лист1!I198)</f>
        <v>Education</v>
      </c>
      <c r="J198" s="5" t="str">
        <f>IF(ISBLANK(Лист1!J198),"",Лист1!J198)</f>
        <v>"6B01705 - Foreign language: two foreign languages (English)", B018-Training of foreign language teachers</v>
      </c>
      <c r="K198" s="5" t="str">
        <f>IF(ISBLANK(Лист1!K198),"",Лист1!K198)</f>
        <v>full-time</v>
      </c>
      <c r="L198" s="5" t="str">
        <f>IF(ISBLANK(Лист1!L198),"",Лист1!L198)</f>
        <v>21</v>
      </c>
      <c r="M198" s="5" t="str">
        <f>IF(ISBLANK(Лист1!M198),"",Лист1!M198)</f>
        <v>June</v>
      </c>
      <c r="N198" s="5" t="str">
        <f>IF(ISBLANK(Лист1!N198),"",Лист1!N198)</f>
        <v>21</v>
      </c>
      <c r="O198" s="5" t="str">
        <f>IF(ISBLANK(Лист1!O198),"",Лист1!O198)</f>
        <v>июня</v>
      </c>
      <c r="P198" s="5" t="str">
        <f>IF(ISBLANK(Лист1!P198),"",Лист1!P198)</f>
        <v>08</v>
      </c>
      <c r="Q198" s="5" t="str">
        <f>IF(ISBLANK(Лист1!Q198),"",Лист1!Q198)</f>
        <v>Юсантаевой Рушане  Бахтияровне</v>
      </c>
      <c r="R198" s="5" t="str">
        <f>IF(ISBLANK(Лист1!R198),"",Лист1!R198)</f>
        <v>образования</v>
      </c>
      <c r="S198" s="5" t="str">
        <f>IF(ISBLANK(Лист1!S198),"",Лист1!S198)</f>
        <v>"6B01705 - Иностранный язык: два иностранных языка (английский)", В018-Подготовка учителей иностранного языка</v>
      </c>
      <c r="T198" s="5" t="str">
        <f>IF(ISBLANK(Лист1!T198),"",Лист1!T198)</f>
        <v>очное</v>
      </c>
      <c r="U198" s="5" t="str">
        <f>IF(ISBLANK(Лист1!U198),"",Лист1!U198)</f>
        <v/>
      </c>
      <c r="V198" s="5" t="str">
        <f>IF(ISBLANK(Лист1!V198),"",Лист1!V198)</f>
        <v>28</v>
      </c>
      <c r="W198" s="5" t="str">
        <f>IF(ISBLANK(Лист1!W198),"",Лист1!W198)</f>
        <v>маусым</v>
      </c>
      <c r="X198" s="5" t="str">
        <f>IF(ISBLANK(Лист1!X198),"",Лист1!X198)</f>
        <v>030212601719</v>
      </c>
      <c r="Y198" s="5" t="str">
        <f>IF(ISERROR(VLOOKUP($X198,Лист2!$A$2:$G$498,1,FALSE)),"",VLOOKUP($X198,Лист2!$A$2:$G$498,1,FALSE))</f>
        <v>030212601719</v>
      </c>
      <c r="Z198" s="5" t="str">
        <f>IF(ISERROR(VLOOKUP($X198,Лист2!$A$2:$L$498,9,FALSE)),"",VLOOKUP($X198,Лист2!$A$2:$L$498,9,FALSE))</f>
        <v>BD</v>
      </c>
      <c r="AA198" s="5" t="str">
        <f>IF(ISERROR(VLOOKUP($X198,Лист2!$A$2:$L$498,10,FALSE)),"",VLOOKUP($X198,Лист2!$A$2:$L$498,10,FALSE))</f>
        <v>00025681225</v>
      </c>
      <c r="AB198" s="5" t="str">
        <f>IF(ISERROR(VLOOKUP($X198,Лист2!$A$2:$M$498,13,FALSE)),"",VLOOKUP($X198,Лист2!$A$2:$M$498,13,FALSE))</f>
        <v>https://epvo.kz/#/verification_education_document?iin=030212601719&amp;diplomaSeries=BD&amp;diplomaNumber=00025681225</v>
      </c>
    </row>
    <row r="199" spans="1:28" x14ac:dyDescent="0.25">
      <c r="A199" s="5" t="str">
        <f>IF(ISBLANK(Лист1!A199),"",Лист1!A199)</f>
        <v>21</v>
      </c>
      <c r="B199" s="5" t="str">
        <f>IF(ISBLANK(Лист1!B199),"",Лист1!B199)</f>
        <v>маусымдағы</v>
      </c>
      <c r="C199" s="5" t="str">
        <f>IF(ISBLANK(Лист1!C199),"",Лист1!C199)</f>
        <v>10</v>
      </c>
      <c r="D199" s="5" t="str">
        <f>IF(ISBLANK(Лист1!D199),"",Лист1!D199)</f>
        <v>Яковлев  Станислав  Юрьевичке</v>
      </c>
      <c r="E199" s="5" t="str">
        <f>IF(ISBLANK(Лист1!E199),"",Лист1!E199)</f>
        <v>"6В01705 - Шетел тілі: екі шетел тілі (ағылшын)", В018-Шет тілі мұғалімдерін даярлау</v>
      </c>
      <c r="F199" s="5" t="str">
        <f>IF(ISBLANK(Лист1!F199),"",Лист1!F199)</f>
        <v>білім</v>
      </c>
      <c r="G199" s="5" t="str">
        <f>IF(ISBLANK(Лист1!G199),"",Лист1!G199)</f>
        <v>күндізгі</v>
      </c>
      <c r="H199" s="5" t="str">
        <f>IF(ISBLANK(Лист1!H199),"",Лист1!H199)</f>
        <v>Yakovlev  Stanislav</v>
      </c>
      <c r="I199" s="5" t="str">
        <f>IF(ISBLANK(Лист1!I199),"",Лист1!I199)</f>
        <v>Education</v>
      </c>
      <c r="J199" s="5" t="str">
        <f>IF(ISBLANK(Лист1!J199),"",Лист1!J199)</f>
        <v>"6B01705 - Foreign language: two foreign languages (English)", B018-Training of foreign language teachers</v>
      </c>
      <c r="K199" s="5" t="str">
        <f>IF(ISBLANK(Лист1!K199),"",Лист1!K199)</f>
        <v>full-time</v>
      </c>
      <c r="L199" s="5" t="str">
        <f>IF(ISBLANK(Лист1!L199),"",Лист1!L199)</f>
        <v>21</v>
      </c>
      <c r="M199" s="5" t="str">
        <f>IF(ISBLANK(Лист1!M199),"",Лист1!M199)</f>
        <v>June</v>
      </c>
      <c r="N199" s="5" t="str">
        <f>IF(ISBLANK(Лист1!N199),"",Лист1!N199)</f>
        <v>21</v>
      </c>
      <c r="O199" s="5" t="str">
        <f>IF(ISBLANK(Лист1!O199),"",Лист1!O199)</f>
        <v>июня</v>
      </c>
      <c r="P199" s="5" t="str">
        <f>IF(ISBLANK(Лист1!P199),"",Лист1!P199)</f>
        <v>10</v>
      </c>
      <c r="Q199" s="5" t="str">
        <f>IF(ISBLANK(Лист1!Q199),"",Лист1!Q199)</f>
        <v>Яковлеву  Станиславу  Юрьевичу</v>
      </c>
      <c r="R199" s="5" t="str">
        <f>IF(ISBLANK(Лист1!R199),"",Лист1!R199)</f>
        <v>образования</v>
      </c>
      <c r="S199" s="5" t="str">
        <f>IF(ISBLANK(Лист1!S199),"",Лист1!S199)</f>
        <v>"6B01705 - Иностранный язык: два иностранных языка (английский)", В018-Подготовка учителей иностранного языка</v>
      </c>
      <c r="T199" s="5" t="str">
        <f>IF(ISBLANK(Лист1!T199),"",Лист1!T199)</f>
        <v>очное</v>
      </c>
      <c r="U199" s="5" t="str">
        <f>IF(ISBLANK(Лист1!U199),"",Лист1!U199)</f>
        <v/>
      </c>
      <c r="V199" s="5" t="str">
        <f>IF(ISBLANK(Лист1!V199),"",Лист1!V199)</f>
        <v>28</v>
      </c>
      <c r="W199" s="5" t="str">
        <f>IF(ISBLANK(Лист1!W199),"",Лист1!W199)</f>
        <v>маусым</v>
      </c>
      <c r="X199" s="5" t="str">
        <f>IF(ISBLANK(Лист1!X199),"",Лист1!X199)</f>
        <v>020724551384</v>
      </c>
      <c r="Y199" s="5" t="str">
        <f>IF(ISERROR(VLOOKUP($X199,Лист2!$A$2:$G$498,1,FALSE)),"",VLOOKUP($X199,Лист2!$A$2:$G$498,1,FALSE))</f>
        <v>020724551384</v>
      </c>
      <c r="Z199" s="5" t="str">
        <f>IF(ISERROR(VLOOKUP($X199,Лист2!$A$2:$L$498,9,FALSE)),"",VLOOKUP($X199,Лист2!$A$2:$L$498,9,FALSE))</f>
        <v>BD</v>
      </c>
      <c r="AA199" s="5" t="str">
        <f>IF(ISERROR(VLOOKUP($X199,Лист2!$A$2:$L$498,10,FALSE)),"",VLOOKUP($X199,Лист2!$A$2:$L$498,10,FALSE))</f>
        <v>00025681425</v>
      </c>
      <c r="AB199" s="5" t="str">
        <f>IF(ISERROR(VLOOKUP($X199,Лист2!$A$2:$M$498,13,FALSE)),"",VLOOKUP($X199,Лист2!$A$2:$M$498,13,FALSE))</f>
        <v>https://epvo.kz/#/verification_education_document?iin=020724551384&amp;diplomaSeries=BD&amp;diplomaNumber=00025681425</v>
      </c>
    </row>
    <row r="200" spans="1:28" x14ac:dyDescent="0.25">
      <c r="A200" s="5" t="str">
        <f>IF(ISBLANK(Лист1!A200),"",Лист1!A200)</f>
        <v>21</v>
      </c>
      <c r="B200" s="5" t="str">
        <f>IF(ISBLANK(Лист1!B200),"",Лист1!B200)</f>
        <v>маусымдағы</v>
      </c>
      <c r="C200" s="5" t="str">
        <f>IF(ISBLANK(Лист1!C200),"",Лист1!C200)</f>
        <v>189</v>
      </c>
      <c r="D200" s="5" t="str">
        <f>IF(ISBLANK(Лист1!D200),"",Лист1!D200)</f>
        <v>Якшиметова  Аяулым  Орынбасарқызына</v>
      </c>
      <c r="E200" s="5" t="str">
        <f>IF(ISBLANK(Лист1!E200),"",Лист1!E200)</f>
        <v>"6В01705 - Шетел тілі: екі шетел тілі (ағылшын)", В018-Шет тілі мұғалімдерін даярлау</v>
      </c>
      <c r="F200" s="5" t="str">
        <f>IF(ISBLANK(Лист1!F200),"",Лист1!F200)</f>
        <v>білім</v>
      </c>
      <c r="G200" s="5" t="str">
        <f>IF(ISBLANK(Лист1!G200),"",Лист1!G200)</f>
        <v>күндізгі</v>
      </c>
      <c r="H200" s="5" t="str">
        <f>IF(ISBLANK(Лист1!H200),"",Лист1!H200)</f>
        <v>Yakshimetova  Ayaulym</v>
      </c>
      <c r="I200" s="5" t="str">
        <f>IF(ISBLANK(Лист1!I200),"",Лист1!I200)</f>
        <v>Education</v>
      </c>
      <c r="J200" s="5" t="str">
        <f>IF(ISBLANK(Лист1!J200),"",Лист1!J200)</f>
        <v>"6B01705 - Foreign language: two foreign languages (English)", B018-Training of foreign language teachers</v>
      </c>
      <c r="K200" s="5" t="str">
        <f>IF(ISBLANK(Лист1!K200),"",Лист1!K200)</f>
        <v>full-time</v>
      </c>
      <c r="L200" s="5" t="str">
        <f>IF(ISBLANK(Лист1!L200),"",Лист1!L200)</f>
        <v>21</v>
      </c>
      <c r="M200" s="5" t="str">
        <f>IF(ISBLANK(Лист1!M200),"",Лист1!M200)</f>
        <v>June</v>
      </c>
      <c r="N200" s="5" t="str">
        <f>IF(ISBLANK(Лист1!N200),"",Лист1!N200)</f>
        <v>21</v>
      </c>
      <c r="O200" s="5" t="str">
        <f>IF(ISBLANK(Лист1!O200),"",Лист1!O200)</f>
        <v>июня</v>
      </c>
      <c r="P200" s="5" t="str">
        <f>IF(ISBLANK(Лист1!P200),"",Лист1!P200)</f>
        <v>189</v>
      </c>
      <c r="Q200" s="5" t="str">
        <f>IF(ISBLANK(Лист1!Q200),"",Лист1!Q200)</f>
        <v>Якшиметова  Аяулым  Орынбасарқызы</v>
      </c>
      <c r="R200" s="5" t="str">
        <f>IF(ISBLANK(Лист1!R200),"",Лист1!R200)</f>
        <v>образования</v>
      </c>
      <c r="S200" s="5" t="str">
        <f>IF(ISBLANK(Лист1!S200),"",Лист1!S200)</f>
        <v>"6B01705 - Иностранный язык: два иностранных языка (английский)", В018-Подготовка учителей иностранного языка</v>
      </c>
      <c r="T200" s="5" t="str">
        <f>IF(ISBLANK(Лист1!T200),"",Лист1!T200)</f>
        <v>очное</v>
      </c>
      <c r="U200" s="5" t="str">
        <f>IF(ISBLANK(Лист1!U200),"",Лист1!U200)</f>
        <v/>
      </c>
      <c r="V200" s="5" t="str">
        <f>IF(ISBLANK(Лист1!V200),"",Лист1!V200)</f>
        <v>28</v>
      </c>
      <c r="W200" s="5" t="str">
        <f>IF(ISBLANK(Лист1!W200),"",Лист1!W200)</f>
        <v>маусым</v>
      </c>
      <c r="X200" s="5" t="str">
        <f>IF(ISBLANK(Лист1!X200),"",Лист1!X200)</f>
        <v>040706601667</v>
      </c>
      <c r="Y200" s="5" t="str">
        <f>IF(ISERROR(VLOOKUP($X200,Лист2!$A$2:$G$498,1,FALSE)),"",VLOOKUP($X200,Лист2!$A$2:$G$498,1,FALSE))</f>
        <v>040706601667</v>
      </c>
      <c r="Z200" s="5" t="str">
        <f>IF(ISERROR(VLOOKUP($X200,Лист2!$A$2:$L$498,9,FALSE)),"",VLOOKUP($X200,Лист2!$A$2:$L$498,9,FALSE))</f>
        <v>BD</v>
      </c>
      <c r="AA200" s="5" t="str">
        <f>IF(ISERROR(VLOOKUP($X200,Лист2!$A$2:$L$498,10,FALSE)),"",VLOOKUP($X200,Лист2!$A$2:$L$498,10,FALSE))</f>
        <v>00025681725</v>
      </c>
      <c r="AB200" s="5" t="str">
        <f>IF(ISERROR(VLOOKUP($X200,Лист2!$A$2:$M$498,13,FALSE)),"",VLOOKUP($X200,Лист2!$A$2:$M$498,13,FALSE))</f>
        <v>https://epvo.kz/#/verification_education_document?iin=040706601667&amp;diplomaSeries=BD&amp;diplomaNumber=00025681725</v>
      </c>
    </row>
    <row r="201" spans="1:28" x14ac:dyDescent="0.25">
      <c r="A201" s="5" t="str">
        <f>IF(ISBLANK(Лист1!A201),"",Лист1!A201)</f>
        <v/>
      </c>
      <c r="B201" s="5" t="str">
        <f>IF(ISBLANK(Лист1!B201),"",Лист1!B201)</f>
        <v/>
      </c>
      <c r="C201" s="5" t="str">
        <f>IF(ISBLANK(Лист1!C201),"",Лист1!C201)</f>
        <v/>
      </c>
      <c r="D201" s="5" t="str">
        <f>IF(ISBLANK(Лист1!D201),"",Лист1!D201)</f>
        <v/>
      </c>
      <c r="E201" s="5" t="str">
        <f>IF(ISBLANK(Лист1!E201),"",Лист1!E201)</f>
        <v/>
      </c>
      <c r="F201" s="5" t="str">
        <f>IF(ISBLANK(Лист1!F201),"",Лист1!F201)</f>
        <v/>
      </c>
      <c r="G201" s="5" t="str">
        <f>IF(ISBLANK(Лист1!G201),"",Лист1!G201)</f>
        <v/>
      </c>
      <c r="H201" s="5" t="str">
        <f>IF(ISBLANK(Лист1!H201),"",Лист1!H201)</f>
        <v/>
      </c>
      <c r="I201" s="5" t="str">
        <f>IF(ISBLANK(Лист1!I201),"",Лист1!I201)</f>
        <v/>
      </c>
      <c r="J201" s="5" t="str">
        <f>IF(ISBLANK(Лист1!J201),"",Лист1!J201)</f>
        <v/>
      </c>
      <c r="K201" s="5" t="str">
        <f>IF(ISBLANK(Лист1!K201),"",Лист1!K201)</f>
        <v/>
      </c>
      <c r="L201" s="5" t="str">
        <f>IF(ISBLANK(Лист1!L201),"",Лист1!L201)</f>
        <v/>
      </c>
      <c r="M201" s="5" t="str">
        <f>IF(ISBLANK(Лист1!M201),"",Лист1!M201)</f>
        <v/>
      </c>
      <c r="N201" s="5" t="str">
        <f>IF(ISBLANK(Лист1!N201),"",Лист1!N201)</f>
        <v/>
      </c>
      <c r="O201" s="5" t="str">
        <f>IF(ISBLANK(Лист1!O201),"",Лист1!O201)</f>
        <v/>
      </c>
      <c r="P201" s="5" t="str">
        <f>IF(ISBLANK(Лист1!P201),"",Лист1!P201)</f>
        <v/>
      </c>
      <c r="Q201" s="5" t="str">
        <f>IF(ISBLANK(Лист1!Q201),"",Лист1!Q201)</f>
        <v/>
      </c>
      <c r="R201" s="5" t="str">
        <f>IF(ISBLANK(Лист1!R201),"",Лист1!R201)</f>
        <v/>
      </c>
      <c r="S201" s="5" t="str">
        <f>IF(ISBLANK(Лист1!S201),"",Лист1!S201)</f>
        <v/>
      </c>
      <c r="T201" s="5" t="str">
        <f>IF(ISBLANK(Лист1!T201),"",Лист1!T201)</f>
        <v/>
      </c>
      <c r="U201" s="5" t="str">
        <f>IF(ISBLANK(Лист1!U201),"",Лист1!U201)</f>
        <v/>
      </c>
      <c r="V201" s="5" t="str">
        <f>IF(ISBLANK(Лист1!V201),"",Лист1!V201)</f>
        <v/>
      </c>
      <c r="W201" s="5" t="str">
        <f>IF(ISBLANK(Лист1!W201),"",Лист1!W201)</f>
        <v/>
      </c>
      <c r="X201" s="5" t="str">
        <f>IF(ISBLANK(Лист1!X201),"",Лист1!X201)</f>
        <v/>
      </c>
      <c r="Y201" s="5" t="str">
        <f>IF(ISERROR(VLOOKUP($X201,Лист2!$A$2:$G$498,1,FALSE)),"",VLOOKUP($X201,Лист2!$A$2:$G$498,1,FALSE))</f>
        <v/>
      </c>
      <c r="Z201" s="5" t="str">
        <f>IF(ISERROR(VLOOKUP($X201,Лист2!$A$2:$G$498,5,FALSE)),"",VLOOKUP($X201,Лист2!$A$2:$G$498,5,FALSE))</f>
        <v/>
      </c>
      <c r="AA201" s="5" t="str">
        <f>IF(ISERROR(VLOOKUP($X201,Лист2!$A$2:$G$498,6,FALSE)),"",VLOOKUP($X201,Лист2!$A$2:$G$498,6,FALSE))</f>
        <v/>
      </c>
      <c r="AB201" s="5" t="str">
        <f>IF(ISERROR(VLOOKUP($X201,Лист2!$A$2:$G$498,7,FALSE)),"",VLOOKUP($X201,Лист2!$A$2:$G$498,7,FALSE))</f>
        <v/>
      </c>
    </row>
    <row r="202" spans="1:28" x14ac:dyDescent="0.25">
      <c r="A202" s="5" t="str">
        <f>IF(ISBLANK(Лист1!A202),"",Лист1!A202)</f>
        <v/>
      </c>
      <c r="B202" s="5" t="str">
        <f>IF(ISBLANK(Лист1!B202),"",Лист1!B202)</f>
        <v/>
      </c>
      <c r="C202" s="5" t="str">
        <f>IF(ISBLANK(Лист1!C202),"",Лист1!C202)</f>
        <v/>
      </c>
      <c r="D202" s="5" t="str">
        <f>IF(ISBLANK(Лист1!D202),"",Лист1!D202)</f>
        <v/>
      </c>
      <c r="E202" s="5" t="str">
        <f>IF(ISBLANK(Лист1!E202),"",Лист1!E202)</f>
        <v/>
      </c>
      <c r="F202" s="5" t="str">
        <f>IF(ISBLANK(Лист1!F202),"",Лист1!F202)</f>
        <v/>
      </c>
      <c r="G202" s="5" t="str">
        <f>IF(ISBLANK(Лист1!G202),"",Лист1!G202)</f>
        <v/>
      </c>
      <c r="H202" s="5" t="str">
        <f>IF(ISBLANK(Лист1!H202),"",Лист1!H202)</f>
        <v/>
      </c>
      <c r="I202" s="5" t="str">
        <f>IF(ISBLANK(Лист1!I202),"",Лист1!I202)</f>
        <v/>
      </c>
      <c r="J202" s="5" t="str">
        <f>IF(ISBLANK(Лист1!J202),"",Лист1!J202)</f>
        <v/>
      </c>
      <c r="K202" s="5" t="str">
        <f>IF(ISBLANK(Лист1!K202),"",Лист1!K202)</f>
        <v/>
      </c>
      <c r="L202" s="5" t="str">
        <f>IF(ISBLANK(Лист1!L202),"",Лист1!L202)</f>
        <v/>
      </c>
      <c r="M202" s="5" t="str">
        <f>IF(ISBLANK(Лист1!M202),"",Лист1!M202)</f>
        <v/>
      </c>
      <c r="N202" s="5" t="str">
        <f>IF(ISBLANK(Лист1!N202),"",Лист1!N202)</f>
        <v/>
      </c>
      <c r="O202" s="5" t="str">
        <f>IF(ISBLANK(Лист1!O202),"",Лист1!O202)</f>
        <v/>
      </c>
      <c r="P202" s="5" t="str">
        <f>IF(ISBLANK(Лист1!P202),"",Лист1!P202)</f>
        <v/>
      </c>
      <c r="Q202" s="5" t="str">
        <f>IF(ISBLANK(Лист1!Q202),"",Лист1!Q202)</f>
        <v/>
      </c>
      <c r="R202" s="5" t="str">
        <f>IF(ISBLANK(Лист1!R202),"",Лист1!R202)</f>
        <v/>
      </c>
      <c r="S202" s="5" t="str">
        <f>IF(ISBLANK(Лист1!S202),"",Лист1!S202)</f>
        <v/>
      </c>
      <c r="T202" s="5" t="str">
        <f>IF(ISBLANK(Лист1!T202),"",Лист1!T202)</f>
        <v/>
      </c>
      <c r="U202" s="5" t="str">
        <f>IF(ISBLANK(Лист1!U202),"",Лист1!U202)</f>
        <v/>
      </c>
      <c r="V202" s="5" t="str">
        <f>IF(ISBLANK(Лист1!V202),"",Лист1!V202)</f>
        <v/>
      </c>
      <c r="W202" s="5" t="str">
        <f>IF(ISBLANK(Лист1!W202),"",Лист1!W202)</f>
        <v/>
      </c>
      <c r="X202" s="5" t="str">
        <f>IF(ISBLANK(Лист1!X202),"",Лист1!X202)</f>
        <v/>
      </c>
      <c r="Y202" s="5" t="str">
        <f>IF(ISERROR(VLOOKUP($X202,Лист2!$A$2:$G$498,1,FALSE)),"",VLOOKUP($X202,Лист2!$A$2:$G$498,1,FALSE))</f>
        <v/>
      </c>
      <c r="Z202" s="5" t="str">
        <f>IF(ISERROR(VLOOKUP($X202,Лист2!$A$2:$G$498,5,FALSE)),"",VLOOKUP($X202,Лист2!$A$2:$G$498,5,FALSE))</f>
        <v/>
      </c>
      <c r="AA202" s="5" t="str">
        <f>IF(ISERROR(VLOOKUP($X202,Лист2!$A$2:$G$498,6,FALSE)),"",VLOOKUP($X202,Лист2!$A$2:$G$498,6,FALSE))</f>
        <v/>
      </c>
      <c r="AB202" s="5" t="str">
        <f>IF(ISERROR(VLOOKUP($X202,Лист2!$A$2:$G$498,7,FALSE)),"",VLOOKUP($X202,Лист2!$A$2:$G$498,7,FALSE))</f>
        <v/>
      </c>
    </row>
    <row r="203" spans="1:28" x14ac:dyDescent="0.25">
      <c r="A203" s="5" t="str">
        <f>IF(ISBLANK(Лист1!A203),"",Лист1!A203)</f>
        <v/>
      </c>
      <c r="B203" s="5" t="str">
        <f>IF(ISBLANK(Лист1!B203),"",Лист1!B203)</f>
        <v/>
      </c>
      <c r="C203" s="5" t="str">
        <f>IF(ISBLANK(Лист1!C203),"",Лист1!C203)</f>
        <v/>
      </c>
      <c r="D203" s="5" t="str">
        <f>IF(ISBLANK(Лист1!D203),"",Лист1!D203)</f>
        <v/>
      </c>
      <c r="E203" s="5" t="str">
        <f>IF(ISBLANK(Лист1!E203),"",Лист1!E203)</f>
        <v/>
      </c>
      <c r="F203" s="5" t="str">
        <f>IF(ISBLANK(Лист1!F203),"",Лист1!F203)</f>
        <v/>
      </c>
      <c r="G203" s="5" t="str">
        <f>IF(ISBLANK(Лист1!G203),"",Лист1!G203)</f>
        <v/>
      </c>
      <c r="H203" s="5" t="str">
        <f>IF(ISBLANK(Лист1!H203),"",Лист1!H203)</f>
        <v/>
      </c>
      <c r="I203" s="5" t="str">
        <f>IF(ISBLANK(Лист1!I203),"",Лист1!I203)</f>
        <v/>
      </c>
      <c r="J203" s="5" t="str">
        <f>IF(ISBLANK(Лист1!J203),"",Лист1!J203)</f>
        <v/>
      </c>
      <c r="K203" s="5" t="str">
        <f>IF(ISBLANK(Лист1!K203),"",Лист1!K203)</f>
        <v/>
      </c>
      <c r="L203" s="5" t="str">
        <f>IF(ISBLANK(Лист1!L203),"",Лист1!L203)</f>
        <v/>
      </c>
      <c r="M203" s="5" t="str">
        <f>IF(ISBLANK(Лист1!M203),"",Лист1!M203)</f>
        <v/>
      </c>
      <c r="N203" s="5" t="str">
        <f>IF(ISBLANK(Лист1!N203),"",Лист1!N203)</f>
        <v/>
      </c>
      <c r="O203" s="5" t="str">
        <f>IF(ISBLANK(Лист1!O203),"",Лист1!O203)</f>
        <v/>
      </c>
      <c r="P203" s="5" t="str">
        <f>IF(ISBLANK(Лист1!P203),"",Лист1!P203)</f>
        <v/>
      </c>
      <c r="Q203" s="5" t="str">
        <f>IF(ISBLANK(Лист1!Q203),"",Лист1!Q203)</f>
        <v/>
      </c>
      <c r="R203" s="5" t="str">
        <f>IF(ISBLANK(Лист1!R203),"",Лист1!R203)</f>
        <v/>
      </c>
      <c r="S203" s="5" t="str">
        <f>IF(ISBLANK(Лист1!S203),"",Лист1!S203)</f>
        <v/>
      </c>
      <c r="T203" s="5" t="str">
        <f>IF(ISBLANK(Лист1!T203),"",Лист1!T203)</f>
        <v/>
      </c>
      <c r="U203" s="5" t="str">
        <f>IF(ISBLANK(Лист1!U203),"",Лист1!U203)</f>
        <v/>
      </c>
      <c r="V203" s="5" t="str">
        <f>IF(ISBLANK(Лист1!V203),"",Лист1!V203)</f>
        <v/>
      </c>
      <c r="W203" s="5" t="str">
        <f>IF(ISBLANK(Лист1!W203),"",Лист1!W203)</f>
        <v/>
      </c>
      <c r="X203" s="5" t="str">
        <f>IF(ISBLANK(Лист1!X203),"",Лист1!X203)</f>
        <v/>
      </c>
      <c r="Y203" s="5" t="str">
        <f>IF(ISERROR(VLOOKUP($X203,Лист2!$A$2:$G$498,1,FALSE)),"",VLOOKUP($X203,Лист2!$A$2:$G$498,1,FALSE))</f>
        <v/>
      </c>
      <c r="Z203" s="5" t="str">
        <f>IF(ISERROR(VLOOKUP($X203,Лист2!$A$2:$G$498,5,FALSE)),"",VLOOKUP($X203,Лист2!$A$2:$G$498,5,FALSE))</f>
        <v/>
      </c>
      <c r="AA203" s="5" t="str">
        <f>IF(ISERROR(VLOOKUP($X203,Лист2!$A$2:$G$498,6,FALSE)),"",VLOOKUP($X203,Лист2!$A$2:$G$498,6,FALSE))</f>
        <v/>
      </c>
      <c r="AB203" s="5" t="str">
        <f>IF(ISERROR(VLOOKUP($X203,Лист2!$A$2:$G$498,7,FALSE)),"",VLOOKUP($X203,Лист2!$A$2:$G$498,7,FALSE))</f>
        <v/>
      </c>
    </row>
    <row r="204" spans="1:28" x14ac:dyDescent="0.25">
      <c r="A204" s="5" t="str">
        <f>IF(ISBLANK(Лист1!A204),"",Лист1!A204)</f>
        <v/>
      </c>
      <c r="B204" s="5" t="str">
        <f>IF(ISBLANK(Лист1!B204),"",Лист1!B204)</f>
        <v/>
      </c>
      <c r="C204" s="5" t="str">
        <f>IF(ISBLANK(Лист1!C204),"",Лист1!C204)</f>
        <v/>
      </c>
      <c r="D204" s="5" t="str">
        <f>IF(ISBLANK(Лист1!D204),"",Лист1!D204)</f>
        <v/>
      </c>
      <c r="E204" s="5" t="str">
        <f>IF(ISBLANK(Лист1!E204),"",Лист1!E204)</f>
        <v/>
      </c>
      <c r="F204" s="5" t="str">
        <f>IF(ISBLANK(Лист1!F204),"",Лист1!F204)</f>
        <v/>
      </c>
      <c r="G204" s="5" t="str">
        <f>IF(ISBLANK(Лист1!G204),"",Лист1!G204)</f>
        <v/>
      </c>
      <c r="H204" s="5" t="str">
        <f>IF(ISBLANK(Лист1!H204),"",Лист1!H204)</f>
        <v/>
      </c>
      <c r="I204" s="5" t="str">
        <f>IF(ISBLANK(Лист1!I204),"",Лист1!I204)</f>
        <v/>
      </c>
      <c r="J204" s="5" t="str">
        <f>IF(ISBLANK(Лист1!J204),"",Лист1!J204)</f>
        <v/>
      </c>
      <c r="K204" s="5" t="str">
        <f>IF(ISBLANK(Лист1!K204),"",Лист1!K204)</f>
        <v/>
      </c>
      <c r="L204" s="5" t="str">
        <f>IF(ISBLANK(Лист1!L204),"",Лист1!L204)</f>
        <v/>
      </c>
      <c r="M204" s="5" t="str">
        <f>IF(ISBLANK(Лист1!M204),"",Лист1!M204)</f>
        <v/>
      </c>
      <c r="N204" s="5" t="str">
        <f>IF(ISBLANK(Лист1!N204),"",Лист1!N204)</f>
        <v/>
      </c>
      <c r="O204" s="5" t="str">
        <f>IF(ISBLANK(Лист1!O204),"",Лист1!O204)</f>
        <v/>
      </c>
      <c r="P204" s="5" t="str">
        <f>IF(ISBLANK(Лист1!P204),"",Лист1!P204)</f>
        <v/>
      </c>
      <c r="Q204" s="5" t="str">
        <f>IF(ISBLANK(Лист1!Q204),"",Лист1!Q204)</f>
        <v/>
      </c>
      <c r="R204" s="5" t="str">
        <f>IF(ISBLANK(Лист1!R204),"",Лист1!R204)</f>
        <v/>
      </c>
      <c r="S204" s="5" t="str">
        <f>IF(ISBLANK(Лист1!S204),"",Лист1!S204)</f>
        <v/>
      </c>
      <c r="T204" s="5" t="str">
        <f>IF(ISBLANK(Лист1!T204),"",Лист1!T204)</f>
        <v/>
      </c>
      <c r="U204" s="5" t="str">
        <f>IF(ISBLANK(Лист1!U204),"",Лист1!U204)</f>
        <v/>
      </c>
      <c r="V204" s="5" t="str">
        <f>IF(ISBLANK(Лист1!V204),"",Лист1!V204)</f>
        <v/>
      </c>
      <c r="W204" s="5" t="str">
        <f>IF(ISBLANK(Лист1!W204),"",Лист1!W204)</f>
        <v/>
      </c>
      <c r="X204" s="5" t="str">
        <f>IF(ISBLANK(Лист1!X204),"",Лист1!X204)</f>
        <v/>
      </c>
      <c r="Y204" s="5" t="str">
        <f>IF(ISERROR(VLOOKUP($X204,Лист2!$A$2:$G$498,1,FALSE)),"",VLOOKUP($X204,Лист2!$A$2:$G$498,1,FALSE))</f>
        <v/>
      </c>
      <c r="Z204" s="5" t="str">
        <f>IF(ISERROR(VLOOKUP($X204,Лист2!$A$2:$G$498,5,FALSE)),"",VLOOKUP($X204,Лист2!$A$2:$G$498,5,FALSE))</f>
        <v/>
      </c>
      <c r="AA204" s="5" t="str">
        <f>IF(ISERROR(VLOOKUP($X204,Лист2!$A$2:$G$498,6,FALSE)),"",VLOOKUP($X204,Лист2!$A$2:$G$498,6,FALSE))</f>
        <v/>
      </c>
      <c r="AB204" s="5" t="str">
        <f>IF(ISERROR(VLOOKUP($X204,Лист2!$A$2:$G$498,7,FALSE)),"",VLOOKUP($X204,Лист2!$A$2:$G$498,7,FALSE))</f>
        <v/>
      </c>
    </row>
    <row r="205" spans="1:28" x14ac:dyDescent="0.25">
      <c r="A205" s="5" t="str">
        <f>IF(ISBLANK(Лист1!A205),"",Лист1!A205)</f>
        <v/>
      </c>
      <c r="B205" s="5" t="str">
        <f>IF(ISBLANK(Лист1!B205),"",Лист1!B205)</f>
        <v/>
      </c>
      <c r="C205" s="5" t="str">
        <f>IF(ISBLANK(Лист1!C205),"",Лист1!C205)</f>
        <v/>
      </c>
      <c r="D205" s="5" t="str">
        <f>IF(ISBLANK(Лист1!D205),"",Лист1!D205)</f>
        <v/>
      </c>
      <c r="E205" s="5" t="str">
        <f>IF(ISBLANK(Лист1!E205),"",Лист1!E205)</f>
        <v/>
      </c>
      <c r="F205" s="5" t="str">
        <f>IF(ISBLANK(Лист1!F205),"",Лист1!F205)</f>
        <v/>
      </c>
      <c r="G205" s="5" t="str">
        <f>IF(ISBLANK(Лист1!G205),"",Лист1!G205)</f>
        <v/>
      </c>
      <c r="H205" s="5" t="str">
        <f>IF(ISBLANK(Лист1!H205),"",Лист1!H205)</f>
        <v/>
      </c>
      <c r="I205" s="5" t="str">
        <f>IF(ISBLANK(Лист1!I205),"",Лист1!I205)</f>
        <v/>
      </c>
      <c r="J205" s="5" t="str">
        <f>IF(ISBLANK(Лист1!J205),"",Лист1!J205)</f>
        <v/>
      </c>
      <c r="K205" s="5" t="str">
        <f>IF(ISBLANK(Лист1!K205),"",Лист1!K205)</f>
        <v/>
      </c>
      <c r="L205" s="5" t="str">
        <f>IF(ISBLANK(Лист1!L205),"",Лист1!L205)</f>
        <v/>
      </c>
      <c r="M205" s="5" t="str">
        <f>IF(ISBLANK(Лист1!M205),"",Лист1!M205)</f>
        <v/>
      </c>
      <c r="N205" s="5" t="str">
        <f>IF(ISBLANK(Лист1!N205),"",Лист1!N205)</f>
        <v/>
      </c>
      <c r="O205" s="5" t="str">
        <f>IF(ISBLANK(Лист1!O205),"",Лист1!O205)</f>
        <v/>
      </c>
      <c r="P205" s="5" t="str">
        <f>IF(ISBLANK(Лист1!P205),"",Лист1!P205)</f>
        <v/>
      </c>
      <c r="Q205" s="5" t="str">
        <f>IF(ISBLANK(Лист1!Q205),"",Лист1!Q205)</f>
        <v/>
      </c>
      <c r="R205" s="5" t="str">
        <f>IF(ISBLANK(Лист1!R205),"",Лист1!R205)</f>
        <v/>
      </c>
      <c r="S205" s="5" t="str">
        <f>IF(ISBLANK(Лист1!S205),"",Лист1!S205)</f>
        <v/>
      </c>
      <c r="T205" s="5" t="str">
        <f>IF(ISBLANK(Лист1!T205),"",Лист1!T205)</f>
        <v/>
      </c>
      <c r="U205" s="5" t="str">
        <f>IF(ISBLANK(Лист1!U205),"",Лист1!U205)</f>
        <v/>
      </c>
      <c r="V205" s="5" t="str">
        <f>IF(ISBLANK(Лист1!V205),"",Лист1!V205)</f>
        <v/>
      </c>
      <c r="W205" s="5" t="str">
        <f>IF(ISBLANK(Лист1!W205),"",Лист1!W205)</f>
        <v/>
      </c>
      <c r="X205" s="5" t="str">
        <f>IF(ISBLANK(Лист1!X205),"",Лист1!X205)</f>
        <v/>
      </c>
      <c r="Y205" s="5" t="str">
        <f>IF(ISERROR(VLOOKUP($X205,Лист2!$A$2:$G$498,1,FALSE)),"",VLOOKUP($X205,Лист2!$A$2:$G$498,1,FALSE))</f>
        <v/>
      </c>
      <c r="Z205" s="5" t="str">
        <f>IF(ISERROR(VLOOKUP($X205,Лист2!$A$2:$G$498,5,FALSE)),"",VLOOKUP($X205,Лист2!$A$2:$G$498,5,FALSE))</f>
        <v/>
      </c>
      <c r="AA205" s="5" t="str">
        <f>IF(ISERROR(VLOOKUP($X205,Лист2!$A$2:$G$498,6,FALSE)),"",VLOOKUP($X205,Лист2!$A$2:$G$498,6,FALSE))</f>
        <v/>
      </c>
      <c r="AB205" s="5" t="str">
        <f>IF(ISERROR(VLOOKUP($X205,Лист2!$A$2:$G$498,7,FALSE)),"",VLOOKUP($X205,Лист2!$A$2:$G$498,7,FALSE))</f>
        <v/>
      </c>
    </row>
    <row r="206" spans="1:28" x14ac:dyDescent="0.25">
      <c r="A206" s="5" t="str">
        <f>IF(ISBLANK(Лист1!A206),"",Лист1!A206)</f>
        <v/>
      </c>
      <c r="B206" s="5" t="str">
        <f>IF(ISBLANK(Лист1!B206),"",Лист1!B206)</f>
        <v/>
      </c>
      <c r="C206" s="5" t="str">
        <f>IF(ISBLANK(Лист1!C206),"",Лист1!C206)</f>
        <v/>
      </c>
      <c r="D206" s="5" t="str">
        <f>IF(ISBLANK(Лист1!D206),"",Лист1!D206)</f>
        <v/>
      </c>
      <c r="E206" s="5" t="str">
        <f>IF(ISBLANK(Лист1!E206),"",Лист1!E206)</f>
        <v/>
      </c>
      <c r="F206" s="5" t="str">
        <f>IF(ISBLANK(Лист1!F206),"",Лист1!F206)</f>
        <v/>
      </c>
      <c r="G206" s="5" t="str">
        <f>IF(ISBLANK(Лист1!G206),"",Лист1!G206)</f>
        <v/>
      </c>
      <c r="H206" s="5" t="str">
        <f>IF(ISBLANK(Лист1!H206),"",Лист1!H206)</f>
        <v/>
      </c>
      <c r="I206" s="5" t="str">
        <f>IF(ISBLANK(Лист1!I206),"",Лист1!I206)</f>
        <v/>
      </c>
      <c r="J206" s="5" t="str">
        <f>IF(ISBLANK(Лист1!J206),"",Лист1!J206)</f>
        <v/>
      </c>
      <c r="K206" s="5" t="str">
        <f>IF(ISBLANK(Лист1!K206),"",Лист1!K206)</f>
        <v/>
      </c>
      <c r="L206" s="5" t="str">
        <f>IF(ISBLANK(Лист1!L206),"",Лист1!L206)</f>
        <v/>
      </c>
      <c r="M206" s="5" t="str">
        <f>IF(ISBLANK(Лист1!M206),"",Лист1!M206)</f>
        <v/>
      </c>
      <c r="N206" s="5" t="str">
        <f>IF(ISBLANK(Лист1!N206),"",Лист1!N206)</f>
        <v/>
      </c>
      <c r="O206" s="5" t="str">
        <f>IF(ISBLANK(Лист1!O206),"",Лист1!O206)</f>
        <v/>
      </c>
      <c r="P206" s="5" t="str">
        <f>IF(ISBLANK(Лист1!P206),"",Лист1!P206)</f>
        <v/>
      </c>
      <c r="Q206" s="5" t="str">
        <f>IF(ISBLANK(Лист1!Q206),"",Лист1!Q206)</f>
        <v/>
      </c>
      <c r="R206" s="5" t="str">
        <f>IF(ISBLANK(Лист1!R206),"",Лист1!R206)</f>
        <v/>
      </c>
      <c r="S206" s="5" t="str">
        <f>IF(ISBLANK(Лист1!S206),"",Лист1!S206)</f>
        <v/>
      </c>
      <c r="T206" s="5" t="str">
        <f>IF(ISBLANK(Лист1!T206),"",Лист1!T206)</f>
        <v/>
      </c>
      <c r="U206" s="5" t="str">
        <f>IF(ISBLANK(Лист1!U206),"",Лист1!U206)</f>
        <v/>
      </c>
      <c r="V206" s="5" t="str">
        <f>IF(ISBLANK(Лист1!V206),"",Лист1!V206)</f>
        <v/>
      </c>
      <c r="W206" s="5" t="str">
        <f>IF(ISBLANK(Лист1!W206),"",Лист1!W206)</f>
        <v/>
      </c>
      <c r="X206" s="5" t="str">
        <f>IF(ISBLANK(Лист1!X206),"",Лист1!X206)</f>
        <v/>
      </c>
      <c r="Y206" s="5" t="str">
        <f>IF(ISERROR(VLOOKUP($X206,Лист2!$A$2:$G$498,1,FALSE)),"",VLOOKUP($X206,Лист2!$A$2:$G$498,1,FALSE))</f>
        <v/>
      </c>
      <c r="Z206" s="5" t="str">
        <f>IF(ISERROR(VLOOKUP($X206,Лист2!$A$2:$G$498,5,FALSE)),"",VLOOKUP($X206,Лист2!$A$2:$G$498,5,FALSE))</f>
        <v/>
      </c>
      <c r="AA206" s="5" t="str">
        <f>IF(ISERROR(VLOOKUP($X206,Лист2!$A$2:$G$498,6,FALSE)),"",VLOOKUP($X206,Лист2!$A$2:$G$498,6,FALSE))</f>
        <v/>
      </c>
      <c r="AB206" s="5" t="str">
        <f>IF(ISERROR(VLOOKUP($X206,Лист2!$A$2:$G$498,7,FALSE)),"",VLOOKUP($X206,Лист2!$A$2:$G$498,7,FALSE))</f>
        <v/>
      </c>
    </row>
    <row r="207" spans="1:28" x14ac:dyDescent="0.25">
      <c r="A207" s="5" t="str">
        <f>IF(ISBLANK(Лист1!A207),"",Лист1!A207)</f>
        <v/>
      </c>
      <c r="B207" s="5" t="str">
        <f>IF(ISBLANK(Лист1!B207),"",Лист1!B207)</f>
        <v/>
      </c>
      <c r="C207" s="5" t="str">
        <f>IF(ISBLANK(Лист1!C207),"",Лист1!C207)</f>
        <v/>
      </c>
      <c r="D207" s="5" t="str">
        <f>IF(ISBLANK(Лист1!D207),"",Лист1!D207)</f>
        <v/>
      </c>
      <c r="E207" s="5" t="str">
        <f>IF(ISBLANK(Лист1!E207),"",Лист1!E207)</f>
        <v/>
      </c>
      <c r="F207" s="5" t="str">
        <f>IF(ISBLANK(Лист1!F207),"",Лист1!F207)</f>
        <v/>
      </c>
      <c r="G207" s="5" t="str">
        <f>IF(ISBLANK(Лист1!G207),"",Лист1!G207)</f>
        <v/>
      </c>
      <c r="H207" s="5" t="str">
        <f>IF(ISBLANK(Лист1!H207),"",Лист1!H207)</f>
        <v/>
      </c>
      <c r="I207" s="5" t="str">
        <f>IF(ISBLANK(Лист1!I207),"",Лист1!I207)</f>
        <v/>
      </c>
      <c r="J207" s="5" t="str">
        <f>IF(ISBLANK(Лист1!J207),"",Лист1!J207)</f>
        <v/>
      </c>
      <c r="K207" s="5" t="str">
        <f>IF(ISBLANK(Лист1!K207),"",Лист1!K207)</f>
        <v/>
      </c>
      <c r="L207" s="5" t="str">
        <f>IF(ISBLANK(Лист1!L207),"",Лист1!L207)</f>
        <v/>
      </c>
      <c r="M207" s="5" t="str">
        <f>IF(ISBLANK(Лист1!M207),"",Лист1!M207)</f>
        <v/>
      </c>
      <c r="N207" s="5" t="str">
        <f>IF(ISBLANK(Лист1!N207),"",Лист1!N207)</f>
        <v/>
      </c>
      <c r="O207" s="5" t="str">
        <f>IF(ISBLANK(Лист1!O207),"",Лист1!O207)</f>
        <v/>
      </c>
      <c r="P207" s="5" t="str">
        <f>IF(ISBLANK(Лист1!P207),"",Лист1!P207)</f>
        <v/>
      </c>
      <c r="Q207" s="5" t="str">
        <f>IF(ISBLANK(Лист1!Q207),"",Лист1!Q207)</f>
        <v/>
      </c>
      <c r="R207" s="5" t="str">
        <f>IF(ISBLANK(Лист1!R207),"",Лист1!R207)</f>
        <v/>
      </c>
      <c r="S207" s="5" t="str">
        <f>IF(ISBLANK(Лист1!S207),"",Лист1!S207)</f>
        <v/>
      </c>
      <c r="T207" s="5" t="str">
        <f>IF(ISBLANK(Лист1!T207),"",Лист1!T207)</f>
        <v/>
      </c>
      <c r="U207" s="5" t="str">
        <f>IF(ISBLANK(Лист1!U207),"",Лист1!U207)</f>
        <v/>
      </c>
      <c r="V207" s="5" t="str">
        <f>IF(ISBLANK(Лист1!V207),"",Лист1!V207)</f>
        <v/>
      </c>
      <c r="W207" s="5" t="str">
        <f>IF(ISBLANK(Лист1!W207),"",Лист1!W207)</f>
        <v/>
      </c>
      <c r="X207" s="5" t="str">
        <f>IF(ISBLANK(Лист1!X207),"",Лист1!X207)</f>
        <v/>
      </c>
      <c r="Y207" s="5" t="str">
        <f>IF(ISERROR(VLOOKUP($X207,Лист2!$A$2:$G$498,1,FALSE)),"",VLOOKUP($X207,Лист2!$A$2:$G$498,1,FALSE))</f>
        <v/>
      </c>
      <c r="Z207" s="5" t="str">
        <f>IF(ISERROR(VLOOKUP($X207,Лист2!$A$2:$G$498,5,FALSE)),"",VLOOKUP($X207,Лист2!$A$2:$G$498,5,FALSE))</f>
        <v/>
      </c>
      <c r="AA207" s="5" t="str">
        <f>IF(ISERROR(VLOOKUP($X207,Лист2!$A$2:$G$498,6,FALSE)),"",VLOOKUP($X207,Лист2!$A$2:$G$498,6,FALSE))</f>
        <v/>
      </c>
      <c r="AB207" s="5" t="str">
        <f>IF(ISERROR(VLOOKUP($X207,Лист2!$A$2:$G$498,7,FALSE)),"",VLOOKUP($X207,Лист2!$A$2:$G$498,7,FALSE))</f>
        <v/>
      </c>
    </row>
    <row r="208" spans="1:28" x14ac:dyDescent="0.25">
      <c r="A208" s="5" t="str">
        <f>IF(ISBLANK(Лист1!A208),"",Лист1!A208)</f>
        <v/>
      </c>
      <c r="B208" s="5" t="str">
        <f>IF(ISBLANK(Лист1!B208),"",Лист1!B208)</f>
        <v/>
      </c>
      <c r="C208" s="5" t="str">
        <f>IF(ISBLANK(Лист1!C208),"",Лист1!C208)</f>
        <v/>
      </c>
      <c r="D208" s="5" t="str">
        <f>IF(ISBLANK(Лист1!D208),"",Лист1!D208)</f>
        <v/>
      </c>
      <c r="E208" s="5" t="str">
        <f>IF(ISBLANK(Лист1!E208),"",Лист1!E208)</f>
        <v/>
      </c>
      <c r="F208" s="5" t="str">
        <f>IF(ISBLANK(Лист1!F208),"",Лист1!F208)</f>
        <v/>
      </c>
      <c r="G208" s="5" t="str">
        <f>IF(ISBLANK(Лист1!G208),"",Лист1!G208)</f>
        <v/>
      </c>
      <c r="H208" s="5" t="str">
        <f>IF(ISBLANK(Лист1!H208),"",Лист1!H208)</f>
        <v/>
      </c>
      <c r="I208" s="5" t="str">
        <f>IF(ISBLANK(Лист1!I208),"",Лист1!I208)</f>
        <v/>
      </c>
      <c r="J208" s="5" t="str">
        <f>IF(ISBLANK(Лист1!J208),"",Лист1!J208)</f>
        <v/>
      </c>
      <c r="K208" s="5" t="str">
        <f>IF(ISBLANK(Лист1!K208),"",Лист1!K208)</f>
        <v/>
      </c>
      <c r="L208" s="5" t="str">
        <f>IF(ISBLANK(Лист1!L208),"",Лист1!L208)</f>
        <v/>
      </c>
      <c r="M208" s="5" t="str">
        <f>IF(ISBLANK(Лист1!M208),"",Лист1!M208)</f>
        <v/>
      </c>
      <c r="N208" s="5" t="str">
        <f>IF(ISBLANK(Лист1!N208),"",Лист1!N208)</f>
        <v/>
      </c>
      <c r="O208" s="5" t="str">
        <f>IF(ISBLANK(Лист1!O208),"",Лист1!O208)</f>
        <v/>
      </c>
      <c r="P208" s="5" t="str">
        <f>IF(ISBLANK(Лист1!P208),"",Лист1!P208)</f>
        <v/>
      </c>
      <c r="Q208" s="5" t="str">
        <f>IF(ISBLANK(Лист1!Q208),"",Лист1!Q208)</f>
        <v/>
      </c>
      <c r="R208" s="5" t="str">
        <f>IF(ISBLANK(Лист1!R208),"",Лист1!R208)</f>
        <v/>
      </c>
      <c r="S208" s="5" t="str">
        <f>IF(ISBLANK(Лист1!S208),"",Лист1!S208)</f>
        <v/>
      </c>
      <c r="T208" s="5" t="str">
        <f>IF(ISBLANK(Лист1!T208),"",Лист1!T208)</f>
        <v/>
      </c>
      <c r="U208" s="5" t="str">
        <f>IF(ISBLANK(Лист1!U208),"",Лист1!U208)</f>
        <v/>
      </c>
      <c r="V208" s="5" t="str">
        <f>IF(ISBLANK(Лист1!V208),"",Лист1!V208)</f>
        <v/>
      </c>
      <c r="W208" s="5" t="str">
        <f>IF(ISBLANK(Лист1!W208),"",Лист1!W208)</f>
        <v/>
      </c>
      <c r="X208" s="5" t="str">
        <f>IF(ISBLANK(Лист1!X208),"",Лист1!X208)</f>
        <v/>
      </c>
      <c r="Y208" s="5" t="str">
        <f>IF(ISERROR(VLOOKUP($X208,Лист2!$A$2:$G$498,1,FALSE)),"",VLOOKUP($X208,Лист2!$A$2:$G$498,1,FALSE))</f>
        <v/>
      </c>
      <c r="Z208" s="5" t="str">
        <f>IF(ISERROR(VLOOKUP($X208,Лист2!$A$2:$G$498,5,FALSE)),"",VLOOKUP($X208,Лист2!$A$2:$G$498,5,FALSE))</f>
        <v/>
      </c>
      <c r="AA208" s="5" t="str">
        <f>IF(ISERROR(VLOOKUP($X208,Лист2!$A$2:$G$498,6,FALSE)),"",VLOOKUP($X208,Лист2!$A$2:$G$498,6,FALSE))</f>
        <v/>
      </c>
      <c r="AB208" s="5" t="str">
        <f>IF(ISERROR(VLOOKUP($X208,Лист2!$A$2:$G$498,7,FALSE)),"",VLOOKUP($X208,Лист2!$A$2:$G$498,7,FALSE))</f>
        <v/>
      </c>
    </row>
    <row r="209" spans="1:28" x14ac:dyDescent="0.25">
      <c r="A209" s="5" t="str">
        <f>IF(ISBLANK(Лист1!A209),"",Лист1!A209)</f>
        <v/>
      </c>
      <c r="B209" s="5" t="str">
        <f>IF(ISBLANK(Лист1!B209),"",Лист1!B209)</f>
        <v/>
      </c>
      <c r="C209" s="5" t="str">
        <f>IF(ISBLANK(Лист1!C209),"",Лист1!C209)</f>
        <v/>
      </c>
      <c r="D209" s="5" t="str">
        <f>IF(ISBLANK(Лист1!D209),"",Лист1!D209)</f>
        <v/>
      </c>
      <c r="E209" s="5" t="str">
        <f>IF(ISBLANK(Лист1!E209),"",Лист1!E209)</f>
        <v/>
      </c>
      <c r="F209" s="5" t="str">
        <f>IF(ISBLANK(Лист1!F209),"",Лист1!F209)</f>
        <v/>
      </c>
      <c r="G209" s="5" t="str">
        <f>IF(ISBLANK(Лист1!G209),"",Лист1!G209)</f>
        <v/>
      </c>
      <c r="H209" s="5" t="str">
        <f>IF(ISBLANK(Лист1!H209),"",Лист1!H209)</f>
        <v/>
      </c>
      <c r="I209" s="5" t="str">
        <f>IF(ISBLANK(Лист1!I209),"",Лист1!I209)</f>
        <v/>
      </c>
      <c r="J209" s="5" t="str">
        <f>IF(ISBLANK(Лист1!J209),"",Лист1!J209)</f>
        <v/>
      </c>
      <c r="K209" s="5" t="str">
        <f>IF(ISBLANK(Лист1!K209),"",Лист1!K209)</f>
        <v/>
      </c>
      <c r="L209" s="5" t="str">
        <f>IF(ISBLANK(Лист1!L209),"",Лист1!L209)</f>
        <v/>
      </c>
      <c r="M209" s="5" t="str">
        <f>IF(ISBLANK(Лист1!M209),"",Лист1!M209)</f>
        <v/>
      </c>
      <c r="N209" s="5" t="str">
        <f>IF(ISBLANK(Лист1!N209),"",Лист1!N209)</f>
        <v/>
      </c>
      <c r="O209" s="5" t="str">
        <f>IF(ISBLANK(Лист1!O209),"",Лист1!O209)</f>
        <v/>
      </c>
      <c r="P209" s="5" t="str">
        <f>IF(ISBLANK(Лист1!P209),"",Лист1!P209)</f>
        <v/>
      </c>
      <c r="Q209" s="5" t="str">
        <f>IF(ISBLANK(Лист1!Q209),"",Лист1!Q209)</f>
        <v/>
      </c>
      <c r="R209" s="5" t="str">
        <f>IF(ISBLANK(Лист1!R209),"",Лист1!R209)</f>
        <v/>
      </c>
      <c r="S209" s="5" t="str">
        <f>IF(ISBLANK(Лист1!S209),"",Лист1!S209)</f>
        <v/>
      </c>
      <c r="T209" s="5" t="str">
        <f>IF(ISBLANK(Лист1!T209),"",Лист1!T209)</f>
        <v/>
      </c>
      <c r="U209" s="5" t="str">
        <f>IF(ISBLANK(Лист1!U209),"",Лист1!U209)</f>
        <v/>
      </c>
      <c r="V209" s="5" t="str">
        <f>IF(ISBLANK(Лист1!V209),"",Лист1!V209)</f>
        <v/>
      </c>
      <c r="W209" s="5" t="str">
        <f>IF(ISBLANK(Лист1!W209),"",Лист1!W209)</f>
        <v/>
      </c>
      <c r="X209" s="5" t="str">
        <f>IF(ISBLANK(Лист1!X209),"",Лист1!X209)</f>
        <v/>
      </c>
      <c r="Y209" s="5" t="str">
        <f>IF(ISERROR(VLOOKUP($X209,Лист2!$A$2:$G$498,1,FALSE)),"",VLOOKUP($X209,Лист2!$A$2:$G$498,1,FALSE))</f>
        <v/>
      </c>
      <c r="Z209" s="5" t="str">
        <f>IF(ISERROR(VLOOKUP($X209,Лист2!$A$2:$G$498,5,FALSE)),"",VLOOKUP($X209,Лист2!$A$2:$G$498,5,FALSE))</f>
        <v/>
      </c>
      <c r="AA209" s="5" t="str">
        <f>IF(ISERROR(VLOOKUP($X209,Лист2!$A$2:$G$498,6,FALSE)),"",VLOOKUP($X209,Лист2!$A$2:$G$498,6,FALSE))</f>
        <v/>
      </c>
      <c r="AB209" s="5" t="str">
        <f>IF(ISERROR(VLOOKUP($X209,Лист2!$A$2:$G$498,7,FALSE)),"",VLOOKUP($X209,Лист2!$A$2:$G$498,7,FALSE))</f>
        <v/>
      </c>
    </row>
    <row r="210" spans="1:28" x14ac:dyDescent="0.25">
      <c r="A210" s="5" t="str">
        <f>IF(ISBLANK(Лист1!A210),"",Лист1!A210)</f>
        <v/>
      </c>
      <c r="B210" s="5" t="str">
        <f>IF(ISBLANK(Лист1!B210),"",Лист1!B210)</f>
        <v/>
      </c>
      <c r="C210" s="5" t="str">
        <f>IF(ISBLANK(Лист1!C210),"",Лист1!C210)</f>
        <v/>
      </c>
      <c r="D210" s="5" t="str">
        <f>IF(ISBLANK(Лист1!D210),"",Лист1!D210)</f>
        <v/>
      </c>
      <c r="E210" s="5" t="str">
        <f>IF(ISBLANK(Лист1!E210),"",Лист1!E210)</f>
        <v/>
      </c>
      <c r="F210" s="5" t="str">
        <f>IF(ISBLANK(Лист1!F210),"",Лист1!F210)</f>
        <v/>
      </c>
      <c r="G210" s="5" t="str">
        <f>IF(ISBLANK(Лист1!G210),"",Лист1!G210)</f>
        <v/>
      </c>
      <c r="H210" s="5" t="str">
        <f>IF(ISBLANK(Лист1!H210),"",Лист1!H210)</f>
        <v/>
      </c>
      <c r="I210" s="5" t="str">
        <f>IF(ISBLANK(Лист1!I210),"",Лист1!I210)</f>
        <v/>
      </c>
      <c r="J210" s="5" t="str">
        <f>IF(ISBLANK(Лист1!J210),"",Лист1!J210)</f>
        <v/>
      </c>
      <c r="K210" s="5" t="str">
        <f>IF(ISBLANK(Лист1!K210),"",Лист1!K210)</f>
        <v/>
      </c>
      <c r="L210" s="5" t="str">
        <f>IF(ISBLANK(Лист1!L210),"",Лист1!L210)</f>
        <v/>
      </c>
      <c r="M210" s="5" t="str">
        <f>IF(ISBLANK(Лист1!M210),"",Лист1!M210)</f>
        <v/>
      </c>
      <c r="N210" s="5" t="str">
        <f>IF(ISBLANK(Лист1!N210),"",Лист1!N210)</f>
        <v/>
      </c>
      <c r="O210" s="5" t="str">
        <f>IF(ISBLANK(Лист1!O210),"",Лист1!O210)</f>
        <v/>
      </c>
      <c r="P210" s="5" t="str">
        <f>IF(ISBLANK(Лист1!P210),"",Лист1!P210)</f>
        <v/>
      </c>
      <c r="Q210" s="5" t="str">
        <f>IF(ISBLANK(Лист1!Q210),"",Лист1!Q210)</f>
        <v/>
      </c>
      <c r="R210" s="5" t="str">
        <f>IF(ISBLANK(Лист1!R210),"",Лист1!R210)</f>
        <v/>
      </c>
      <c r="S210" s="5" t="str">
        <f>IF(ISBLANK(Лист1!S210),"",Лист1!S210)</f>
        <v/>
      </c>
      <c r="T210" s="5" t="str">
        <f>IF(ISBLANK(Лист1!T210),"",Лист1!T210)</f>
        <v/>
      </c>
      <c r="U210" s="5" t="str">
        <f>IF(ISBLANK(Лист1!U210),"",Лист1!U210)</f>
        <v/>
      </c>
      <c r="V210" s="5" t="str">
        <f>IF(ISBLANK(Лист1!V210),"",Лист1!V210)</f>
        <v/>
      </c>
      <c r="W210" s="5" t="str">
        <f>IF(ISBLANK(Лист1!W210),"",Лист1!W210)</f>
        <v/>
      </c>
      <c r="X210" s="5" t="str">
        <f>IF(ISBLANK(Лист1!X210),"",Лист1!X210)</f>
        <v/>
      </c>
      <c r="Y210" s="5" t="str">
        <f>IF(ISERROR(VLOOKUP($X210,Лист2!$A$2:$G$498,1,FALSE)),"",VLOOKUP($X210,Лист2!$A$2:$G$498,1,FALSE))</f>
        <v/>
      </c>
      <c r="Z210" s="5" t="str">
        <f>IF(ISERROR(VLOOKUP($X210,Лист2!$A$2:$G$498,5,FALSE)),"",VLOOKUP($X210,Лист2!$A$2:$G$498,5,FALSE))</f>
        <v/>
      </c>
      <c r="AA210" s="5" t="str">
        <f>IF(ISERROR(VLOOKUP($X210,Лист2!$A$2:$G$498,6,FALSE)),"",VLOOKUP($X210,Лист2!$A$2:$G$498,6,FALSE))</f>
        <v/>
      </c>
      <c r="AB210" s="5" t="str">
        <f>IF(ISERROR(VLOOKUP($X210,Лист2!$A$2:$G$498,7,FALSE)),"",VLOOKUP($X210,Лист2!$A$2:$G$498,7,FALSE))</f>
        <v/>
      </c>
    </row>
    <row r="211" spans="1:28" x14ac:dyDescent="0.25">
      <c r="A211" s="5" t="str">
        <f>IF(ISBLANK(Лист1!A211),"",Лист1!A211)</f>
        <v/>
      </c>
      <c r="B211" s="5" t="str">
        <f>IF(ISBLANK(Лист1!B211),"",Лист1!B211)</f>
        <v/>
      </c>
      <c r="C211" s="5" t="str">
        <f>IF(ISBLANK(Лист1!C211),"",Лист1!C211)</f>
        <v/>
      </c>
      <c r="D211" s="5" t="str">
        <f>IF(ISBLANK(Лист1!D211),"",Лист1!D211)</f>
        <v/>
      </c>
      <c r="E211" s="5" t="str">
        <f>IF(ISBLANK(Лист1!E211),"",Лист1!E211)</f>
        <v/>
      </c>
      <c r="F211" s="5" t="str">
        <f>IF(ISBLANK(Лист1!F211),"",Лист1!F211)</f>
        <v/>
      </c>
      <c r="G211" s="5" t="str">
        <f>IF(ISBLANK(Лист1!G211),"",Лист1!G211)</f>
        <v/>
      </c>
      <c r="H211" s="5" t="str">
        <f>IF(ISBLANK(Лист1!H211),"",Лист1!H211)</f>
        <v/>
      </c>
      <c r="I211" s="5" t="str">
        <f>IF(ISBLANK(Лист1!I211),"",Лист1!I211)</f>
        <v/>
      </c>
      <c r="J211" s="5" t="str">
        <f>IF(ISBLANK(Лист1!J211),"",Лист1!J211)</f>
        <v/>
      </c>
      <c r="K211" s="5" t="str">
        <f>IF(ISBLANK(Лист1!K211),"",Лист1!K211)</f>
        <v/>
      </c>
      <c r="L211" s="5" t="str">
        <f>IF(ISBLANK(Лист1!L211),"",Лист1!L211)</f>
        <v/>
      </c>
      <c r="M211" s="5" t="str">
        <f>IF(ISBLANK(Лист1!M211),"",Лист1!M211)</f>
        <v/>
      </c>
      <c r="N211" s="5" t="str">
        <f>IF(ISBLANK(Лист1!N211),"",Лист1!N211)</f>
        <v/>
      </c>
      <c r="O211" s="5" t="str">
        <f>IF(ISBLANK(Лист1!O211),"",Лист1!O211)</f>
        <v/>
      </c>
      <c r="P211" s="5" t="str">
        <f>IF(ISBLANK(Лист1!P211),"",Лист1!P211)</f>
        <v/>
      </c>
      <c r="Q211" s="5" t="str">
        <f>IF(ISBLANK(Лист1!Q211),"",Лист1!Q211)</f>
        <v/>
      </c>
      <c r="R211" s="5" t="str">
        <f>IF(ISBLANK(Лист1!R211),"",Лист1!R211)</f>
        <v/>
      </c>
      <c r="S211" s="5" t="str">
        <f>IF(ISBLANK(Лист1!S211),"",Лист1!S211)</f>
        <v/>
      </c>
      <c r="T211" s="5" t="str">
        <f>IF(ISBLANK(Лист1!T211),"",Лист1!T211)</f>
        <v/>
      </c>
      <c r="U211" s="5" t="str">
        <f>IF(ISBLANK(Лист1!U211),"",Лист1!U211)</f>
        <v/>
      </c>
      <c r="V211" s="5" t="str">
        <f>IF(ISBLANK(Лист1!V211),"",Лист1!V211)</f>
        <v/>
      </c>
      <c r="W211" s="5" t="str">
        <f>IF(ISBLANK(Лист1!W211),"",Лист1!W211)</f>
        <v/>
      </c>
      <c r="X211" s="5" t="str">
        <f>IF(ISBLANK(Лист1!X211),"",Лист1!X211)</f>
        <v/>
      </c>
      <c r="Y211" s="5" t="str">
        <f>IF(ISERROR(VLOOKUP($X211,Лист2!$A$2:$G$498,1,FALSE)),"",VLOOKUP($X211,Лист2!$A$2:$G$498,1,FALSE))</f>
        <v/>
      </c>
      <c r="Z211" s="5" t="str">
        <f>IF(ISERROR(VLOOKUP($X211,Лист2!$A$2:$G$498,5,FALSE)),"",VLOOKUP($X211,Лист2!$A$2:$G$498,5,FALSE))</f>
        <v/>
      </c>
      <c r="AA211" s="5" t="str">
        <f>IF(ISERROR(VLOOKUP($X211,Лист2!$A$2:$G$498,6,FALSE)),"",VLOOKUP($X211,Лист2!$A$2:$G$498,6,FALSE))</f>
        <v/>
      </c>
      <c r="AB211" s="5" t="str">
        <f>IF(ISERROR(VLOOKUP($X211,Лист2!$A$2:$G$498,7,FALSE)),"",VLOOKUP($X211,Лист2!$A$2:$G$498,7,FALSE))</f>
        <v/>
      </c>
    </row>
    <row r="212" spans="1:28" x14ac:dyDescent="0.25">
      <c r="A212" s="5" t="str">
        <f>IF(ISBLANK(Лист1!A212),"",Лист1!A212)</f>
        <v/>
      </c>
      <c r="B212" s="5" t="str">
        <f>IF(ISBLANK(Лист1!B212),"",Лист1!B212)</f>
        <v/>
      </c>
      <c r="C212" s="5" t="str">
        <f>IF(ISBLANK(Лист1!C212),"",Лист1!C212)</f>
        <v/>
      </c>
      <c r="D212" s="5" t="str">
        <f>IF(ISBLANK(Лист1!D212),"",Лист1!D212)</f>
        <v/>
      </c>
      <c r="E212" s="5" t="str">
        <f>IF(ISBLANK(Лист1!E212),"",Лист1!E212)</f>
        <v/>
      </c>
      <c r="F212" s="5" t="str">
        <f>IF(ISBLANK(Лист1!F212),"",Лист1!F212)</f>
        <v/>
      </c>
      <c r="G212" s="5" t="str">
        <f>IF(ISBLANK(Лист1!G212),"",Лист1!G212)</f>
        <v/>
      </c>
      <c r="H212" s="5" t="str">
        <f>IF(ISBLANK(Лист1!H212),"",Лист1!H212)</f>
        <v/>
      </c>
      <c r="I212" s="5" t="str">
        <f>IF(ISBLANK(Лист1!I212),"",Лист1!I212)</f>
        <v/>
      </c>
      <c r="J212" s="5" t="str">
        <f>IF(ISBLANK(Лист1!J212),"",Лист1!J212)</f>
        <v/>
      </c>
      <c r="K212" s="5" t="str">
        <f>IF(ISBLANK(Лист1!K212),"",Лист1!K212)</f>
        <v/>
      </c>
      <c r="L212" s="5" t="str">
        <f>IF(ISBLANK(Лист1!L212),"",Лист1!L212)</f>
        <v/>
      </c>
      <c r="M212" s="5" t="str">
        <f>IF(ISBLANK(Лист1!M212),"",Лист1!M212)</f>
        <v/>
      </c>
      <c r="N212" s="5" t="str">
        <f>IF(ISBLANK(Лист1!N212),"",Лист1!N212)</f>
        <v/>
      </c>
      <c r="O212" s="5" t="str">
        <f>IF(ISBLANK(Лист1!O212),"",Лист1!O212)</f>
        <v/>
      </c>
      <c r="P212" s="5" t="str">
        <f>IF(ISBLANK(Лист1!P212),"",Лист1!P212)</f>
        <v/>
      </c>
      <c r="Q212" s="5" t="str">
        <f>IF(ISBLANK(Лист1!Q212),"",Лист1!Q212)</f>
        <v/>
      </c>
      <c r="R212" s="5" t="str">
        <f>IF(ISBLANK(Лист1!R212),"",Лист1!R212)</f>
        <v/>
      </c>
      <c r="S212" s="5" t="str">
        <f>IF(ISBLANK(Лист1!S212),"",Лист1!S212)</f>
        <v/>
      </c>
      <c r="T212" s="5" t="str">
        <f>IF(ISBLANK(Лист1!T212),"",Лист1!T212)</f>
        <v/>
      </c>
      <c r="U212" s="5" t="str">
        <f>IF(ISBLANK(Лист1!U212),"",Лист1!U212)</f>
        <v/>
      </c>
      <c r="V212" s="5" t="str">
        <f>IF(ISBLANK(Лист1!V212),"",Лист1!V212)</f>
        <v/>
      </c>
      <c r="W212" s="5" t="str">
        <f>IF(ISBLANK(Лист1!W212),"",Лист1!W212)</f>
        <v/>
      </c>
      <c r="X212" s="5" t="str">
        <f>IF(ISBLANK(Лист1!X212),"",Лист1!X212)</f>
        <v/>
      </c>
      <c r="Y212" s="5" t="str">
        <f>IF(ISERROR(VLOOKUP($X212,Лист2!$A$2:$G$498,1,FALSE)),"",VLOOKUP($X212,Лист2!$A$2:$G$498,1,FALSE))</f>
        <v/>
      </c>
      <c r="Z212" s="5" t="str">
        <f>IF(ISERROR(VLOOKUP($X212,Лист2!$A$2:$G$498,5,FALSE)),"",VLOOKUP($X212,Лист2!$A$2:$G$498,5,FALSE))</f>
        <v/>
      </c>
      <c r="AA212" s="5" t="str">
        <f>IF(ISERROR(VLOOKUP($X212,Лист2!$A$2:$G$498,6,FALSE)),"",VLOOKUP($X212,Лист2!$A$2:$G$498,6,FALSE))</f>
        <v/>
      </c>
      <c r="AB212" s="5" t="str">
        <f>IF(ISERROR(VLOOKUP($X212,Лист2!$A$2:$G$498,7,FALSE)),"",VLOOKUP($X212,Лист2!$A$2:$G$498,7,FALSE))</f>
        <v/>
      </c>
    </row>
    <row r="213" spans="1:28" x14ac:dyDescent="0.25">
      <c r="A213" s="5" t="str">
        <f>IF(ISBLANK(Лист1!A213),"",Лист1!A213)</f>
        <v/>
      </c>
      <c r="B213" s="5" t="str">
        <f>IF(ISBLANK(Лист1!B213),"",Лист1!B213)</f>
        <v/>
      </c>
      <c r="C213" s="5" t="str">
        <f>IF(ISBLANK(Лист1!C213),"",Лист1!C213)</f>
        <v/>
      </c>
      <c r="D213" s="5" t="str">
        <f>IF(ISBLANK(Лист1!D213),"",Лист1!D213)</f>
        <v/>
      </c>
      <c r="E213" s="5" t="str">
        <f>IF(ISBLANK(Лист1!E213),"",Лист1!E213)</f>
        <v/>
      </c>
      <c r="F213" s="5" t="str">
        <f>IF(ISBLANK(Лист1!F213),"",Лист1!F213)</f>
        <v/>
      </c>
      <c r="G213" s="5" t="str">
        <f>IF(ISBLANK(Лист1!G213),"",Лист1!G213)</f>
        <v/>
      </c>
      <c r="H213" s="5" t="str">
        <f>IF(ISBLANK(Лист1!H213),"",Лист1!H213)</f>
        <v/>
      </c>
      <c r="I213" s="5" t="str">
        <f>IF(ISBLANK(Лист1!I213),"",Лист1!I213)</f>
        <v/>
      </c>
      <c r="J213" s="5" t="str">
        <f>IF(ISBLANK(Лист1!J213),"",Лист1!J213)</f>
        <v/>
      </c>
      <c r="K213" s="5" t="str">
        <f>IF(ISBLANK(Лист1!K213),"",Лист1!K213)</f>
        <v/>
      </c>
      <c r="L213" s="5" t="str">
        <f>IF(ISBLANK(Лист1!L213),"",Лист1!L213)</f>
        <v/>
      </c>
      <c r="M213" s="5" t="str">
        <f>IF(ISBLANK(Лист1!M213),"",Лист1!M213)</f>
        <v/>
      </c>
      <c r="N213" s="5" t="str">
        <f>IF(ISBLANK(Лист1!N213),"",Лист1!N213)</f>
        <v/>
      </c>
      <c r="O213" s="5" t="str">
        <f>IF(ISBLANK(Лист1!O213),"",Лист1!O213)</f>
        <v/>
      </c>
      <c r="P213" s="5" t="str">
        <f>IF(ISBLANK(Лист1!P213),"",Лист1!P213)</f>
        <v/>
      </c>
      <c r="Q213" s="5" t="str">
        <f>IF(ISBLANK(Лист1!Q213),"",Лист1!Q213)</f>
        <v/>
      </c>
      <c r="R213" s="5" t="str">
        <f>IF(ISBLANK(Лист1!R213),"",Лист1!R213)</f>
        <v/>
      </c>
      <c r="S213" s="5" t="str">
        <f>IF(ISBLANK(Лист1!S213),"",Лист1!S213)</f>
        <v/>
      </c>
      <c r="T213" s="5" t="str">
        <f>IF(ISBLANK(Лист1!T213),"",Лист1!T213)</f>
        <v/>
      </c>
      <c r="U213" s="5" t="str">
        <f>IF(ISBLANK(Лист1!U213),"",Лист1!U213)</f>
        <v/>
      </c>
      <c r="V213" s="5" t="str">
        <f>IF(ISBLANK(Лист1!V213),"",Лист1!V213)</f>
        <v/>
      </c>
      <c r="W213" s="5" t="str">
        <f>IF(ISBLANK(Лист1!W213),"",Лист1!W213)</f>
        <v/>
      </c>
      <c r="X213" s="5" t="str">
        <f>IF(ISBLANK(Лист1!X213),"",Лист1!X213)</f>
        <v/>
      </c>
      <c r="Y213" s="5" t="str">
        <f>IF(ISERROR(VLOOKUP($X213,Лист2!$A$2:$G$498,1,FALSE)),"",VLOOKUP($X213,Лист2!$A$2:$G$498,1,FALSE))</f>
        <v/>
      </c>
      <c r="Z213" s="5" t="str">
        <f>IF(ISERROR(VLOOKUP($X213,Лист2!$A$2:$G$498,5,FALSE)),"",VLOOKUP($X213,Лист2!$A$2:$G$498,5,FALSE))</f>
        <v/>
      </c>
      <c r="AA213" s="5" t="str">
        <f>IF(ISERROR(VLOOKUP($X213,Лист2!$A$2:$G$498,6,FALSE)),"",VLOOKUP($X213,Лист2!$A$2:$G$498,6,FALSE))</f>
        <v/>
      </c>
      <c r="AB213" s="5" t="str">
        <f>IF(ISERROR(VLOOKUP($X213,Лист2!$A$2:$G$498,7,FALSE)),"",VLOOKUP($X213,Лист2!$A$2:$G$498,7,FALSE))</f>
        <v/>
      </c>
    </row>
    <row r="214" spans="1:28" x14ac:dyDescent="0.25">
      <c r="A214" s="5" t="str">
        <f>IF(ISBLANK(Лист1!A214),"",Лист1!A214)</f>
        <v/>
      </c>
      <c r="B214" s="5" t="str">
        <f>IF(ISBLANK(Лист1!B214),"",Лист1!B214)</f>
        <v/>
      </c>
      <c r="C214" s="5" t="str">
        <f>IF(ISBLANK(Лист1!C214),"",Лист1!C214)</f>
        <v/>
      </c>
      <c r="D214" s="5" t="str">
        <f>IF(ISBLANK(Лист1!D214),"",Лист1!D214)</f>
        <v/>
      </c>
      <c r="E214" s="5" t="str">
        <f>IF(ISBLANK(Лист1!E214),"",Лист1!E214)</f>
        <v/>
      </c>
      <c r="F214" s="5" t="str">
        <f>IF(ISBLANK(Лист1!F214),"",Лист1!F214)</f>
        <v/>
      </c>
      <c r="G214" s="5" t="str">
        <f>IF(ISBLANK(Лист1!G214),"",Лист1!G214)</f>
        <v/>
      </c>
      <c r="H214" s="5" t="str">
        <f>IF(ISBLANK(Лист1!H214),"",Лист1!H214)</f>
        <v/>
      </c>
      <c r="I214" s="5" t="str">
        <f>IF(ISBLANK(Лист1!I214),"",Лист1!I214)</f>
        <v/>
      </c>
      <c r="J214" s="5" t="str">
        <f>IF(ISBLANK(Лист1!J214),"",Лист1!J214)</f>
        <v/>
      </c>
      <c r="K214" s="5" t="str">
        <f>IF(ISBLANK(Лист1!K214),"",Лист1!K214)</f>
        <v/>
      </c>
      <c r="L214" s="5" t="str">
        <f>IF(ISBLANK(Лист1!L214),"",Лист1!L214)</f>
        <v/>
      </c>
      <c r="M214" s="5" t="str">
        <f>IF(ISBLANK(Лист1!M214),"",Лист1!M214)</f>
        <v/>
      </c>
      <c r="N214" s="5" t="str">
        <f>IF(ISBLANK(Лист1!N214),"",Лист1!N214)</f>
        <v/>
      </c>
      <c r="O214" s="5" t="str">
        <f>IF(ISBLANK(Лист1!O214),"",Лист1!O214)</f>
        <v/>
      </c>
      <c r="P214" s="5" t="str">
        <f>IF(ISBLANK(Лист1!P214),"",Лист1!P214)</f>
        <v/>
      </c>
      <c r="Q214" s="5" t="str">
        <f>IF(ISBLANK(Лист1!Q214),"",Лист1!Q214)</f>
        <v/>
      </c>
      <c r="R214" s="5" t="str">
        <f>IF(ISBLANK(Лист1!R214),"",Лист1!R214)</f>
        <v/>
      </c>
      <c r="S214" s="5" t="str">
        <f>IF(ISBLANK(Лист1!S214),"",Лист1!S214)</f>
        <v/>
      </c>
      <c r="T214" s="5" t="str">
        <f>IF(ISBLANK(Лист1!T214),"",Лист1!T214)</f>
        <v/>
      </c>
      <c r="U214" s="5" t="str">
        <f>IF(ISBLANK(Лист1!U214),"",Лист1!U214)</f>
        <v/>
      </c>
      <c r="V214" s="5" t="str">
        <f>IF(ISBLANK(Лист1!V214),"",Лист1!V214)</f>
        <v/>
      </c>
      <c r="W214" s="5" t="str">
        <f>IF(ISBLANK(Лист1!W214),"",Лист1!W214)</f>
        <v/>
      </c>
      <c r="X214" s="5" t="str">
        <f>IF(ISBLANK(Лист1!X214),"",Лист1!X214)</f>
        <v/>
      </c>
      <c r="Y214" s="5" t="str">
        <f>IF(ISERROR(VLOOKUP($X214,Лист2!$A$2:$G$498,1,FALSE)),"",VLOOKUP($X214,Лист2!$A$2:$G$498,1,FALSE))</f>
        <v/>
      </c>
      <c r="Z214" s="5" t="str">
        <f>IF(ISERROR(VLOOKUP($X214,Лист2!$A$2:$G$498,5,FALSE)),"",VLOOKUP($X214,Лист2!$A$2:$G$498,5,FALSE))</f>
        <v/>
      </c>
      <c r="AA214" s="5" t="str">
        <f>IF(ISERROR(VLOOKUP($X214,Лист2!$A$2:$G$498,6,FALSE)),"",VLOOKUP($X214,Лист2!$A$2:$G$498,6,FALSE))</f>
        <v/>
      </c>
      <c r="AB214" s="5" t="str">
        <f>IF(ISERROR(VLOOKUP($X214,Лист2!$A$2:$G$498,7,FALSE)),"",VLOOKUP($X214,Лист2!$A$2:$G$498,7,FALSE))</f>
        <v/>
      </c>
    </row>
    <row r="215" spans="1:28" x14ac:dyDescent="0.25">
      <c r="A215" s="5" t="str">
        <f>IF(ISBLANK(Лист1!A215),"",Лист1!A215)</f>
        <v/>
      </c>
      <c r="B215" s="5" t="str">
        <f>IF(ISBLANK(Лист1!B215),"",Лист1!B215)</f>
        <v/>
      </c>
      <c r="C215" s="5" t="str">
        <f>IF(ISBLANK(Лист1!C215),"",Лист1!C215)</f>
        <v/>
      </c>
      <c r="D215" s="5" t="str">
        <f>IF(ISBLANK(Лист1!D215),"",Лист1!D215)</f>
        <v/>
      </c>
      <c r="E215" s="5" t="str">
        <f>IF(ISBLANK(Лист1!E215),"",Лист1!E215)</f>
        <v/>
      </c>
      <c r="F215" s="5" t="str">
        <f>IF(ISBLANK(Лист1!F215),"",Лист1!F215)</f>
        <v/>
      </c>
      <c r="G215" s="5" t="str">
        <f>IF(ISBLANK(Лист1!G215),"",Лист1!G215)</f>
        <v/>
      </c>
      <c r="H215" s="5" t="str">
        <f>IF(ISBLANK(Лист1!H215),"",Лист1!H215)</f>
        <v/>
      </c>
      <c r="I215" s="5" t="str">
        <f>IF(ISBLANK(Лист1!I215),"",Лист1!I215)</f>
        <v/>
      </c>
      <c r="J215" s="5" t="str">
        <f>IF(ISBLANK(Лист1!J215),"",Лист1!J215)</f>
        <v/>
      </c>
      <c r="K215" s="5" t="str">
        <f>IF(ISBLANK(Лист1!K215),"",Лист1!K215)</f>
        <v/>
      </c>
      <c r="L215" s="5" t="str">
        <f>IF(ISBLANK(Лист1!L215),"",Лист1!L215)</f>
        <v/>
      </c>
      <c r="M215" s="5" t="str">
        <f>IF(ISBLANK(Лист1!M215),"",Лист1!M215)</f>
        <v/>
      </c>
      <c r="N215" s="5" t="str">
        <f>IF(ISBLANK(Лист1!N215),"",Лист1!N215)</f>
        <v/>
      </c>
      <c r="O215" s="5" t="str">
        <f>IF(ISBLANK(Лист1!O215),"",Лист1!O215)</f>
        <v/>
      </c>
      <c r="P215" s="5" t="str">
        <f>IF(ISBLANK(Лист1!P215),"",Лист1!P215)</f>
        <v/>
      </c>
      <c r="Q215" s="5" t="str">
        <f>IF(ISBLANK(Лист1!Q215),"",Лист1!Q215)</f>
        <v/>
      </c>
      <c r="R215" s="5" t="str">
        <f>IF(ISBLANK(Лист1!R215),"",Лист1!R215)</f>
        <v/>
      </c>
      <c r="S215" s="5" t="str">
        <f>IF(ISBLANK(Лист1!S215),"",Лист1!S215)</f>
        <v/>
      </c>
      <c r="T215" s="5" t="str">
        <f>IF(ISBLANK(Лист1!T215),"",Лист1!T215)</f>
        <v/>
      </c>
      <c r="U215" s="5" t="str">
        <f>IF(ISBLANK(Лист1!U215),"",Лист1!U215)</f>
        <v/>
      </c>
      <c r="V215" s="5" t="str">
        <f>IF(ISBLANK(Лист1!V215),"",Лист1!V215)</f>
        <v/>
      </c>
      <c r="W215" s="5" t="str">
        <f>IF(ISBLANK(Лист1!W215),"",Лист1!W215)</f>
        <v/>
      </c>
      <c r="X215" s="5" t="str">
        <f>IF(ISBLANK(Лист1!X215),"",Лист1!X215)</f>
        <v/>
      </c>
      <c r="Y215" s="5" t="str">
        <f>IF(ISERROR(VLOOKUP($X215,Лист2!$A$2:$G$498,1,FALSE)),"",VLOOKUP($X215,Лист2!$A$2:$G$498,1,FALSE))</f>
        <v/>
      </c>
      <c r="Z215" s="5" t="str">
        <f>IF(ISERROR(VLOOKUP($X215,Лист2!$A$2:$G$498,5,FALSE)),"",VLOOKUP($X215,Лист2!$A$2:$G$498,5,FALSE))</f>
        <v/>
      </c>
      <c r="AA215" s="5" t="str">
        <f>IF(ISERROR(VLOOKUP($X215,Лист2!$A$2:$G$498,6,FALSE)),"",VLOOKUP($X215,Лист2!$A$2:$G$498,6,FALSE))</f>
        <v/>
      </c>
      <c r="AB215" s="5" t="str">
        <f>IF(ISERROR(VLOOKUP($X215,Лист2!$A$2:$G$498,7,FALSE)),"",VLOOKUP($X215,Лист2!$A$2:$G$498,7,FALSE))</f>
        <v/>
      </c>
    </row>
    <row r="216" spans="1:28" x14ac:dyDescent="0.25">
      <c r="A216" s="5" t="str">
        <f>IF(ISBLANK(Лист1!A216),"",Лист1!A216)</f>
        <v/>
      </c>
      <c r="B216" s="5" t="str">
        <f>IF(ISBLANK(Лист1!B216),"",Лист1!B216)</f>
        <v/>
      </c>
      <c r="C216" s="5" t="str">
        <f>IF(ISBLANK(Лист1!C216),"",Лист1!C216)</f>
        <v/>
      </c>
      <c r="D216" s="5" t="str">
        <f>IF(ISBLANK(Лист1!D216),"",Лист1!D216)</f>
        <v/>
      </c>
      <c r="E216" s="5" t="str">
        <f>IF(ISBLANK(Лист1!E216),"",Лист1!E216)</f>
        <v/>
      </c>
      <c r="F216" s="5" t="str">
        <f>IF(ISBLANK(Лист1!F216),"",Лист1!F216)</f>
        <v/>
      </c>
      <c r="G216" s="5" t="str">
        <f>IF(ISBLANK(Лист1!G216),"",Лист1!G216)</f>
        <v/>
      </c>
      <c r="H216" s="5" t="str">
        <f>IF(ISBLANK(Лист1!H216),"",Лист1!H216)</f>
        <v/>
      </c>
      <c r="I216" s="5" t="str">
        <f>IF(ISBLANK(Лист1!I216),"",Лист1!I216)</f>
        <v/>
      </c>
      <c r="J216" s="5" t="str">
        <f>IF(ISBLANK(Лист1!J216),"",Лист1!J216)</f>
        <v/>
      </c>
      <c r="K216" s="5" t="str">
        <f>IF(ISBLANK(Лист1!K216),"",Лист1!K216)</f>
        <v/>
      </c>
      <c r="L216" s="5" t="str">
        <f>IF(ISBLANK(Лист1!L216),"",Лист1!L216)</f>
        <v/>
      </c>
      <c r="M216" s="5" t="str">
        <f>IF(ISBLANK(Лист1!M216),"",Лист1!M216)</f>
        <v/>
      </c>
      <c r="N216" s="5" t="str">
        <f>IF(ISBLANK(Лист1!N216),"",Лист1!N216)</f>
        <v/>
      </c>
      <c r="O216" s="5" t="str">
        <f>IF(ISBLANK(Лист1!O216),"",Лист1!O216)</f>
        <v/>
      </c>
      <c r="P216" s="5" t="str">
        <f>IF(ISBLANK(Лист1!P216),"",Лист1!P216)</f>
        <v/>
      </c>
      <c r="Q216" s="5" t="str">
        <f>IF(ISBLANK(Лист1!Q216),"",Лист1!Q216)</f>
        <v/>
      </c>
      <c r="R216" s="5" t="str">
        <f>IF(ISBLANK(Лист1!R216),"",Лист1!R216)</f>
        <v/>
      </c>
      <c r="S216" s="5" t="str">
        <f>IF(ISBLANK(Лист1!S216),"",Лист1!S216)</f>
        <v/>
      </c>
      <c r="T216" s="5" t="str">
        <f>IF(ISBLANK(Лист1!T216),"",Лист1!T216)</f>
        <v/>
      </c>
      <c r="U216" s="5" t="str">
        <f>IF(ISBLANK(Лист1!U216),"",Лист1!U216)</f>
        <v/>
      </c>
      <c r="V216" s="5" t="str">
        <f>IF(ISBLANK(Лист1!V216),"",Лист1!V216)</f>
        <v/>
      </c>
      <c r="W216" s="5" t="str">
        <f>IF(ISBLANK(Лист1!W216),"",Лист1!W216)</f>
        <v/>
      </c>
      <c r="X216" s="5" t="str">
        <f>IF(ISBLANK(Лист1!X216),"",Лист1!X216)</f>
        <v/>
      </c>
      <c r="Y216" s="5" t="str">
        <f>IF(ISERROR(VLOOKUP($X216,Лист2!$A$2:$G$498,1,FALSE)),"",VLOOKUP($X216,Лист2!$A$2:$G$498,1,FALSE))</f>
        <v/>
      </c>
      <c r="Z216" s="5" t="str">
        <f>IF(ISERROR(VLOOKUP($X216,Лист2!$A$2:$G$498,5,FALSE)),"",VLOOKUP($X216,Лист2!$A$2:$G$498,5,FALSE))</f>
        <v/>
      </c>
      <c r="AA216" s="5" t="str">
        <f>IF(ISERROR(VLOOKUP($X216,Лист2!$A$2:$G$498,6,FALSE)),"",VLOOKUP($X216,Лист2!$A$2:$G$498,6,FALSE))</f>
        <v/>
      </c>
      <c r="AB216" s="5" t="str">
        <f>IF(ISERROR(VLOOKUP($X216,Лист2!$A$2:$G$498,7,FALSE)),"",VLOOKUP($X216,Лист2!$A$2:$G$498,7,FALSE))</f>
        <v/>
      </c>
    </row>
    <row r="217" spans="1:28" x14ac:dyDescent="0.25">
      <c r="A217" s="5" t="str">
        <f>IF(ISBLANK(Лист1!A217),"",Лист1!A217)</f>
        <v/>
      </c>
      <c r="B217" s="5" t="str">
        <f>IF(ISBLANK(Лист1!B217),"",Лист1!B217)</f>
        <v/>
      </c>
      <c r="C217" s="5" t="str">
        <f>IF(ISBLANK(Лист1!C217),"",Лист1!C217)</f>
        <v/>
      </c>
      <c r="D217" s="5" t="str">
        <f>IF(ISBLANK(Лист1!D217),"",Лист1!D217)</f>
        <v/>
      </c>
      <c r="E217" s="5" t="str">
        <f>IF(ISBLANK(Лист1!E217),"",Лист1!E217)</f>
        <v/>
      </c>
      <c r="F217" s="5" t="str">
        <f>IF(ISBLANK(Лист1!F217),"",Лист1!F217)</f>
        <v/>
      </c>
      <c r="G217" s="5" t="str">
        <f>IF(ISBLANK(Лист1!G217),"",Лист1!G217)</f>
        <v/>
      </c>
      <c r="H217" s="5" t="str">
        <f>IF(ISBLANK(Лист1!H217),"",Лист1!H217)</f>
        <v/>
      </c>
      <c r="I217" s="5" t="str">
        <f>IF(ISBLANK(Лист1!I217),"",Лист1!I217)</f>
        <v/>
      </c>
      <c r="J217" s="5" t="str">
        <f>IF(ISBLANK(Лист1!J217),"",Лист1!J217)</f>
        <v/>
      </c>
      <c r="K217" s="5" t="str">
        <f>IF(ISBLANK(Лист1!K217),"",Лист1!K217)</f>
        <v/>
      </c>
      <c r="L217" s="5" t="str">
        <f>IF(ISBLANK(Лист1!L217),"",Лист1!L217)</f>
        <v/>
      </c>
      <c r="M217" s="5" t="str">
        <f>IF(ISBLANK(Лист1!M217),"",Лист1!M217)</f>
        <v/>
      </c>
      <c r="N217" s="5" t="str">
        <f>IF(ISBLANK(Лист1!N217),"",Лист1!N217)</f>
        <v/>
      </c>
      <c r="O217" s="5" t="str">
        <f>IF(ISBLANK(Лист1!O217),"",Лист1!O217)</f>
        <v/>
      </c>
      <c r="P217" s="5" t="str">
        <f>IF(ISBLANK(Лист1!P217),"",Лист1!P217)</f>
        <v/>
      </c>
      <c r="Q217" s="5" t="str">
        <f>IF(ISBLANK(Лист1!Q217),"",Лист1!Q217)</f>
        <v/>
      </c>
      <c r="R217" s="5" t="str">
        <f>IF(ISBLANK(Лист1!R217),"",Лист1!R217)</f>
        <v/>
      </c>
      <c r="S217" s="5" t="str">
        <f>IF(ISBLANK(Лист1!S217),"",Лист1!S217)</f>
        <v/>
      </c>
      <c r="T217" s="5" t="str">
        <f>IF(ISBLANK(Лист1!T217),"",Лист1!T217)</f>
        <v/>
      </c>
      <c r="U217" s="5" t="str">
        <f>IF(ISBLANK(Лист1!U217),"",Лист1!U217)</f>
        <v/>
      </c>
      <c r="V217" s="5" t="str">
        <f>IF(ISBLANK(Лист1!V217),"",Лист1!V217)</f>
        <v/>
      </c>
      <c r="W217" s="5" t="str">
        <f>IF(ISBLANK(Лист1!W217),"",Лист1!W217)</f>
        <v/>
      </c>
      <c r="X217" s="5" t="str">
        <f>IF(ISBLANK(Лист1!X217),"",Лист1!X217)</f>
        <v/>
      </c>
      <c r="Y217" s="5" t="str">
        <f>IF(ISERROR(VLOOKUP($X217,Лист2!$A$2:$G$498,1,FALSE)),"",VLOOKUP($X217,Лист2!$A$2:$G$498,1,FALSE))</f>
        <v/>
      </c>
      <c r="Z217" s="5" t="str">
        <f>IF(ISERROR(VLOOKUP($X217,Лист2!$A$2:$G$498,5,FALSE)),"",VLOOKUP($X217,Лист2!$A$2:$G$498,5,FALSE))</f>
        <v/>
      </c>
      <c r="AA217" s="5" t="str">
        <f>IF(ISERROR(VLOOKUP($X217,Лист2!$A$2:$G$498,6,FALSE)),"",VLOOKUP($X217,Лист2!$A$2:$G$498,6,FALSE))</f>
        <v/>
      </c>
      <c r="AB217" s="5" t="str">
        <f>IF(ISERROR(VLOOKUP($X217,Лист2!$A$2:$G$498,7,FALSE)),"",VLOOKUP($X217,Лист2!$A$2:$G$498,7,FALSE))</f>
        <v/>
      </c>
    </row>
    <row r="218" spans="1:28" x14ac:dyDescent="0.25">
      <c r="A218" s="5" t="str">
        <f>IF(ISBLANK(Лист1!A218),"",Лист1!A218)</f>
        <v/>
      </c>
      <c r="B218" s="5" t="str">
        <f>IF(ISBLANK(Лист1!B218),"",Лист1!B218)</f>
        <v/>
      </c>
      <c r="C218" s="5" t="str">
        <f>IF(ISBLANK(Лист1!C218),"",Лист1!C218)</f>
        <v/>
      </c>
      <c r="D218" s="5" t="str">
        <f>IF(ISBLANK(Лист1!D218),"",Лист1!D218)</f>
        <v/>
      </c>
      <c r="E218" s="5" t="str">
        <f>IF(ISBLANK(Лист1!E218),"",Лист1!E218)</f>
        <v/>
      </c>
      <c r="F218" s="5" t="str">
        <f>IF(ISBLANK(Лист1!F218),"",Лист1!F218)</f>
        <v/>
      </c>
      <c r="G218" s="5" t="str">
        <f>IF(ISBLANK(Лист1!G218),"",Лист1!G218)</f>
        <v/>
      </c>
      <c r="H218" s="5" t="str">
        <f>IF(ISBLANK(Лист1!H218),"",Лист1!H218)</f>
        <v/>
      </c>
      <c r="I218" s="5" t="str">
        <f>IF(ISBLANK(Лист1!I218),"",Лист1!I218)</f>
        <v/>
      </c>
      <c r="J218" s="5" t="str">
        <f>IF(ISBLANK(Лист1!J218),"",Лист1!J218)</f>
        <v/>
      </c>
      <c r="K218" s="5" t="str">
        <f>IF(ISBLANK(Лист1!K218),"",Лист1!K218)</f>
        <v/>
      </c>
      <c r="L218" s="5" t="str">
        <f>IF(ISBLANK(Лист1!L218),"",Лист1!L218)</f>
        <v/>
      </c>
      <c r="M218" s="5" t="str">
        <f>IF(ISBLANK(Лист1!M218),"",Лист1!M218)</f>
        <v/>
      </c>
      <c r="N218" s="5" t="str">
        <f>IF(ISBLANK(Лист1!N218),"",Лист1!N218)</f>
        <v/>
      </c>
      <c r="O218" s="5" t="str">
        <f>IF(ISBLANK(Лист1!O218),"",Лист1!O218)</f>
        <v/>
      </c>
      <c r="P218" s="5" t="str">
        <f>IF(ISBLANK(Лист1!P218),"",Лист1!P218)</f>
        <v/>
      </c>
      <c r="Q218" s="5" t="str">
        <f>IF(ISBLANK(Лист1!Q218),"",Лист1!Q218)</f>
        <v/>
      </c>
      <c r="R218" s="5" t="str">
        <f>IF(ISBLANK(Лист1!R218),"",Лист1!R218)</f>
        <v/>
      </c>
      <c r="S218" s="5" t="str">
        <f>IF(ISBLANK(Лист1!S218),"",Лист1!S218)</f>
        <v/>
      </c>
      <c r="T218" s="5" t="str">
        <f>IF(ISBLANK(Лист1!T218),"",Лист1!T218)</f>
        <v/>
      </c>
      <c r="U218" s="5" t="str">
        <f>IF(ISBLANK(Лист1!U218),"",Лист1!U218)</f>
        <v/>
      </c>
      <c r="V218" s="5" t="str">
        <f>IF(ISBLANK(Лист1!V218),"",Лист1!V218)</f>
        <v/>
      </c>
      <c r="W218" s="5" t="str">
        <f>IF(ISBLANK(Лист1!W218),"",Лист1!W218)</f>
        <v/>
      </c>
      <c r="X218" s="5" t="str">
        <f>IF(ISBLANK(Лист1!X218),"",Лист1!X218)</f>
        <v/>
      </c>
      <c r="Y218" s="5" t="str">
        <f>IF(ISERROR(VLOOKUP($X218,Лист2!$A$2:$G$498,1,FALSE)),"",VLOOKUP($X218,Лист2!$A$2:$G$498,1,FALSE))</f>
        <v/>
      </c>
      <c r="Z218" s="5" t="str">
        <f>IF(ISERROR(VLOOKUP($X218,Лист2!$A$2:$G$498,5,FALSE)),"",VLOOKUP($X218,Лист2!$A$2:$G$498,5,FALSE))</f>
        <v/>
      </c>
      <c r="AA218" s="5" t="str">
        <f>IF(ISERROR(VLOOKUP($X218,Лист2!$A$2:$G$498,6,FALSE)),"",VLOOKUP($X218,Лист2!$A$2:$G$498,6,FALSE))</f>
        <v/>
      </c>
      <c r="AB218" s="5" t="str">
        <f>IF(ISERROR(VLOOKUP($X218,Лист2!$A$2:$G$498,7,FALSE)),"",VLOOKUP($X218,Лист2!$A$2:$G$498,7,FALSE))</f>
        <v/>
      </c>
    </row>
    <row r="219" spans="1:28" x14ac:dyDescent="0.25">
      <c r="A219" s="5" t="str">
        <f>IF(ISBLANK(Лист1!A219),"",Лист1!A219)</f>
        <v/>
      </c>
      <c r="B219" s="5" t="str">
        <f>IF(ISBLANK(Лист1!B219),"",Лист1!B219)</f>
        <v/>
      </c>
      <c r="C219" s="5" t="str">
        <f>IF(ISBLANK(Лист1!C219),"",Лист1!C219)</f>
        <v/>
      </c>
      <c r="D219" s="5" t="str">
        <f>IF(ISBLANK(Лист1!D219),"",Лист1!D219)</f>
        <v/>
      </c>
      <c r="E219" s="5" t="str">
        <f>IF(ISBLANK(Лист1!E219),"",Лист1!E219)</f>
        <v/>
      </c>
      <c r="F219" s="5" t="str">
        <f>IF(ISBLANK(Лист1!F219),"",Лист1!F219)</f>
        <v/>
      </c>
      <c r="G219" s="5" t="str">
        <f>IF(ISBLANK(Лист1!G219),"",Лист1!G219)</f>
        <v/>
      </c>
      <c r="H219" s="5" t="str">
        <f>IF(ISBLANK(Лист1!H219),"",Лист1!H219)</f>
        <v/>
      </c>
      <c r="I219" s="5" t="str">
        <f>IF(ISBLANK(Лист1!I219),"",Лист1!I219)</f>
        <v/>
      </c>
      <c r="J219" s="5" t="str">
        <f>IF(ISBLANK(Лист1!J219),"",Лист1!J219)</f>
        <v/>
      </c>
      <c r="K219" s="5" t="str">
        <f>IF(ISBLANK(Лист1!K219),"",Лист1!K219)</f>
        <v/>
      </c>
      <c r="L219" s="5" t="str">
        <f>IF(ISBLANK(Лист1!L219),"",Лист1!L219)</f>
        <v/>
      </c>
      <c r="M219" s="5" t="str">
        <f>IF(ISBLANK(Лист1!M219),"",Лист1!M219)</f>
        <v/>
      </c>
      <c r="N219" s="5" t="str">
        <f>IF(ISBLANK(Лист1!N219),"",Лист1!N219)</f>
        <v/>
      </c>
      <c r="O219" s="5" t="str">
        <f>IF(ISBLANK(Лист1!O219),"",Лист1!O219)</f>
        <v/>
      </c>
      <c r="P219" s="5" t="str">
        <f>IF(ISBLANK(Лист1!P219),"",Лист1!P219)</f>
        <v/>
      </c>
      <c r="Q219" s="5" t="str">
        <f>IF(ISBLANK(Лист1!Q219),"",Лист1!Q219)</f>
        <v/>
      </c>
      <c r="R219" s="5" t="str">
        <f>IF(ISBLANK(Лист1!R219),"",Лист1!R219)</f>
        <v/>
      </c>
      <c r="S219" s="5" t="str">
        <f>IF(ISBLANK(Лист1!S219),"",Лист1!S219)</f>
        <v/>
      </c>
      <c r="T219" s="5" t="str">
        <f>IF(ISBLANK(Лист1!T219),"",Лист1!T219)</f>
        <v/>
      </c>
      <c r="U219" s="5" t="str">
        <f>IF(ISBLANK(Лист1!U219),"",Лист1!U219)</f>
        <v/>
      </c>
      <c r="V219" s="5" t="str">
        <f>IF(ISBLANK(Лист1!V219),"",Лист1!V219)</f>
        <v/>
      </c>
      <c r="W219" s="5" t="str">
        <f>IF(ISBLANK(Лист1!W219),"",Лист1!W219)</f>
        <v/>
      </c>
      <c r="X219" s="5" t="str">
        <f>IF(ISBLANK(Лист1!X219),"",Лист1!X219)</f>
        <v/>
      </c>
      <c r="Y219" s="5" t="str">
        <f>IF(ISERROR(VLOOKUP($X219,Лист2!$A$2:$G$498,1,FALSE)),"",VLOOKUP($X219,Лист2!$A$2:$G$498,1,FALSE))</f>
        <v/>
      </c>
      <c r="Z219" s="5" t="str">
        <f>IF(ISERROR(VLOOKUP($X219,Лист2!$A$2:$G$498,5,FALSE)),"",VLOOKUP($X219,Лист2!$A$2:$G$498,5,FALSE))</f>
        <v/>
      </c>
      <c r="AA219" s="5" t="str">
        <f>IF(ISERROR(VLOOKUP($X219,Лист2!$A$2:$G$498,6,FALSE)),"",VLOOKUP($X219,Лист2!$A$2:$G$498,6,FALSE))</f>
        <v/>
      </c>
      <c r="AB219" s="5" t="str">
        <f>IF(ISERROR(VLOOKUP($X219,Лист2!$A$2:$G$498,7,FALSE)),"",VLOOKUP($X219,Лист2!$A$2:$G$498,7,FALSE))</f>
        <v/>
      </c>
    </row>
    <row r="220" spans="1:28" x14ac:dyDescent="0.25">
      <c r="A220" s="5" t="str">
        <f>IF(ISBLANK(Лист1!A220),"",Лист1!A220)</f>
        <v/>
      </c>
      <c r="B220" s="5" t="str">
        <f>IF(ISBLANK(Лист1!B220),"",Лист1!B220)</f>
        <v/>
      </c>
      <c r="C220" s="5" t="str">
        <f>IF(ISBLANK(Лист1!C220),"",Лист1!C220)</f>
        <v/>
      </c>
      <c r="D220" s="5" t="str">
        <f>IF(ISBLANK(Лист1!D220),"",Лист1!D220)</f>
        <v/>
      </c>
      <c r="E220" s="5" t="str">
        <f>IF(ISBLANK(Лист1!E220),"",Лист1!E220)</f>
        <v/>
      </c>
      <c r="F220" s="5" t="str">
        <f>IF(ISBLANK(Лист1!F220),"",Лист1!F220)</f>
        <v/>
      </c>
      <c r="G220" s="5" t="str">
        <f>IF(ISBLANK(Лист1!G220),"",Лист1!G220)</f>
        <v/>
      </c>
      <c r="H220" s="5" t="str">
        <f>IF(ISBLANK(Лист1!H220),"",Лист1!H220)</f>
        <v/>
      </c>
      <c r="I220" s="5" t="str">
        <f>IF(ISBLANK(Лист1!I220),"",Лист1!I220)</f>
        <v/>
      </c>
      <c r="J220" s="5" t="str">
        <f>IF(ISBLANK(Лист1!J220),"",Лист1!J220)</f>
        <v/>
      </c>
      <c r="K220" s="5" t="str">
        <f>IF(ISBLANK(Лист1!K220),"",Лист1!K220)</f>
        <v/>
      </c>
      <c r="L220" s="5" t="str">
        <f>IF(ISBLANK(Лист1!L220),"",Лист1!L220)</f>
        <v/>
      </c>
      <c r="M220" s="5" t="str">
        <f>IF(ISBLANK(Лист1!M220),"",Лист1!M220)</f>
        <v/>
      </c>
      <c r="N220" s="5" t="str">
        <f>IF(ISBLANK(Лист1!N220),"",Лист1!N220)</f>
        <v/>
      </c>
      <c r="O220" s="5" t="str">
        <f>IF(ISBLANK(Лист1!O220),"",Лист1!O220)</f>
        <v/>
      </c>
      <c r="P220" s="5" t="str">
        <f>IF(ISBLANK(Лист1!P220),"",Лист1!P220)</f>
        <v/>
      </c>
      <c r="Q220" s="5" t="str">
        <f>IF(ISBLANK(Лист1!Q220),"",Лист1!Q220)</f>
        <v/>
      </c>
      <c r="R220" s="5" t="str">
        <f>IF(ISBLANK(Лист1!R220),"",Лист1!R220)</f>
        <v/>
      </c>
      <c r="S220" s="5" t="str">
        <f>IF(ISBLANK(Лист1!S220),"",Лист1!S220)</f>
        <v/>
      </c>
      <c r="T220" s="5" t="str">
        <f>IF(ISBLANK(Лист1!T220),"",Лист1!T220)</f>
        <v/>
      </c>
      <c r="U220" s="5" t="str">
        <f>IF(ISBLANK(Лист1!U220),"",Лист1!U220)</f>
        <v/>
      </c>
      <c r="V220" s="5" t="str">
        <f>IF(ISBLANK(Лист1!V220),"",Лист1!V220)</f>
        <v/>
      </c>
      <c r="W220" s="5" t="str">
        <f>IF(ISBLANK(Лист1!W220),"",Лист1!W220)</f>
        <v/>
      </c>
      <c r="X220" s="5" t="str">
        <f>IF(ISBLANK(Лист1!X220),"",Лист1!X220)</f>
        <v/>
      </c>
      <c r="Y220" s="5" t="str">
        <f>IF(ISERROR(VLOOKUP($X220,Лист2!$A$2:$G$498,1,FALSE)),"",VLOOKUP($X220,Лист2!$A$2:$G$498,1,FALSE))</f>
        <v/>
      </c>
      <c r="Z220" s="5" t="str">
        <f>IF(ISERROR(VLOOKUP($X220,Лист2!$A$2:$G$498,5,FALSE)),"",VLOOKUP($X220,Лист2!$A$2:$G$498,5,FALSE))</f>
        <v/>
      </c>
      <c r="AA220" s="5" t="str">
        <f>IF(ISERROR(VLOOKUP($X220,Лист2!$A$2:$G$498,6,FALSE)),"",VLOOKUP($X220,Лист2!$A$2:$G$498,6,FALSE))</f>
        <v/>
      </c>
      <c r="AB220" s="5" t="str">
        <f>IF(ISERROR(VLOOKUP($X220,Лист2!$A$2:$G$498,7,FALSE)),"",VLOOKUP($X220,Лист2!$A$2:$G$498,7,FALSE))</f>
        <v/>
      </c>
    </row>
    <row r="221" spans="1:28" x14ac:dyDescent="0.25">
      <c r="A221" s="5" t="str">
        <f>IF(ISBLANK(Лист1!A221),"",Лист1!A221)</f>
        <v/>
      </c>
      <c r="B221" s="5" t="str">
        <f>IF(ISBLANK(Лист1!B221),"",Лист1!B221)</f>
        <v/>
      </c>
      <c r="C221" s="5" t="str">
        <f>IF(ISBLANK(Лист1!C221),"",Лист1!C221)</f>
        <v/>
      </c>
      <c r="D221" s="5" t="str">
        <f>IF(ISBLANK(Лист1!D221),"",Лист1!D221)</f>
        <v/>
      </c>
      <c r="E221" s="5" t="str">
        <f>IF(ISBLANK(Лист1!E221),"",Лист1!E221)</f>
        <v/>
      </c>
      <c r="F221" s="5" t="str">
        <f>IF(ISBLANK(Лист1!F221),"",Лист1!F221)</f>
        <v/>
      </c>
      <c r="G221" s="5" t="str">
        <f>IF(ISBLANK(Лист1!G221),"",Лист1!G221)</f>
        <v/>
      </c>
      <c r="H221" s="5" t="str">
        <f>IF(ISBLANK(Лист1!H221),"",Лист1!H221)</f>
        <v/>
      </c>
      <c r="I221" s="5" t="str">
        <f>IF(ISBLANK(Лист1!I221),"",Лист1!I221)</f>
        <v/>
      </c>
      <c r="J221" s="5" t="str">
        <f>IF(ISBLANK(Лист1!J221),"",Лист1!J221)</f>
        <v/>
      </c>
      <c r="K221" s="5" t="str">
        <f>IF(ISBLANK(Лист1!K221),"",Лист1!K221)</f>
        <v/>
      </c>
      <c r="L221" s="5" t="str">
        <f>IF(ISBLANK(Лист1!L221),"",Лист1!L221)</f>
        <v/>
      </c>
      <c r="M221" s="5" t="str">
        <f>IF(ISBLANK(Лист1!M221),"",Лист1!M221)</f>
        <v/>
      </c>
      <c r="N221" s="5" t="str">
        <f>IF(ISBLANK(Лист1!N221),"",Лист1!N221)</f>
        <v/>
      </c>
      <c r="O221" s="5" t="str">
        <f>IF(ISBLANK(Лист1!O221),"",Лист1!O221)</f>
        <v/>
      </c>
      <c r="P221" s="5" t="str">
        <f>IF(ISBLANK(Лист1!P221),"",Лист1!P221)</f>
        <v/>
      </c>
      <c r="Q221" s="5" t="str">
        <f>IF(ISBLANK(Лист1!Q221),"",Лист1!Q221)</f>
        <v/>
      </c>
      <c r="R221" s="5" t="str">
        <f>IF(ISBLANK(Лист1!R221),"",Лист1!R221)</f>
        <v/>
      </c>
      <c r="S221" s="5" t="str">
        <f>IF(ISBLANK(Лист1!S221),"",Лист1!S221)</f>
        <v/>
      </c>
      <c r="T221" s="5" t="str">
        <f>IF(ISBLANK(Лист1!T221),"",Лист1!T221)</f>
        <v/>
      </c>
      <c r="U221" s="5" t="str">
        <f>IF(ISBLANK(Лист1!U221),"",Лист1!U221)</f>
        <v/>
      </c>
      <c r="V221" s="5" t="str">
        <f>IF(ISBLANK(Лист1!V221),"",Лист1!V221)</f>
        <v/>
      </c>
      <c r="W221" s="5" t="str">
        <f>IF(ISBLANK(Лист1!W221),"",Лист1!W221)</f>
        <v/>
      </c>
      <c r="X221" s="5" t="str">
        <f>IF(ISBLANK(Лист1!X221),"",Лист1!X221)</f>
        <v/>
      </c>
      <c r="Y221" s="5" t="str">
        <f>IF(ISERROR(VLOOKUP($X221,Лист2!$A$2:$G$498,1,FALSE)),"",VLOOKUP($X221,Лист2!$A$2:$G$498,1,FALSE))</f>
        <v/>
      </c>
      <c r="Z221" s="5" t="str">
        <f>IF(ISERROR(VLOOKUP($X221,Лист2!$A$2:$G$498,5,FALSE)),"",VLOOKUP($X221,Лист2!$A$2:$G$498,5,FALSE))</f>
        <v/>
      </c>
      <c r="AA221" s="5" t="str">
        <f>IF(ISERROR(VLOOKUP($X221,Лист2!$A$2:$G$498,6,FALSE)),"",VLOOKUP($X221,Лист2!$A$2:$G$498,6,FALSE))</f>
        <v/>
      </c>
      <c r="AB221" s="5" t="str">
        <f>IF(ISERROR(VLOOKUP($X221,Лист2!$A$2:$G$498,7,FALSE)),"",VLOOKUP($X221,Лист2!$A$2:$G$498,7,FALSE))</f>
        <v/>
      </c>
    </row>
    <row r="222" spans="1:28" x14ac:dyDescent="0.25">
      <c r="A222" s="5" t="str">
        <f>IF(ISBLANK(Лист1!A222),"",Лист1!A222)</f>
        <v/>
      </c>
      <c r="B222" s="5" t="str">
        <f>IF(ISBLANK(Лист1!B222),"",Лист1!B222)</f>
        <v/>
      </c>
      <c r="C222" s="5" t="str">
        <f>IF(ISBLANK(Лист1!C222),"",Лист1!C222)</f>
        <v/>
      </c>
      <c r="D222" s="5" t="str">
        <f>IF(ISBLANK(Лист1!D222),"",Лист1!D222)</f>
        <v/>
      </c>
      <c r="E222" s="5" t="str">
        <f>IF(ISBLANK(Лист1!E222),"",Лист1!E222)</f>
        <v/>
      </c>
      <c r="F222" s="5" t="str">
        <f>IF(ISBLANK(Лист1!F222),"",Лист1!F222)</f>
        <v/>
      </c>
      <c r="G222" s="5" t="str">
        <f>IF(ISBLANK(Лист1!G222),"",Лист1!G222)</f>
        <v/>
      </c>
      <c r="H222" s="5" t="str">
        <f>IF(ISBLANK(Лист1!H222),"",Лист1!H222)</f>
        <v/>
      </c>
      <c r="I222" s="5" t="str">
        <f>IF(ISBLANK(Лист1!I222),"",Лист1!I222)</f>
        <v/>
      </c>
      <c r="J222" s="5" t="str">
        <f>IF(ISBLANK(Лист1!J222),"",Лист1!J222)</f>
        <v/>
      </c>
      <c r="K222" s="5" t="str">
        <f>IF(ISBLANK(Лист1!K222),"",Лист1!K222)</f>
        <v/>
      </c>
      <c r="L222" s="5" t="str">
        <f>IF(ISBLANK(Лист1!L222),"",Лист1!L222)</f>
        <v/>
      </c>
      <c r="M222" s="5" t="str">
        <f>IF(ISBLANK(Лист1!M222),"",Лист1!M222)</f>
        <v/>
      </c>
      <c r="N222" s="5" t="str">
        <f>IF(ISBLANK(Лист1!N222),"",Лист1!N222)</f>
        <v/>
      </c>
      <c r="O222" s="5" t="str">
        <f>IF(ISBLANK(Лист1!O222),"",Лист1!O222)</f>
        <v/>
      </c>
      <c r="P222" s="5" t="str">
        <f>IF(ISBLANK(Лист1!P222),"",Лист1!P222)</f>
        <v/>
      </c>
      <c r="Q222" s="5" t="str">
        <f>IF(ISBLANK(Лист1!Q222),"",Лист1!Q222)</f>
        <v/>
      </c>
      <c r="R222" s="5" t="str">
        <f>IF(ISBLANK(Лист1!R222),"",Лист1!R222)</f>
        <v/>
      </c>
      <c r="S222" s="5" t="str">
        <f>IF(ISBLANK(Лист1!S222),"",Лист1!S222)</f>
        <v/>
      </c>
      <c r="T222" s="5" t="str">
        <f>IF(ISBLANK(Лист1!T222),"",Лист1!T222)</f>
        <v/>
      </c>
      <c r="U222" s="5" t="str">
        <f>IF(ISBLANK(Лист1!U222),"",Лист1!U222)</f>
        <v/>
      </c>
      <c r="V222" s="5" t="str">
        <f>IF(ISBLANK(Лист1!V222),"",Лист1!V222)</f>
        <v/>
      </c>
      <c r="W222" s="5" t="str">
        <f>IF(ISBLANK(Лист1!W222),"",Лист1!W222)</f>
        <v/>
      </c>
      <c r="X222" s="5" t="str">
        <f>IF(ISBLANK(Лист1!X222),"",Лист1!X222)</f>
        <v/>
      </c>
      <c r="Y222" s="5" t="str">
        <f>IF(ISERROR(VLOOKUP($X222,Лист2!$A$2:$G$498,1,FALSE)),"",VLOOKUP($X222,Лист2!$A$2:$G$498,1,FALSE))</f>
        <v/>
      </c>
      <c r="Z222" s="5" t="str">
        <f>IF(ISERROR(VLOOKUP($X222,Лист2!$A$2:$G$498,5,FALSE)),"",VLOOKUP($X222,Лист2!$A$2:$G$498,5,FALSE))</f>
        <v/>
      </c>
      <c r="AA222" s="5" t="str">
        <f>IF(ISERROR(VLOOKUP($X222,Лист2!$A$2:$G$498,6,FALSE)),"",VLOOKUP($X222,Лист2!$A$2:$G$498,6,FALSE))</f>
        <v/>
      </c>
      <c r="AB222" s="5" t="str">
        <f>IF(ISERROR(VLOOKUP($X222,Лист2!$A$2:$G$498,7,FALSE)),"",VLOOKUP($X222,Лист2!$A$2:$G$498,7,FALSE))</f>
        <v/>
      </c>
    </row>
    <row r="223" spans="1:28" x14ac:dyDescent="0.25">
      <c r="A223" s="5" t="str">
        <f>IF(ISBLANK(Лист1!A223),"",Лист1!A223)</f>
        <v/>
      </c>
      <c r="B223" s="5" t="str">
        <f>IF(ISBLANK(Лист1!B223),"",Лист1!B223)</f>
        <v/>
      </c>
      <c r="C223" s="5" t="str">
        <f>IF(ISBLANK(Лист1!C223),"",Лист1!C223)</f>
        <v/>
      </c>
      <c r="D223" s="5" t="str">
        <f>IF(ISBLANK(Лист1!D223),"",Лист1!D223)</f>
        <v/>
      </c>
      <c r="E223" s="5" t="str">
        <f>IF(ISBLANK(Лист1!E223),"",Лист1!E223)</f>
        <v/>
      </c>
      <c r="F223" s="5" t="str">
        <f>IF(ISBLANK(Лист1!F223),"",Лист1!F223)</f>
        <v/>
      </c>
      <c r="G223" s="5" t="str">
        <f>IF(ISBLANK(Лист1!G223),"",Лист1!G223)</f>
        <v/>
      </c>
      <c r="H223" s="5" t="str">
        <f>IF(ISBLANK(Лист1!H223),"",Лист1!H223)</f>
        <v/>
      </c>
      <c r="I223" s="5" t="str">
        <f>IF(ISBLANK(Лист1!I223),"",Лист1!I223)</f>
        <v/>
      </c>
      <c r="J223" s="5" t="str">
        <f>IF(ISBLANK(Лист1!J223),"",Лист1!J223)</f>
        <v/>
      </c>
      <c r="K223" s="5" t="str">
        <f>IF(ISBLANK(Лист1!K223),"",Лист1!K223)</f>
        <v/>
      </c>
      <c r="L223" s="5" t="str">
        <f>IF(ISBLANK(Лист1!L223),"",Лист1!L223)</f>
        <v/>
      </c>
      <c r="M223" s="5" t="str">
        <f>IF(ISBLANK(Лист1!M223),"",Лист1!M223)</f>
        <v/>
      </c>
      <c r="N223" s="5" t="str">
        <f>IF(ISBLANK(Лист1!N223),"",Лист1!N223)</f>
        <v/>
      </c>
      <c r="O223" s="5" t="str">
        <f>IF(ISBLANK(Лист1!O223),"",Лист1!O223)</f>
        <v/>
      </c>
      <c r="P223" s="5" t="str">
        <f>IF(ISBLANK(Лист1!P223),"",Лист1!P223)</f>
        <v/>
      </c>
      <c r="Q223" s="5" t="str">
        <f>IF(ISBLANK(Лист1!Q223),"",Лист1!Q223)</f>
        <v/>
      </c>
      <c r="R223" s="5" t="str">
        <f>IF(ISBLANK(Лист1!R223),"",Лист1!R223)</f>
        <v/>
      </c>
      <c r="S223" s="5" t="str">
        <f>IF(ISBLANK(Лист1!S223),"",Лист1!S223)</f>
        <v/>
      </c>
      <c r="T223" s="5" t="str">
        <f>IF(ISBLANK(Лист1!T223),"",Лист1!T223)</f>
        <v/>
      </c>
      <c r="U223" s="5" t="str">
        <f>IF(ISBLANK(Лист1!U223),"",Лист1!U223)</f>
        <v/>
      </c>
      <c r="V223" s="5" t="str">
        <f>IF(ISBLANK(Лист1!V223),"",Лист1!V223)</f>
        <v/>
      </c>
      <c r="W223" s="5" t="str">
        <f>IF(ISBLANK(Лист1!W223),"",Лист1!W223)</f>
        <v/>
      </c>
      <c r="X223" s="5" t="str">
        <f>IF(ISBLANK(Лист1!X223),"",Лист1!X223)</f>
        <v/>
      </c>
      <c r="Y223" s="5" t="str">
        <f>IF(ISERROR(VLOOKUP($X223,Лист2!$A$2:$G$498,1,FALSE)),"",VLOOKUP($X223,Лист2!$A$2:$G$498,1,FALSE))</f>
        <v/>
      </c>
      <c r="Z223" s="5" t="str">
        <f>IF(ISERROR(VLOOKUP($X223,Лист2!$A$2:$G$498,5,FALSE)),"",VLOOKUP($X223,Лист2!$A$2:$G$498,5,FALSE))</f>
        <v/>
      </c>
      <c r="AA223" s="5" t="str">
        <f>IF(ISERROR(VLOOKUP($X223,Лист2!$A$2:$G$498,6,FALSE)),"",VLOOKUP($X223,Лист2!$A$2:$G$498,6,FALSE))</f>
        <v/>
      </c>
      <c r="AB223" s="5" t="str">
        <f>IF(ISERROR(VLOOKUP($X223,Лист2!$A$2:$G$498,7,FALSE)),"",VLOOKUP($X223,Лист2!$A$2:$G$498,7,FALSE))</f>
        <v/>
      </c>
    </row>
    <row r="224" spans="1:28" x14ac:dyDescent="0.25">
      <c r="A224" s="5" t="str">
        <f>IF(ISBLANK(Лист1!A224),"",Лист1!A224)</f>
        <v/>
      </c>
      <c r="B224" s="5" t="str">
        <f>IF(ISBLANK(Лист1!B224),"",Лист1!B224)</f>
        <v/>
      </c>
      <c r="C224" s="5" t="str">
        <f>IF(ISBLANK(Лист1!C224),"",Лист1!C224)</f>
        <v/>
      </c>
      <c r="D224" s="5" t="str">
        <f>IF(ISBLANK(Лист1!D224),"",Лист1!D224)</f>
        <v/>
      </c>
      <c r="E224" s="5" t="str">
        <f>IF(ISBLANK(Лист1!E224),"",Лист1!E224)</f>
        <v/>
      </c>
      <c r="F224" s="5" t="str">
        <f>IF(ISBLANK(Лист1!F224),"",Лист1!F224)</f>
        <v/>
      </c>
      <c r="G224" s="5" t="str">
        <f>IF(ISBLANK(Лист1!G224),"",Лист1!G224)</f>
        <v/>
      </c>
      <c r="H224" s="5" t="str">
        <f>IF(ISBLANK(Лист1!H224),"",Лист1!H224)</f>
        <v/>
      </c>
      <c r="I224" s="5" t="str">
        <f>IF(ISBLANK(Лист1!I224),"",Лист1!I224)</f>
        <v/>
      </c>
      <c r="J224" s="5" t="str">
        <f>IF(ISBLANK(Лист1!J224),"",Лист1!J224)</f>
        <v/>
      </c>
      <c r="K224" s="5" t="str">
        <f>IF(ISBLANK(Лист1!K224),"",Лист1!K224)</f>
        <v/>
      </c>
      <c r="L224" s="5" t="str">
        <f>IF(ISBLANK(Лист1!L224),"",Лист1!L224)</f>
        <v/>
      </c>
      <c r="M224" s="5" t="str">
        <f>IF(ISBLANK(Лист1!M224),"",Лист1!M224)</f>
        <v/>
      </c>
      <c r="N224" s="5" t="str">
        <f>IF(ISBLANK(Лист1!N224),"",Лист1!N224)</f>
        <v/>
      </c>
      <c r="O224" s="5" t="str">
        <f>IF(ISBLANK(Лист1!O224),"",Лист1!O224)</f>
        <v/>
      </c>
      <c r="P224" s="5" t="str">
        <f>IF(ISBLANK(Лист1!P224),"",Лист1!P224)</f>
        <v/>
      </c>
      <c r="Q224" s="5" t="str">
        <f>IF(ISBLANK(Лист1!Q224),"",Лист1!Q224)</f>
        <v/>
      </c>
      <c r="R224" s="5" t="str">
        <f>IF(ISBLANK(Лист1!R224),"",Лист1!R224)</f>
        <v/>
      </c>
      <c r="S224" s="5" t="str">
        <f>IF(ISBLANK(Лист1!S224),"",Лист1!S224)</f>
        <v/>
      </c>
      <c r="T224" s="5" t="str">
        <f>IF(ISBLANK(Лист1!T224),"",Лист1!T224)</f>
        <v/>
      </c>
      <c r="U224" s="5" t="str">
        <f>IF(ISBLANK(Лист1!U224),"",Лист1!U224)</f>
        <v/>
      </c>
      <c r="V224" s="5" t="str">
        <f>IF(ISBLANK(Лист1!V224),"",Лист1!V224)</f>
        <v/>
      </c>
      <c r="W224" s="5" t="str">
        <f>IF(ISBLANK(Лист1!W224),"",Лист1!W224)</f>
        <v/>
      </c>
      <c r="X224" s="5" t="str">
        <f>IF(ISBLANK(Лист1!X224),"",Лист1!X224)</f>
        <v/>
      </c>
      <c r="Y224" s="5" t="str">
        <f>IF(ISERROR(VLOOKUP($X224,Лист2!$A$2:$G$498,1,FALSE)),"",VLOOKUP($X224,Лист2!$A$2:$G$498,1,FALSE))</f>
        <v/>
      </c>
      <c r="Z224" s="5" t="str">
        <f>IF(ISERROR(VLOOKUP($X224,Лист2!$A$2:$G$498,5,FALSE)),"",VLOOKUP($X224,Лист2!$A$2:$G$498,5,FALSE))</f>
        <v/>
      </c>
      <c r="AA224" s="5" t="str">
        <f>IF(ISERROR(VLOOKUP($X224,Лист2!$A$2:$G$498,6,FALSE)),"",VLOOKUP($X224,Лист2!$A$2:$G$498,6,FALSE))</f>
        <v/>
      </c>
      <c r="AB224" s="5" t="str">
        <f>IF(ISERROR(VLOOKUP($X224,Лист2!$A$2:$G$498,7,FALSE)),"",VLOOKUP($X224,Лист2!$A$2:$G$498,7,FALSE))</f>
        <v/>
      </c>
    </row>
    <row r="225" spans="1:28" x14ac:dyDescent="0.25">
      <c r="A225" s="5" t="str">
        <f>IF(ISBLANK(Лист1!A225),"",Лист1!A225)</f>
        <v/>
      </c>
      <c r="B225" s="5" t="str">
        <f>IF(ISBLANK(Лист1!B225),"",Лист1!B225)</f>
        <v/>
      </c>
      <c r="C225" s="5" t="str">
        <f>IF(ISBLANK(Лист1!C225),"",Лист1!C225)</f>
        <v/>
      </c>
      <c r="D225" s="5" t="str">
        <f>IF(ISBLANK(Лист1!D225),"",Лист1!D225)</f>
        <v/>
      </c>
      <c r="E225" s="5" t="str">
        <f>IF(ISBLANK(Лист1!E225),"",Лист1!E225)</f>
        <v/>
      </c>
      <c r="F225" s="5" t="str">
        <f>IF(ISBLANK(Лист1!F225),"",Лист1!F225)</f>
        <v/>
      </c>
      <c r="G225" s="5" t="str">
        <f>IF(ISBLANK(Лист1!G225),"",Лист1!G225)</f>
        <v/>
      </c>
      <c r="H225" s="5" t="str">
        <f>IF(ISBLANK(Лист1!H225),"",Лист1!H225)</f>
        <v/>
      </c>
      <c r="I225" s="5" t="str">
        <f>IF(ISBLANK(Лист1!I225),"",Лист1!I225)</f>
        <v/>
      </c>
      <c r="J225" s="5" t="str">
        <f>IF(ISBLANK(Лист1!J225),"",Лист1!J225)</f>
        <v/>
      </c>
      <c r="K225" s="5" t="str">
        <f>IF(ISBLANK(Лист1!K225),"",Лист1!K225)</f>
        <v/>
      </c>
      <c r="L225" s="5" t="str">
        <f>IF(ISBLANK(Лист1!L225),"",Лист1!L225)</f>
        <v/>
      </c>
      <c r="M225" s="5" t="str">
        <f>IF(ISBLANK(Лист1!M225),"",Лист1!M225)</f>
        <v/>
      </c>
      <c r="N225" s="5" t="str">
        <f>IF(ISBLANK(Лист1!N225),"",Лист1!N225)</f>
        <v/>
      </c>
      <c r="O225" s="5" t="str">
        <f>IF(ISBLANK(Лист1!O225),"",Лист1!O225)</f>
        <v/>
      </c>
      <c r="P225" s="5" t="str">
        <f>IF(ISBLANK(Лист1!P225),"",Лист1!P225)</f>
        <v/>
      </c>
      <c r="Q225" s="5" t="str">
        <f>IF(ISBLANK(Лист1!Q225),"",Лист1!Q225)</f>
        <v/>
      </c>
      <c r="R225" s="5" t="str">
        <f>IF(ISBLANK(Лист1!R225),"",Лист1!R225)</f>
        <v/>
      </c>
      <c r="S225" s="5" t="str">
        <f>IF(ISBLANK(Лист1!S225),"",Лист1!S225)</f>
        <v/>
      </c>
      <c r="T225" s="5" t="str">
        <f>IF(ISBLANK(Лист1!T225),"",Лист1!T225)</f>
        <v/>
      </c>
      <c r="U225" s="5" t="str">
        <f>IF(ISBLANK(Лист1!U225),"",Лист1!U225)</f>
        <v/>
      </c>
      <c r="V225" s="5" t="str">
        <f>IF(ISBLANK(Лист1!V225),"",Лист1!V225)</f>
        <v/>
      </c>
      <c r="W225" s="5" t="str">
        <f>IF(ISBLANK(Лист1!W225),"",Лист1!W225)</f>
        <v/>
      </c>
      <c r="X225" s="5" t="str">
        <f>IF(ISBLANK(Лист1!X225),"",Лист1!X225)</f>
        <v/>
      </c>
      <c r="Y225" s="5" t="str">
        <f>IF(ISERROR(VLOOKUP($X225,Лист2!$A$2:$G$498,1,FALSE)),"",VLOOKUP($X225,Лист2!$A$2:$G$498,1,FALSE))</f>
        <v/>
      </c>
      <c r="Z225" s="5" t="str">
        <f>IF(ISERROR(VLOOKUP($X225,Лист2!$A$2:$G$498,5,FALSE)),"",VLOOKUP($X225,Лист2!$A$2:$G$498,5,FALSE))</f>
        <v/>
      </c>
      <c r="AA225" s="5" t="str">
        <f>IF(ISERROR(VLOOKUP($X225,Лист2!$A$2:$G$498,6,FALSE)),"",VLOOKUP($X225,Лист2!$A$2:$G$498,6,FALSE))</f>
        <v/>
      </c>
      <c r="AB225" s="5" t="str">
        <f>IF(ISERROR(VLOOKUP($X225,Лист2!$A$2:$G$498,7,FALSE)),"",VLOOKUP($X225,Лист2!$A$2:$G$498,7,FALSE))</f>
        <v/>
      </c>
    </row>
    <row r="226" spans="1:28" x14ac:dyDescent="0.25">
      <c r="A226" s="5" t="str">
        <f>IF(ISBLANK(Лист1!A226),"",Лист1!A226)</f>
        <v/>
      </c>
      <c r="B226" s="5" t="str">
        <f>IF(ISBLANK(Лист1!B226),"",Лист1!B226)</f>
        <v/>
      </c>
      <c r="C226" s="5" t="str">
        <f>IF(ISBLANK(Лист1!C226),"",Лист1!C226)</f>
        <v/>
      </c>
      <c r="D226" s="5" t="str">
        <f>IF(ISBLANK(Лист1!D226),"",Лист1!D226)</f>
        <v/>
      </c>
      <c r="E226" s="5" t="str">
        <f>IF(ISBLANK(Лист1!E226),"",Лист1!E226)</f>
        <v/>
      </c>
      <c r="F226" s="5" t="str">
        <f>IF(ISBLANK(Лист1!F226),"",Лист1!F226)</f>
        <v/>
      </c>
      <c r="G226" s="5" t="str">
        <f>IF(ISBLANK(Лист1!G226),"",Лист1!G226)</f>
        <v/>
      </c>
      <c r="H226" s="5" t="str">
        <f>IF(ISBLANK(Лист1!H226),"",Лист1!H226)</f>
        <v/>
      </c>
      <c r="I226" s="5" t="str">
        <f>IF(ISBLANK(Лист1!I226),"",Лист1!I226)</f>
        <v/>
      </c>
      <c r="J226" s="5" t="str">
        <f>IF(ISBLANK(Лист1!J226),"",Лист1!J226)</f>
        <v/>
      </c>
      <c r="K226" s="5" t="str">
        <f>IF(ISBLANK(Лист1!K226),"",Лист1!K226)</f>
        <v/>
      </c>
      <c r="L226" s="5" t="str">
        <f>IF(ISBLANK(Лист1!L226),"",Лист1!L226)</f>
        <v/>
      </c>
      <c r="M226" s="5" t="str">
        <f>IF(ISBLANK(Лист1!M226),"",Лист1!M226)</f>
        <v/>
      </c>
      <c r="N226" s="5" t="str">
        <f>IF(ISBLANK(Лист1!N226),"",Лист1!N226)</f>
        <v/>
      </c>
      <c r="O226" s="5" t="str">
        <f>IF(ISBLANK(Лист1!O226),"",Лист1!O226)</f>
        <v/>
      </c>
      <c r="P226" s="5" t="str">
        <f>IF(ISBLANK(Лист1!P226),"",Лист1!P226)</f>
        <v/>
      </c>
      <c r="Q226" s="5" t="str">
        <f>IF(ISBLANK(Лист1!Q226),"",Лист1!Q226)</f>
        <v/>
      </c>
      <c r="R226" s="5" t="str">
        <f>IF(ISBLANK(Лист1!R226),"",Лист1!R226)</f>
        <v/>
      </c>
      <c r="S226" s="5" t="str">
        <f>IF(ISBLANK(Лист1!S226),"",Лист1!S226)</f>
        <v/>
      </c>
      <c r="T226" s="5" t="str">
        <f>IF(ISBLANK(Лист1!T226),"",Лист1!T226)</f>
        <v/>
      </c>
      <c r="U226" s="5" t="str">
        <f>IF(ISBLANK(Лист1!U226),"",Лист1!U226)</f>
        <v/>
      </c>
      <c r="V226" s="5" t="str">
        <f>IF(ISBLANK(Лист1!V226),"",Лист1!V226)</f>
        <v/>
      </c>
      <c r="W226" s="5" t="str">
        <f>IF(ISBLANK(Лист1!W226),"",Лист1!W226)</f>
        <v/>
      </c>
      <c r="X226" s="5" t="str">
        <f>IF(ISBLANK(Лист1!X226),"",Лист1!X226)</f>
        <v/>
      </c>
      <c r="Y226" s="5" t="str">
        <f>IF(ISERROR(VLOOKUP($X226,Лист2!$A$2:$G$498,1,FALSE)),"",VLOOKUP($X226,Лист2!$A$2:$G$498,1,FALSE))</f>
        <v/>
      </c>
      <c r="Z226" s="5" t="str">
        <f>IF(ISERROR(VLOOKUP($X226,Лист2!$A$2:$G$498,5,FALSE)),"",VLOOKUP($X226,Лист2!$A$2:$G$498,5,FALSE))</f>
        <v/>
      </c>
      <c r="AA226" s="5" t="str">
        <f>IF(ISERROR(VLOOKUP($X226,Лист2!$A$2:$G$498,6,FALSE)),"",VLOOKUP($X226,Лист2!$A$2:$G$498,6,FALSE))</f>
        <v/>
      </c>
      <c r="AB226" s="5" t="str">
        <f>IF(ISERROR(VLOOKUP($X226,Лист2!$A$2:$G$498,7,FALSE)),"",VLOOKUP($X226,Лист2!$A$2:$G$498,7,FALSE))</f>
        <v/>
      </c>
    </row>
    <row r="227" spans="1:28" x14ac:dyDescent="0.25">
      <c r="A227" s="5" t="str">
        <f>IF(ISBLANK(Лист1!A227),"",Лист1!A227)</f>
        <v/>
      </c>
      <c r="B227" s="5" t="str">
        <f>IF(ISBLANK(Лист1!B227),"",Лист1!B227)</f>
        <v/>
      </c>
      <c r="C227" s="5" t="str">
        <f>IF(ISBLANK(Лист1!C227),"",Лист1!C227)</f>
        <v/>
      </c>
      <c r="D227" s="5" t="str">
        <f>IF(ISBLANK(Лист1!D227),"",Лист1!D227)</f>
        <v/>
      </c>
      <c r="E227" s="5" t="str">
        <f>IF(ISBLANK(Лист1!E227),"",Лист1!E227)</f>
        <v/>
      </c>
      <c r="F227" s="5" t="str">
        <f>IF(ISBLANK(Лист1!F227),"",Лист1!F227)</f>
        <v/>
      </c>
      <c r="G227" s="5" t="str">
        <f>IF(ISBLANK(Лист1!G227),"",Лист1!G227)</f>
        <v/>
      </c>
      <c r="H227" s="5" t="str">
        <f>IF(ISBLANK(Лист1!H227),"",Лист1!H227)</f>
        <v/>
      </c>
      <c r="I227" s="5" t="str">
        <f>IF(ISBLANK(Лист1!I227),"",Лист1!I227)</f>
        <v/>
      </c>
      <c r="J227" s="5" t="str">
        <f>IF(ISBLANK(Лист1!J227),"",Лист1!J227)</f>
        <v/>
      </c>
      <c r="K227" s="5" t="str">
        <f>IF(ISBLANK(Лист1!K227),"",Лист1!K227)</f>
        <v/>
      </c>
      <c r="L227" s="5" t="str">
        <f>IF(ISBLANK(Лист1!L227),"",Лист1!L227)</f>
        <v/>
      </c>
      <c r="M227" s="5" t="str">
        <f>IF(ISBLANK(Лист1!M227),"",Лист1!M227)</f>
        <v/>
      </c>
      <c r="N227" s="5" t="str">
        <f>IF(ISBLANK(Лист1!N227),"",Лист1!N227)</f>
        <v/>
      </c>
      <c r="O227" s="5" t="str">
        <f>IF(ISBLANK(Лист1!O227),"",Лист1!O227)</f>
        <v/>
      </c>
      <c r="P227" s="5" t="str">
        <f>IF(ISBLANK(Лист1!P227),"",Лист1!P227)</f>
        <v/>
      </c>
      <c r="Q227" s="5" t="str">
        <f>IF(ISBLANK(Лист1!Q227),"",Лист1!Q227)</f>
        <v/>
      </c>
      <c r="R227" s="5" t="str">
        <f>IF(ISBLANK(Лист1!R227),"",Лист1!R227)</f>
        <v/>
      </c>
      <c r="S227" s="5" t="str">
        <f>IF(ISBLANK(Лист1!S227),"",Лист1!S227)</f>
        <v/>
      </c>
      <c r="T227" s="5" t="str">
        <f>IF(ISBLANK(Лист1!T227),"",Лист1!T227)</f>
        <v/>
      </c>
      <c r="U227" s="5" t="str">
        <f>IF(ISBLANK(Лист1!U227),"",Лист1!U227)</f>
        <v/>
      </c>
      <c r="V227" s="5" t="str">
        <f>IF(ISBLANK(Лист1!V227),"",Лист1!V227)</f>
        <v/>
      </c>
      <c r="W227" s="5" t="str">
        <f>IF(ISBLANK(Лист1!W227),"",Лист1!W227)</f>
        <v/>
      </c>
      <c r="X227" s="5" t="str">
        <f>IF(ISBLANK(Лист1!X227),"",Лист1!X227)</f>
        <v/>
      </c>
      <c r="Y227" s="5" t="str">
        <f>IF(ISERROR(VLOOKUP($X227,Лист2!$A$2:$G$498,1,FALSE)),"",VLOOKUP($X227,Лист2!$A$2:$G$498,1,FALSE))</f>
        <v/>
      </c>
      <c r="Z227" s="5" t="str">
        <f>IF(ISERROR(VLOOKUP($X227,Лист2!$A$2:$G$498,5,FALSE)),"",VLOOKUP($X227,Лист2!$A$2:$G$498,5,FALSE))</f>
        <v/>
      </c>
      <c r="AA227" s="5" t="str">
        <f>IF(ISERROR(VLOOKUP($X227,Лист2!$A$2:$G$498,6,FALSE)),"",VLOOKUP($X227,Лист2!$A$2:$G$498,6,FALSE))</f>
        <v/>
      </c>
      <c r="AB227" s="5" t="str">
        <f>IF(ISERROR(VLOOKUP($X227,Лист2!$A$2:$G$498,7,FALSE)),"",VLOOKUP($X227,Лист2!$A$2:$G$498,7,FALSE))</f>
        <v/>
      </c>
    </row>
    <row r="228" spans="1:28" x14ac:dyDescent="0.25">
      <c r="A228" s="5" t="str">
        <f>IF(ISBLANK(Лист1!A228),"",Лист1!A228)</f>
        <v/>
      </c>
      <c r="B228" s="5" t="str">
        <f>IF(ISBLANK(Лист1!B228),"",Лист1!B228)</f>
        <v/>
      </c>
      <c r="C228" s="5" t="str">
        <f>IF(ISBLANK(Лист1!C228),"",Лист1!C228)</f>
        <v/>
      </c>
      <c r="D228" s="5" t="str">
        <f>IF(ISBLANK(Лист1!D228),"",Лист1!D228)</f>
        <v/>
      </c>
      <c r="E228" s="5" t="str">
        <f>IF(ISBLANK(Лист1!E228),"",Лист1!E228)</f>
        <v/>
      </c>
      <c r="F228" s="5" t="str">
        <f>IF(ISBLANK(Лист1!F228),"",Лист1!F228)</f>
        <v/>
      </c>
      <c r="G228" s="5" t="str">
        <f>IF(ISBLANK(Лист1!G228),"",Лист1!G228)</f>
        <v/>
      </c>
      <c r="H228" s="5" t="str">
        <f>IF(ISBLANK(Лист1!H228),"",Лист1!H228)</f>
        <v/>
      </c>
      <c r="I228" s="5" t="str">
        <f>IF(ISBLANK(Лист1!I228),"",Лист1!I228)</f>
        <v/>
      </c>
      <c r="J228" s="5" t="str">
        <f>IF(ISBLANK(Лист1!J228),"",Лист1!J228)</f>
        <v/>
      </c>
      <c r="K228" s="5" t="str">
        <f>IF(ISBLANK(Лист1!K228),"",Лист1!K228)</f>
        <v/>
      </c>
      <c r="L228" s="5" t="str">
        <f>IF(ISBLANK(Лист1!L228),"",Лист1!L228)</f>
        <v/>
      </c>
      <c r="M228" s="5" t="str">
        <f>IF(ISBLANK(Лист1!M228),"",Лист1!M228)</f>
        <v/>
      </c>
      <c r="N228" s="5" t="str">
        <f>IF(ISBLANK(Лист1!N228),"",Лист1!N228)</f>
        <v/>
      </c>
      <c r="O228" s="5" t="str">
        <f>IF(ISBLANK(Лист1!O228),"",Лист1!O228)</f>
        <v/>
      </c>
      <c r="P228" s="5" t="str">
        <f>IF(ISBLANK(Лист1!P228),"",Лист1!P228)</f>
        <v/>
      </c>
      <c r="Q228" s="5" t="str">
        <f>IF(ISBLANK(Лист1!Q228),"",Лист1!Q228)</f>
        <v/>
      </c>
      <c r="R228" s="5" t="str">
        <f>IF(ISBLANK(Лист1!R228),"",Лист1!R228)</f>
        <v/>
      </c>
      <c r="S228" s="5" t="str">
        <f>IF(ISBLANK(Лист1!S228),"",Лист1!S228)</f>
        <v/>
      </c>
      <c r="T228" s="5" t="str">
        <f>IF(ISBLANK(Лист1!T228),"",Лист1!T228)</f>
        <v/>
      </c>
      <c r="U228" s="5" t="str">
        <f>IF(ISBLANK(Лист1!U228),"",Лист1!U228)</f>
        <v/>
      </c>
      <c r="V228" s="5" t="str">
        <f>IF(ISBLANK(Лист1!V228),"",Лист1!V228)</f>
        <v/>
      </c>
      <c r="W228" s="5" t="str">
        <f>IF(ISBLANK(Лист1!W228),"",Лист1!W228)</f>
        <v/>
      </c>
      <c r="X228" s="5" t="str">
        <f>IF(ISBLANK(Лист1!X228),"",Лист1!X228)</f>
        <v/>
      </c>
      <c r="Y228" s="5" t="str">
        <f>IF(ISERROR(VLOOKUP($X228,Лист2!$A$2:$G$498,1,FALSE)),"",VLOOKUP($X228,Лист2!$A$2:$G$498,1,FALSE))</f>
        <v/>
      </c>
      <c r="Z228" s="5" t="str">
        <f>IF(ISERROR(VLOOKUP($X228,Лист2!$A$2:$G$498,5,FALSE)),"",VLOOKUP($X228,Лист2!$A$2:$G$498,5,FALSE))</f>
        <v/>
      </c>
      <c r="AA228" s="5" t="str">
        <f>IF(ISERROR(VLOOKUP($X228,Лист2!$A$2:$G$498,6,FALSE)),"",VLOOKUP($X228,Лист2!$A$2:$G$498,6,FALSE))</f>
        <v/>
      </c>
      <c r="AB228" s="5" t="str">
        <f>IF(ISERROR(VLOOKUP($X228,Лист2!$A$2:$G$498,7,FALSE)),"",VLOOKUP($X228,Лист2!$A$2:$G$498,7,FALSE))</f>
        <v/>
      </c>
    </row>
    <row r="229" spans="1:28" x14ac:dyDescent="0.25">
      <c r="A229" s="5" t="str">
        <f>IF(ISBLANK(Лист1!A229),"",Лист1!A229)</f>
        <v/>
      </c>
      <c r="B229" s="5" t="str">
        <f>IF(ISBLANK(Лист1!B229),"",Лист1!B229)</f>
        <v/>
      </c>
      <c r="C229" s="5" t="str">
        <f>IF(ISBLANK(Лист1!C229),"",Лист1!C229)</f>
        <v/>
      </c>
      <c r="D229" s="5" t="str">
        <f>IF(ISBLANK(Лист1!D229),"",Лист1!D229)</f>
        <v/>
      </c>
      <c r="E229" s="5" t="str">
        <f>IF(ISBLANK(Лист1!E229),"",Лист1!E229)</f>
        <v/>
      </c>
      <c r="F229" s="5" t="str">
        <f>IF(ISBLANK(Лист1!F229),"",Лист1!F229)</f>
        <v/>
      </c>
      <c r="G229" s="5" t="str">
        <f>IF(ISBLANK(Лист1!G229),"",Лист1!G229)</f>
        <v/>
      </c>
      <c r="H229" s="5" t="str">
        <f>IF(ISBLANK(Лист1!H229),"",Лист1!H229)</f>
        <v/>
      </c>
      <c r="I229" s="5" t="str">
        <f>IF(ISBLANK(Лист1!I229),"",Лист1!I229)</f>
        <v/>
      </c>
      <c r="J229" s="5" t="str">
        <f>IF(ISBLANK(Лист1!J229),"",Лист1!J229)</f>
        <v/>
      </c>
      <c r="K229" s="5" t="str">
        <f>IF(ISBLANK(Лист1!K229),"",Лист1!K229)</f>
        <v/>
      </c>
      <c r="L229" s="5" t="str">
        <f>IF(ISBLANK(Лист1!L229),"",Лист1!L229)</f>
        <v/>
      </c>
      <c r="M229" s="5" t="str">
        <f>IF(ISBLANK(Лист1!M229),"",Лист1!M229)</f>
        <v/>
      </c>
      <c r="N229" s="5" t="str">
        <f>IF(ISBLANK(Лист1!N229),"",Лист1!N229)</f>
        <v/>
      </c>
      <c r="O229" s="5" t="str">
        <f>IF(ISBLANK(Лист1!O229),"",Лист1!O229)</f>
        <v/>
      </c>
      <c r="P229" s="5" t="str">
        <f>IF(ISBLANK(Лист1!P229),"",Лист1!P229)</f>
        <v/>
      </c>
      <c r="Q229" s="5" t="str">
        <f>IF(ISBLANK(Лист1!Q229),"",Лист1!Q229)</f>
        <v/>
      </c>
      <c r="R229" s="5" t="str">
        <f>IF(ISBLANK(Лист1!R229),"",Лист1!R229)</f>
        <v/>
      </c>
      <c r="S229" s="5" t="str">
        <f>IF(ISBLANK(Лист1!S229),"",Лист1!S229)</f>
        <v/>
      </c>
      <c r="T229" s="5" t="str">
        <f>IF(ISBLANK(Лист1!T229),"",Лист1!T229)</f>
        <v/>
      </c>
      <c r="U229" s="5" t="str">
        <f>IF(ISBLANK(Лист1!U229),"",Лист1!U229)</f>
        <v/>
      </c>
      <c r="V229" s="5" t="str">
        <f>IF(ISBLANK(Лист1!V229),"",Лист1!V229)</f>
        <v/>
      </c>
      <c r="W229" s="5" t="str">
        <f>IF(ISBLANK(Лист1!W229),"",Лист1!W229)</f>
        <v/>
      </c>
      <c r="X229" s="5" t="str">
        <f>IF(ISBLANK(Лист1!X229),"",Лист1!X229)</f>
        <v/>
      </c>
      <c r="Y229" s="5" t="str">
        <f>IF(ISERROR(VLOOKUP($X229,Лист2!$A$2:$G$498,1,FALSE)),"",VLOOKUP($X229,Лист2!$A$2:$G$498,1,FALSE))</f>
        <v/>
      </c>
      <c r="Z229" s="5" t="str">
        <f>IF(ISERROR(VLOOKUP($X229,Лист2!$A$2:$G$498,5,FALSE)),"",VLOOKUP($X229,Лист2!$A$2:$G$498,5,FALSE))</f>
        <v/>
      </c>
      <c r="AA229" s="5" t="str">
        <f>IF(ISERROR(VLOOKUP($X229,Лист2!$A$2:$G$498,6,FALSE)),"",VLOOKUP($X229,Лист2!$A$2:$G$498,6,FALSE))</f>
        <v/>
      </c>
      <c r="AB229" s="5" t="str">
        <f>IF(ISERROR(VLOOKUP($X229,Лист2!$A$2:$G$498,7,FALSE)),"",VLOOKUP($X229,Лист2!$A$2:$G$498,7,FALSE))</f>
        <v/>
      </c>
    </row>
    <row r="230" spans="1:28" x14ac:dyDescent="0.25">
      <c r="A230" s="5" t="str">
        <f>IF(ISBLANK(Лист1!A230),"",Лист1!A230)</f>
        <v/>
      </c>
      <c r="B230" s="5" t="str">
        <f>IF(ISBLANK(Лист1!B230),"",Лист1!B230)</f>
        <v/>
      </c>
      <c r="C230" s="5" t="str">
        <f>IF(ISBLANK(Лист1!C230),"",Лист1!C230)</f>
        <v/>
      </c>
      <c r="D230" s="5" t="str">
        <f>IF(ISBLANK(Лист1!D230),"",Лист1!D230)</f>
        <v/>
      </c>
      <c r="E230" s="5" t="str">
        <f>IF(ISBLANK(Лист1!E230),"",Лист1!E230)</f>
        <v/>
      </c>
      <c r="F230" s="5" t="str">
        <f>IF(ISBLANK(Лист1!F230),"",Лист1!F230)</f>
        <v/>
      </c>
      <c r="G230" s="5" t="str">
        <f>IF(ISBLANK(Лист1!G230),"",Лист1!G230)</f>
        <v/>
      </c>
      <c r="H230" s="5" t="str">
        <f>IF(ISBLANK(Лист1!H230),"",Лист1!H230)</f>
        <v/>
      </c>
      <c r="I230" s="5" t="str">
        <f>IF(ISBLANK(Лист1!I230),"",Лист1!I230)</f>
        <v/>
      </c>
      <c r="J230" s="5" t="str">
        <f>IF(ISBLANK(Лист1!J230),"",Лист1!J230)</f>
        <v/>
      </c>
      <c r="K230" s="5" t="str">
        <f>IF(ISBLANK(Лист1!K230),"",Лист1!K230)</f>
        <v/>
      </c>
      <c r="L230" s="5" t="str">
        <f>IF(ISBLANK(Лист1!L230),"",Лист1!L230)</f>
        <v/>
      </c>
      <c r="M230" s="5" t="str">
        <f>IF(ISBLANK(Лист1!M230),"",Лист1!M230)</f>
        <v/>
      </c>
      <c r="N230" s="5" t="str">
        <f>IF(ISBLANK(Лист1!N230),"",Лист1!N230)</f>
        <v/>
      </c>
      <c r="O230" s="5" t="str">
        <f>IF(ISBLANK(Лист1!O230),"",Лист1!O230)</f>
        <v/>
      </c>
      <c r="P230" s="5" t="str">
        <f>IF(ISBLANK(Лист1!P230),"",Лист1!P230)</f>
        <v/>
      </c>
      <c r="Q230" s="5" t="str">
        <f>IF(ISBLANK(Лист1!Q230),"",Лист1!Q230)</f>
        <v/>
      </c>
      <c r="R230" s="5" t="str">
        <f>IF(ISBLANK(Лист1!R230),"",Лист1!R230)</f>
        <v/>
      </c>
      <c r="S230" s="5" t="str">
        <f>IF(ISBLANK(Лист1!S230),"",Лист1!S230)</f>
        <v/>
      </c>
      <c r="T230" s="5" t="str">
        <f>IF(ISBLANK(Лист1!T230),"",Лист1!T230)</f>
        <v/>
      </c>
      <c r="U230" s="5" t="str">
        <f>IF(ISBLANK(Лист1!U230),"",Лист1!U230)</f>
        <v/>
      </c>
      <c r="V230" s="5" t="str">
        <f>IF(ISBLANK(Лист1!V230),"",Лист1!V230)</f>
        <v/>
      </c>
      <c r="W230" s="5" t="str">
        <f>IF(ISBLANK(Лист1!W230),"",Лист1!W230)</f>
        <v/>
      </c>
      <c r="X230" s="5" t="str">
        <f>IF(ISBLANK(Лист1!X230),"",Лист1!X230)</f>
        <v/>
      </c>
      <c r="Y230" s="5" t="str">
        <f>IF(ISERROR(VLOOKUP($X230,Лист2!$A$2:$G$498,1,FALSE)),"",VLOOKUP($X230,Лист2!$A$2:$G$498,1,FALSE))</f>
        <v/>
      </c>
      <c r="Z230" s="5" t="str">
        <f>IF(ISERROR(VLOOKUP($X230,Лист2!$A$2:$G$498,5,FALSE)),"",VLOOKUP($X230,Лист2!$A$2:$G$498,5,FALSE))</f>
        <v/>
      </c>
      <c r="AA230" s="5" t="str">
        <f>IF(ISERROR(VLOOKUP($X230,Лист2!$A$2:$G$498,6,FALSE)),"",VLOOKUP($X230,Лист2!$A$2:$G$498,6,FALSE))</f>
        <v/>
      </c>
      <c r="AB230" s="5" t="str">
        <f>IF(ISERROR(VLOOKUP($X230,Лист2!$A$2:$G$498,7,FALSE)),"",VLOOKUP($X230,Лист2!$A$2:$G$498,7,FALSE))</f>
        <v/>
      </c>
    </row>
    <row r="231" spans="1:28" x14ac:dyDescent="0.25">
      <c r="A231" s="5" t="str">
        <f>IF(ISBLANK(Лист1!A231),"",Лист1!A231)</f>
        <v/>
      </c>
      <c r="B231" s="5" t="str">
        <f>IF(ISBLANK(Лист1!B231),"",Лист1!B231)</f>
        <v/>
      </c>
      <c r="C231" s="5" t="str">
        <f>IF(ISBLANK(Лист1!C231),"",Лист1!C231)</f>
        <v/>
      </c>
      <c r="D231" s="5" t="str">
        <f>IF(ISBLANK(Лист1!D231),"",Лист1!D231)</f>
        <v/>
      </c>
      <c r="E231" s="5" t="str">
        <f>IF(ISBLANK(Лист1!E231),"",Лист1!E231)</f>
        <v/>
      </c>
      <c r="F231" s="5" t="str">
        <f>IF(ISBLANK(Лист1!F231),"",Лист1!F231)</f>
        <v/>
      </c>
      <c r="G231" s="5" t="str">
        <f>IF(ISBLANK(Лист1!G231),"",Лист1!G231)</f>
        <v/>
      </c>
      <c r="H231" s="5" t="str">
        <f>IF(ISBLANK(Лист1!H231),"",Лист1!H231)</f>
        <v/>
      </c>
      <c r="I231" s="5" t="str">
        <f>IF(ISBLANK(Лист1!I231),"",Лист1!I231)</f>
        <v/>
      </c>
      <c r="J231" s="5" t="str">
        <f>IF(ISBLANK(Лист1!J231),"",Лист1!J231)</f>
        <v/>
      </c>
      <c r="K231" s="5" t="str">
        <f>IF(ISBLANK(Лист1!K231),"",Лист1!K231)</f>
        <v/>
      </c>
      <c r="L231" s="5" t="str">
        <f>IF(ISBLANK(Лист1!L231),"",Лист1!L231)</f>
        <v/>
      </c>
      <c r="M231" s="5" t="str">
        <f>IF(ISBLANK(Лист1!M231),"",Лист1!M231)</f>
        <v/>
      </c>
      <c r="N231" s="5" t="str">
        <f>IF(ISBLANK(Лист1!N231),"",Лист1!N231)</f>
        <v/>
      </c>
      <c r="O231" s="5" t="str">
        <f>IF(ISBLANK(Лист1!O231),"",Лист1!O231)</f>
        <v/>
      </c>
      <c r="P231" s="5" t="str">
        <f>IF(ISBLANK(Лист1!P231),"",Лист1!P231)</f>
        <v/>
      </c>
      <c r="Q231" s="5" t="str">
        <f>IF(ISBLANK(Лист1!Q231),"",Лист1!Q231)</f>
        <v/>
      </c>
      <c r="R231" s="5" t="str">
        <f>IF(ISBLANK(Лист1!R231),"",Лист1!R231)</f>
        <v/>
      </c>
      <c r="S231" s="5" t="str">
        <f>IF(ISBLANK(Лист1!S231),"",Лист1!S231)</f>
        <v/>
      </c>
      <c r="T231" s="5" t="str">
        <f>IF(ISBLANK(Лист1!T231),"",Лист1!T231)</f>
        <v/>
      </c>
      <c r="U231" s="5" t="str">
        <f>IF(ISBLANK(Лист1!U231),"",Лист1!U231)</f>
        <v/>
      </c>
      <c r="V231" s="5" t="str">
        <f>IF(ISBLANK(Лист1!V231),"",Лист1!V231)</f>
        <v/>
      </c>
      <c r="W231" s="5" t="str">
        <f>IF(ISBLANK(Лист1!W231),"",Лист1!W231)</f>
        <v/>
      </c>
      <c r="X231" s="5" t="str">
        <f>IF(ISBLANK(Лист1!X231),"",Лист1!X231)</f>
        <v/>
      </c>
      <c r="Y231" s="5" t="str">
        <f>IF(ISERROR(VLOOKUP($X231,Лист2!$A$2:$G$498,1,FALSE)),"",VLOOKUP($X231,Лист2!$A$2:$G$498,1,FALSE))</f>
        <v/>
      </c>
      <c r="Z231" s="5" t="str">
        <f>IF(ISERROR(VLOOKUP($X231,Лист2!$A$2:$G$498,5,FALSE)),"",VLOOKUP($X231,Лист2!$A$2:$G$498,5,FALSE))</f>
        <v/>
      </c>
      <c r="AA231" s="5" t="str">
        <f>IF(ISERROR(VLOOKUP($X231,Лист2!$A$2:$G$498,6,FALSE)),"",VLOOKUP($X231,Лист2!$A$2:$G$498,6,FALSE))</f>
        <v/>
      </c>
      <c r="AB231" s="5" t="str">
        <f>IF(ISERROR(VLOOKUP($X231,Лист2!$A$2:$G$498,7,FALSE)),"",VLOOKUP($X231,Лист2!$A$2:$G$498,7,FALSE))</f>
        <v/>
      </c>
    </row>
    <row r="232" spans="1:28" x14ac:dyDescent="0.25">
      <c r="A232" s="5" t="str">
        <f>IF(ISBLANK(Лист1!A232),"",Лист1!A232)</f>
        <v/>
      </c>
      <c r="B232" s="5" t="str">
        <f>IF(ISBLANK(Лист1!B232),"",Лист1!B232)</f>
        <v/>
      </c>
      <c r="C232" s="5" t="str">
        <f>IF(ISBLANK(Лист1!C232),"",Лист1!C232)</f>
        <v/>
      </c>
      <c r="D232" s="5" t="str">
        <f>IF(ISBLANK(Лист1!D232),"",Лист1!D232)</f>
        <v/>
      </c>
      <c r="E232" s="5" t="str">
        <f>IF(ISBLANK(Лист1!E232),"",Лист1!E232)</f>
        <v/>
      </c>
      <c r="F232" s="5" t="str">
        <f>IF(ISBLANK(Лист1!F232),"",Лист1!F232)</f>
        <v/>
      </c>
      <c r="G232" s="5" t="str">
        <f>IF(ISBLANK(Лист1!G232),"",Лист1!G232)</f>
        <v/>
      </c>
      <c r="H232" s="5" t="str">
        <f>IF(ISBLANK(Лист1!H232),"",Лист1!H232)</f>
        <v/>
      </c>
      <c r="I232" s="5" t="str">
        <f>IF(ISBLANK(Лист1!I232),"",Лист1!I232)</f>
        <v/>
      </c>
      <c r="J232" s="5" t="str">
        <f>IF(ISBLANK(Лист1!J232),"",Лист1!J232)</f>
        <v/>
      </c>
      <c r="K232" s="5" t="str">
        <f>IF(ISBLANK(Лист1!K232),"",Лист1!K232)</f>
        <v/>
      </c>
      <c r="L232" s="5" t="str">
        <f>IF(ISBLANK(Лист1!L232),"",Лист1!L232)</f>
        <v/>
      </c>
      <c r="M232" s="5" t="str">
        <f>IF(ISBLANK(Лист1!M232),"",Лист1!M232)</f>
        <v/>
      </c>
      <c r="N232" s="5" t="str">
        <f>IF(ISBLANK(Лист1!N232),"",Лист1!N232)</f>
        <v/>
      </c>
      <c r="O232" s="5" t="str">
        <f>IF(ISBLANK(Лист1!O232),"",Лист1!O232)</f>
        <v/>
      </c>
      <c r="P232" s="5" t="str">
        <f>IF(ISBLANK(Лист1!P232),"",Лист1!P232)</f>
        <v/>
      </c>
      <c r="Q232" s="5" t="str">
        <f>IF(ISBLANK(Лист1!Q232),"",Лист1!Q232)</f>
        <v/>
      </c>
      <c r="R232" s="5" t="str">
        <f>IF(ISBLANK(Лист1!R232),"",Лист1!R232)</f>
        <v/>
      </c>
      <c r="S232" s="5" t="str">
        <f>IF(ISBLANK(Лист1!S232),"",Лист1!S232)</f>
        <v/>
      </c>
      <c r="T232" s="5" t="str">
        <f>IF(ISBLANK(Лист1!T232),"",Лист1!T232)</f>
        <v/>
      </c>
      <c r="U232" s="5" t="str">
        <f>IF(ISBLANK(Лист1!U232),"",Лист1!U232)</f>
        <v/>
      </c>
      <c r="V232" s="5" t="str">
        <f>IF(ISBLANK(Лист1!V232),"",Лист1!V232)</f>
        <v/>
      </c>
      <c r="W232" s="5" t="str">
        <f>IF(ISBLANK(Лист1!W232),"",Лист1!W232)</f>
        <v/>
      </c>
      <c r="X232" s="5" t="str">
        <f>IF(ISBLANK(Лист1!X232),"",Лист1!X232)</f>
        <v/>
      </c>
      <c r="Y232" s="5" t="str">
        <f>IF(ISERROR(VLOOKUP($X232,Лист2!$A$2:$G$498,1,FALSE)),"",VLOOKUP($X232,Лист2!$A$2:$G$498,1,FALSE))</f>
        <v/>
      </c>
      <c r="Z232" s="5" t="str">
        <f>IF(ISERROR(VLOOKUP($X232,Лист2!$A$2:$G$498,5,FALSE)),"",VLOOKUP($X232,Лист2!$A$2:$G$498,5,FALSE))</f>
        <v/>
      </c>
      <c r="AA232" s="5" t="str">
        <f>IF(ISERROR(VLOOKUP($X232,Лист2!$A$2:$G$498,6,FALSE)),"",VLOOKUP($X232,Лист2!$A$2:$G$498,6,FALSE))</f>
        <v/>
      </c>
      <c r="AB232" s="5" t="str">
        <f>IF(ISERROR(VLOOKUP($X232,Лист2!$A$2:$G$498,7,FALSE)),"",VLOOKUP($X232,Лист2!$A$2:$G$498,7,FALSE))</f>
        <v/>
      </c>
    </row>
    <row r="233" spans="1:28" x14ac:dyDescent="0.25">
      <c r="A233" s="5" t="str">
        <f>IF(ISBLANK(Лист1!A233),"",Лист1!A233)</f>
        <v/>
      </c>
      <c r="B233" s="5" t="str">
        <f>IF(ISBLANK(Лист1!B233),"",Лист1!B233)</f>
        <v/>
      </c>
      <c r="C233" s="5" t="str">
        <f>IF(ISBLANK(Лист1!C233),"",Лист1!C233)</f>
        <v/>
      </c>
      <c r="D233" s="5" t="str">
        <f>IF(ISBLANK(Лист1!D233),"",Лист1!D233)</f>
        <v/>
      </c>
      <c r="E233" s="5" t="str">
        <f>IF(ISBLANK(Лист1!E233),"",Лист1!E233)</f>
        <v/>
      </c>
      <c r="F233" s="5" t="str">
        <f>IF(ISBLANK(Лист1!F233),"",Лист1!F233)</f>
        <v/>
      </c>
      <c r="G233" s="5" t="str">
        <f>IF(ISBLANK(Лист1!G233),"",Лист1!G233)</f>
        <v/>
      </c>
      <c r="H233" s="5" t="str">
        <f>IF(ISBLANK(Лист1!H233),"",Лист1!H233)</f>
        <v/>
      </c>
      <c r="I233" s="5" t="str">
        <f>IF(ISBLANK(Лист1!I233),"",Лист1!I233)</f>
        <v/>
      </c>
      <c r="J233" s="5" t="str">
        <f>IF(ISBLANK(Лист1!J233),"",Лист1!J233)</f>
        <v/>
      </c>
      <c r="K233" s="5" t="str">
        <f>IF(ISBLANK(Лист1!K233),"",Лист1!K233)</f>
        <v/>
      </c>
      <c r="L233" s="5" t="str">
        <f>IF(ISBLANK(Лист1!L233),"",Лист1!L233)</f>
        <v/>
      </c>
      <c r="M233" s="5" t="str">
        <f>IF(ISBLANK(Лист1!M233),"",Лист1!M233)</f>
        <v/>
      </c>
      <c r="N233" s="5" t="str">
        <f>IF(ISBLANK(Лист1!N233),"",Лист1!N233)</f>
        <v/>
      </c>
      <c r="O233" s="5" t="str">
        <f>IF(ISBLANK(Лист1!O233),"",Лист1!O233)</f>
        <v/>
      </c>
      <c r="P233" s="5" t="str">
        <f>IF(ISBLANK(Лист1!P233),"",Лист1!P233)</f>
        <v/>
      </c>
      <c r="Q233" s="5" t="str">
        <f>IF(ISBLANK(Лист1!Q233),"",Лист1!Q233)</f>
        <v/>
      </c>
      <c r="R233" s="5" t="str">
        <f>IF(ISBLANK(Лист1!R233),"",Лист1!R233)</f>
        <v/>
      </c>
      <c r="S233" s="5" t="str">
        <f>IF(ISBLANK(Лист1!S233),"",Лист1!S233)</f>
        <v/>
      </c>
      <c r="T233" s="5" t="str">
        <f>IF(ISBLANK(Лист1!T233),"",Лист1!T233)</f>
        <v/>
      </c>
      <c r="U233" s="5" t="str">
        <f>IF(ISBLANK(Лист1!U233),"",Лист1!U233)</f>
        <v/>
      </c>
      <c r="V233" s="5" t="str">
        <f>IF(ISBLANK(Лист1!V233),"",Лист1!V233)</f>
        <v/>
      </c>
      <c r="W233" s="5" t="str">
        <f>IF(ISBLANK(Лист1!W233),"",Лист1!W233)</f>
        <v/>
      </c>
      <c r="X233" s="5" t="str">
        <f>IF(ISBLANK(Лист1!X233),"",Лист1!X233)</f>
        <v/>
      </c>
      <c r="Y233" s="5" t="str">
        <f>IF(ISERROR(VLOOKUP($X233,Лист2!$A$2:$G$498,1,FALSE)),"",VLOOKUP($X233,Лист2!$A$2:$G$498,1,FALSE))</f>
        <v/>
      </c>
      <c r="Z233" s="5" t="str">
        <f>IF(ISERROR(VLOOKUP($X233,Лист2!$A$2:$G$498,5,FALSE)),"",VLOOKUP($X233,Лист2!$A$2:$G$498,5,FALSE))</f>
        <v/>
      </c>
      <c r="AA233" s="5" t="str">
        <f>IF(ISERROR(VLOOKUP($X233,Лист2!$A$2:$G$498,6,FALSE)),"",VLOOKUP($X233,Лист2!$A$2:$G$498,6,FALSE))</f>
        <v/>
      </c>
      <c r="AB233" s="5" t="str">
        <f>IF(ISERROR(VLOOKUP($X233,Лист2!$A$2:$G$498,7,FALSE)),"",VLOOKUP($X233,Лист2!$A$2:$G$498,7,FALSE))</f>
        <v/>
      </c>
    </row>
    <row r="234" spans="1:28" x14ac:dyDescent="0.25">
      <c r="A234" s="5" t="str">
        <f>IF(ISBLANK(Лист1!A234),"",Лист1!A234)</f>
        <v/>
      </c>
      <c r="B234" s="5" t="str">
        <f>IF(ISBLANK(Лист1!B234),"",Лист1!B234)</f>
        <v/>
      </c>
      <c r="C234" s="5" t="str">
        <f>IF(ISBLANK(Лист1!C234),"",Лист1!C234)</f>
        <v/>
      </c>
      <c r="D234" s="5" t="str">
        <f>IF(ISBLANK(Лист1!D234),"",Лист1!D234)</f>
        <v/>
      </c>
      <c r="E234" s="5" t="str">
        <f>IF(ISBLANK(Лист1!E234),"",Лист1!E234)</f>
        <v/>
      </c>
      <c r="F234" s="5" t="str">
        <f>IF(ISBLANK(Лист1!F234),"",Лист1!F234)</f>
        <v/>
      </c>
      <c r="G234" s="5" t="str">
        <f>IF(ISBLANK(Лист1!G234),"",Лист1!G234)</f>
        <v/>
      </c>
      <c r="H234" s="5" t="str">
        <f>IF(ISBLANK(Лист1!H234),"",Лист1!H234)</f>
        <v/>
      </c>
      <c r="I234" s="5" t="str">
        <f>IF(ISBLANK(Лист1!I234),"",Лист1!I234)</f>
        <v/>
      </c>
      <c r="J234" s="5" t="str">
        <f>IF(ISBLANK(Лист1!J234),"",Лист1!J234)</f>
        <v/>
      </c>
      <c r="K234" s="5" t="str">
        <f>IF(ISBLANK(Лист1!K234),"",Лист1!K234)</f>
        <v/>
      </c>
      <c r="L234" s="5" t="str">
        <f>IF(ISBLANK(Лист1!L234),"",Лист1!L234)</f>
        <v/>
      </c>
      <c r="M234" s="5" t="str">
        <f>IF(ISBLANK(Лист1!M234),"",Лист1!M234)</f>
        <v/>
      </c>
      <c r="N234" s="5" t="str">
        <f>IF(ISBLANK(Лист1!N234),"",Лист1!N234)</f>
        <v/>
      </c>
      <c r="O234" s="5" t="str">
        <f>IF(ISBLANK(Лист1!O234),"",Лист1!O234)</f>
        <v/>
      </c>
      <c r="P234" s="5" t="str">
        <f>IF(ISBLANK(Лист1!P234),"",Лист1!P234)</f>
        <v/>
      </c>
      <c r="Q234" s="5" t="str">
        <f>IF(ISBLANK(Лист1!Q234),"",Лист1!Q234)</f>
        <v/>
      </c>
      <c r="R234" s="5" t="str">
        <f>IF(ISBLANK(Лист1!R234),"",Лист1!R234)</f>
        <v/>
      </c>
      <c r="S234" s="5" t="str">
        <f>IF(ISBLANK(Лист1!S234),"",Лист1!S234)</f>
        <v/>
      </c>
      <c r="T234" s="5" t="str">
        <f>IF(ISBLANK(Лист1!T234),"",Лист1!T234)</f>
        <v/>
      </c>
      <c r="U234" s="5" t="str">
        <f>IF(ISBLANK(Лист1!U234),"",Лист1!U234)</f>
        <v/>
      </c>
      <c r="V234" s="5" t="str">
        <f>IF(ISBLANK(Лист1!V234),"",Лист1!V234)</f>
        <v/>
      </c>
      <c r="W234" s="5" t="str">
        <f>IF(ISBLANK(Лист1!W234),"",Лист1!W234)</f>
        <v/>
      </c>
      <c r="X234" s="5" t="str">
        <f>IF(ISBLANK(Лист1!X234),"",Лист1!X234)</f>
        <v/>
      </c>
      <c r="Y234" s="5" t="str">
        <f>IF(ISERROR(VLOOKUP($X234,Лист2!$A$2:$G$498,1,FALSE)),"",VLOOKUP($X234,Лист2!$A$2:$G$498,1,FALSE))</f>
        <v/>
      </c>
      <c r="Z234" s="5" t="str">
        <f>IF(ISERROR(VLOOKUP($X234,Лист2!$A$2:$G$498,5,FALSE)),"",VLOOKUP($X234,Лист2!$A$2:$G$498,5,FALSE))</f>
        <v/>
      </c>
      <c r="AA234" s="5" t="str">
        <f>IF(ISERROR(VLOOKUP($X234,Лист2!$A$2:$G$498,6,FALSE)),"",VLOOKUP($X234,Лист2!$A$2:$G$498,6,FALSE))</f>
        <v/>
      </c>
      <c r="AB234" s="5" t="str">
        <f>IF(ISERROR(VLOOKUP($X234,Лист2!$A$2:$G$498,7,FALSE)),"",VLOOKUP($X234,Лист2!$A$2:$G$498,7,FALSE))</f>
        <v/>
      </c>
    </row>
    <row r="235" spans="1:28" x14ac:dyDescent="0.25">
      <c r="A235" s="5" t="str">
        <f>IF(ISBLANK(Лист1!A235),"",Лист1!A235)</f>
        <v/>
      </c>
      <c r="B235" s="5" t="str">
        <f>IF(ISBLANK(Лист1!B235),"",Лист1!B235)</f>
        <v/>
      </c>
      <c r="C235" s="5" t="str">
        <f>IF(ISBLANK(Лист1!C235),"",Лист1!C235)</f>
        <v/>
      </c>
      <c r="D235" s="5" t="str">
        <f>IF(ISBLANK(Лист1!D235),"",Лист1!D235)</f>
        <v/>
      </c>
      <c r="E235" s="5" t="str">
        <f>IF(ISBLANK(Лист1!E235),"",Лист1!E235)</f>
        <v/>
      </c>
      <c r="F235" s="5" t="str">
        <f>IF(ISBLANK(Лист1!F235),"",Лист1!F235)</f>
        <v/>
      </c>
      <c r="G235" s="5" t="str">
        <f>IF(ISBLANK(Лист1!G235),"",Лист1!G235)</f>
        <v/>
      </c>
      <c r="H235" s="5" t="str">
        <f>IF(ISBLANK(Лист1!H235),"",Лист1!H235)</f>
        <v/>
      </c>
      <c r="I235" s="5" t="str">
        <f>IF(ISBLANK(Лист1!I235),"",Лист1!I235)</f>
        <v/>
      </c>
      <c r="J235" s="5" t="str">
        <f>IF(ISBLANK(Лист1!J235),"",Лист1!J235)</f>
        <v/>
      </c>
      <c r="K235" s="5" t="str">
        <f>IF(ISBLANK(Лист1!K235),"",Лист1!K235)</f>
        <v/>
      </c>
      <c r="L235" s="5" t="str">
        <f>IF(ISBLANK(Лист1!L235),"",Лист1!L235)</f>
        <v/>
      </c>
      <c r="M235" s="5" t="str">
        <f>IF(ISBLANK(Лист1!M235),"",Лист1!M235)</f>
        <v/>
      </c>
      <c r="N235" s="5" t="str">
        <f>IF(ISBLANK(Лист1!N235),"",Лист1!N235)</f>
        <v/>
      </c>
      <c r="O235" s="5" t="str">
        <f>IF(ISBLANK(Лист1!O235),"",Лист1!O235)</f>
        <v/>
      </c>
      <c r="P235" s="5" t="str">
        <f>IF(ISBLANK(Лист1!P235),"",Лист1!P235)</f>
        <v/>
      </c>
      <c r="Q235" s="5" t="str">
        <f>IF(ISBLANK(Лист1!Q235),"",Лист1!Q235)</f>
        <v/>
      </c>
      <c r="R235" s="5" t="str">
        <f>IF(ISBLANK(Лист1!R235),"",Лист1!R235)</f>
        <v/>
      </c>
      <c r="S235" s="5" t="str">
        <f>IF(ISBLANK(Лист1!S235),"",Лист1!S235)</f>
        <v/>
      </c>
      <c r="T235" s="5" t="str">
        <f>IF(ISBLANK(Лист1!T235),"",Лист1!T235)</f>
        <v/>
      </c>
      <c r="U235" s="5" t="str">
        <f>IF(ISBLANK(Лист1!U235),"",Лист1!U235)</f>
        <v/>
      </c>
      <c r="V235" s="5" t="str">
        <f>IF(ISBLANK(Лист1!V235),"",Лист1!V235)</f>
        <v/>
      </c>
      <c r="W235" s="5" t="str">
        <f>IF(ISBLANK(Лист1!W235),"",Лист1!W235)</f>
        <v/>
      </c>
      <c r="X235" s="5" t="str">
        <f>IF(ISBLANK(Лист1!X235),"",Лист1!X235)</f>
        <v/>
      </c>
      <c r="Y235" s="5" t="str">
        <f>IF(ISERROR(VLOOKUP($X235,Лист2!$A$2:$G$498,1,FALSE)),"",VLOOKUP($X235,Лист2!$A$2:$G$498,1,FALSE))</f>
        <v/>
      </c>
      <c r="Z235" s="5" t="str">
        <f>IF(ISERROR(VLOOKUP($X235,Лист2!$A$2:$G$498,5,FALSE)),"",VLOOKUP($X235,Лист2!$A$2:$G$498,5,FALSE))</f>
        <v/>
      </c>
      <c r="AA235" s="5" t="str">
        <f>IF(ISERROR(VLOOKUP($X235,Лист2!$A$2:$G$498,6,FALSE)),"",VLOOKUP($X235,Лист2!$A$2:$G$498,6,FALSE))</f>
        <v/>
      </c>
      <c r="AB235" s="5" t="str">
        <f>IF(ISERROR(VLOOKUP($X235,Лист2!$A$2:$G$498,7,FALSE)),"",VLOOKUP($X235,Лист2!$A$2:$G$498,7,FALSE))</f>
        <v/>
      </c>
    </row>
    <row r="236" spans="1:28" x14ac:dyDescent="0.25">
      <c r="A236" s="5" t="str">
        <f>IF(ISBLANK(Лист1!A236),"",Лист1!A236)</f>
        <v/>
      </c>
      <c r="B236" s="5" t="str">
        <f>IF(ISBLANK(Лист1!B236),"",Лист1!B236)</f>
        <v/>
      </c>
      <c r="C236" s="5" t="str">
        <f>IF(ISBLANK(Лист1!C236),"",Лист1!C236)</f>
        <v/>
      </c>
      <c r="D236" s="5" t="str">
        <f>IF(ISBLANK(Лист1!D236),"",Лист1!D236)</f>
        <v/>
      </c>
      <c r="E236" s="5" t="str">
        <f>IF(ISBLANK(Лист1!E236),"",Лист1!E236)</f>
        <v/>
      </c>
      <c r="F236" s="5" t="str">
        <f>IF(ISBLANK(Лист1!F236),"",Лист1!F236)</f>
        <v/>
      </c>
      <c r="G236" s="5" t="str">
        <f>IF(ISBLANK(Лист1!G236),"",Лист1!G236)</f>
        <v/>
      </c>
      <c r="H236" s="5" t="str">
        <f>IF(ISBLANK(Лист1!H236),"",Лист1!H236)</f>
        <v/>
      </c>
      <c r="I236" s="5" t="str">
        <f>IF(ISBLANK(Лист1!I236),"",Лист1!I236)</f>
        <v/>
      </c>
      <c r="J236" s="5" t="str">
        <f>IF(ISBLANK(Лист1!J236),"",Лист1!J236)</f>
        <v/>
      </c>
      <c r="K236" s="5" t="str">
        <f>IF(ISBLANK(Лист1!K236),"",Лист1!K236)</f>
        <v/>
      </c>
      <c r="L236" s="5" t="str">
        <f>IF(ISBLANK(Лист1!L236),"",Лист1!L236)</f>
        <v/>
      </c>
      <c r="M236" s="5" t="str">
        <f>IF(ISBLANK(Лист1!M236),"",Лист1!M236)</f>
        <v/>
      </c>
      <c r="N236" s="5" t="str">
        <f>IF(ISBLANK(Лист1!N236),"",Лист1!N236)</f>
        <v/>
      </c>
      <c r="O236" s="5" t="str">
        <f>IF(ISBLANK(Лист1!O236),"",Лист1!O236)</f>
        <v/>
      </c>
      <c r="P236" s="5" t="str">
        <f>IF(ISBLANK(Лист1!P236),"",Лист1!P236)</f>
        <v/>
      </c>
      <c r="Q236" s="5" t="str">
        <f>IF(ISBLANK(Лист1!Q236),"",Лист1!Q236)</f>
        <v/>
      </c>
      <c r="R236" s="5" t="str">
        <f>IF(ISBLANK(Лист1!R236),"",Лист1!R236)</f>
        <v/>
      </c>
      <c r="S236" s="5" t="str">
        <f>IF(ISBLANK(Лист1!S236),"",Лист1!S236)</f>
        <v/>
      </c>
      <c r="T236" s="5" t="str">
        <f>IF(ISBLANK(Лист1!T236),"",Лист1!T236)</f>
        <v/>
      </c>
      <c r="U236" s="5" t="str">
        <f>IF(ISBLANK(Лист1!U236),"",Лист1!U236)</f>
        <v/>
      </c>
      <c r="V236" s="5" t="str">
        <f>IF(ISBLANK(Лист1!V236),"",Лист1!V236)</f>
        <v/>
      </c>
      <c r="W236" s="5" t="str">
        <f>IF(ISBLANK(Лист1!W236),"",Лист1!W236)</f>
        <v/>
      </c>
      <c r="X236" s="5" t="str">
        <f>IF(ISBLANK(Лист1!X236),"",Лист1!X236)</f>
        <v/>
      </c>
      <c r="Y236" s="5" t="str">
        <f>IF(ISERROR(VLOOKUP($X236,Лист2!$A$2:$G$498,1,FALSE)),"",VLOOKUP($X236,Лист2!$A$2:$G$498,1,FALSE))</f>
        <v/>
      </c>
      <c r="Z236" s="5" t="str">
        <f>IF(ISERROR(VLOOKUP($X236,Лист2!$A$2:$G$498,5,FALSE)),"",VLOOKUP($X236,Лист2!$A$2:$G$498,5,FALSE))</f>
        <v/>
      </c>
      <c r="AA236" s="5" t="str">
        <f>IF(ISERROR(VLOOKUP($X236,Лист2!$A$2:$G$498,6,FALSE)),"",VLOOKUP($X236,Лист2!$A$2:$G$498,6,FALSE))</f>
        <v/>
      </c>
      <c r="AB236" s="5" t="str">
        <f>IF(ISERROR(VLOOKUP($X236,Лист2!$A$2:$G$498,7,FALSE)),"",VLOOKUP($X236,Лист2!$A$2:$G$498,7,FALSE))</f>
        <v/>
      </c>
    </row>
    <row r="237" spans="1:28" x14ac:dyDescent="0.25">
      <c r="A237" s="5" t="str">
        <f>IF(ISBLANK(Лист1!A237),"",Лист1!A237)</f>
        <v/>
      </c>
      <c r="B237" s="5" t="str">
        <f>IF(ISBLANK(Лист1!B237),"",Лист1!B237)</f>
        <v/>
      </c>
      <c r="C237" s="5" t="str">
        <f>IF(ISBLANK(Лист1!C237),"",Лист1!C237)</f>
        <v/>
      </c>
      <c r="D237" s="5" t="str">
        <f>IF(ISBLANK(Лист1!D237),"",Лист1!D237)</f>
        <v/>
      </c>
      <c r="E237" s="5" t="str">
        <f>IF(ISBLANK(Лист1!E237),"",Лист1!E237)</f>
        <v/>
      </c>
      <c r="F237" s="5" t="str">
        <f>IF(ISBLANK(Лист1!F237),"",Лист1!F237)</f>
        <v/>
      </c>
      <c r="G237" s="5" t="str">
        <f>IF(ISBLANK(Лист1!G237),"",Лист1!G237)</f>
        <v/>
      </c>
      <c r="H237" s="5" t="str">
        <f>IF(ISBLANK(Лист1!H237),"",Лист1!H237)</f>
        <v/>
      </c>
      <c r="I237" s="5" t="str">
        <f>IF(ISBLANK(Лист1!I237),"",Лист1!I237)</f>
        <v/>
      </c>
      <c r="J237" s="5" t="str">
        <f>IF(ISBLANK(Лист1!J237),"",Лист1!J237)</f>
        <v/>
      </c>
      <c r="K237" s="5" t="str">
        <f>IF(ISBLANK(Лист1!K237),"",Лист1!K237)</f>
        <v/>
      </c>
      <c r="L237" s="5" t="str">
        <f>IF(ISBLANK(Лист1!L237),"",Лист1!L237)</f>
        <v/>
      </c>
      <c r="M237" s="5" t="str">
        <f>IF(ISBLANK(Лист1!M237),"",Лист1!M237)</f>
        <v/>
      </c>
      <c r="N237" s="5" t="str">
        <f>IF(ISBLANK(Лист1!N237),"",Лист1!N237)</f>
        <v/>
      </c>
      <c r="O237" s="5" t="str">
        <f>IF(ISBLANK(Лист1!O237),"",Лист1!O237)</f>
        <v/>
      </c>
      <c r="P237" s="5" t="str">
        <f>IF(ISBLANK(Лист1!P237),"",Лист1!P237)</f>
        <v/>
      </c>
      <c r="Q237" s="5" t="str">
        <f>IF(ISBLANK(Лист1!Q237),"",Лист1!Q237)</f>
        <v/>
      </c>
      <c r="R237" s="5" t="str">
        <f>IF(ISBLANK(Лист1!R237),"",Лист1!R237)</f>
        <v/>
      </c>
      <c r="S237" s="5" t="str">
        <f>IF(ISBLANK(Лист1!S237),"",Лист1!S237)</f>
        <v/>
      </c>
      <c r="T237" s="5" t="str">
        <f>IF(ISBLANK(Лист1!T237),"",Лист1!T237)</f>
        <v/>
      </c>
      <c r="U237" s="5" t="str">
        <f>IF(ISBLANK(Лист1!U237),"",Лист1!U237)</f>
        <v/>
      </c>
      <c r="V237" s="5" t="str">
        <f>IF(ISBLANK(Лист1!V237),"",Лист1!V237)</f>
        <v/>
      </c>
      <c r="W237" s="5" t="str">
        <f>IF(ISBLANK(Лист1!W237),"",Лист1!W237)</f>
        <v/>
      </c>
      <c r="X237" s="5" t="str">
        <f>IF(ISBLANK(Лист1!X237),"",Лист1!X237)</f>
        <v/>
      </c>
      <c r="Y237" s="5" t="str">
        <f>IF(ISERROR(VLOOKUP($X237,Лист2!$A$2:$G$498,1,FALSE)),"",VLOOKUP($X237,Лист2!$A$2:$G$498,1,FALSE))</f>
        <v/>
      </c>
      <c r="Z237" s="5" t="str">
        <f>IF(ISERROR(VLOOKUP($X237,Лист2!$A$2:$G$498,5,FALSE)),"",VLOOKUP($X237,Лист2!$A$2:$G$498,5,FALSE))</f>
        <v/>
      </c>
      <c r="AA237" s="5" t="str">
        <f>IF(ISERROR(VLOOKUP($X237,Лист2!$A$2:$G$498,6,FALSE)),"",VLOOKUP($X237,Лист2!$A$2:$G$498,6,FALSE))</f>
        <v/>
      </c>
      <c r="AB237" s="5" t="str">
        <f>IF(ISERROR(VLOOKUP($X237,Лист2!$A$2:$G$498,7,FALSE)),"",VLOOKUP($X237,Лист2!$A$2:$G$498,7,FALSE))</f>
        <v/>
      </c>
    </row>
    <row r="238" spans="1:28" x14ac:dyDescent="0.25">
      <c r="A238" s="5" t="str">
        <f>IF(ISBLANK(Лист1!A238),"",Лист1!A238)</f>
        <v/>
      </c>
      <c r="B238" s="5" t="str">
        <f>IF(ISBLANK(Лист1!B238),"",Лист1!B238)</f>
        <v/>
      </c>
      <c r="C238" s="5" t="str">
        <f>IF(ISBLANK(Лист1!C238),"",Лист1!C238)</f>
        <v/>
      </c>
      <c r="D238" s="5" t="str">
        <f>IF(ISBLANK(Лист1!D238),"",Лист1!D238)</f>
        <v/>
      </c>
      <c r="E238" s="5" t="str">
        <f>IF(ISBLANK(Лист1!E238),"",Лист1!E238)</f>
        <v/>
      </c>
      <c r="F238" s="5" t="str">
        <f>IF(ISBLANK(Лист1!F238),"",Лист1!F238)</f>
        <v/>
      </c>
      <c r="G238" s="5" t="str">
        <f>IF(ISBLANK(Лист1!G238),"",Лист1!G238)</f>
        <v/>
      </c>
      <c r="H238" s="5" t="str">
        <f>IF(ISBLANK(Лист1!H238),"",Лист1!H238)</f>
        <v/>
      </c>
      <c r="I238" s="5" t="str">
        <f>IF(ISBLANK(Лист1!I238),"",Лист1!I238)</f>
        <v/>
      </c>
      <c r="J238" s="5" t="str">
        <f>IF(ISBLANK(Лист1!J238),"",Лист1!J238)</f>
        <v/>
      </c>
      <c r="K238" s="5" t="str">
        <f>IF(ISBLANK(Лист1!K238),"",Лист1!K238)</f>
        <v/>
      </c>
      <c r="L238" s="5" t="str">
        <f>IF(ISBLANK(Лист1!L238),"",Лист1!L238)</f>
        <v/>
      </c>
      <c r="M238" s="5" t="str">
        <f>IF(ISBLANK(Лист1!M238),"",Лист1!M238)</f>
        <v/>
      </c>
      <c r="N238" s="5" t="str">
        <f>IF(ISBLANK(Лист1!N238),"",Лист1!N238)</f>
        <v/>
      </c>
      <c r="O238" s="5" t="str">
        <f>IF(ISBLANK(Лист1!O238),"",Лист1!O238)</f>
        <v/>
      </c>
      <c r="P238" s="5" t="str">
        <f>IF(ISBLANK(Лист1!P238),"",Лист1!P238)</f>
        <v/>
      </c>
      <c r="Q238" s="5" t="str">
        <f>IF(ISBLANK(Лист1!Q238),"",Лист1!Q238)</f>
        <v/>
      </c>
      <c r="R238" s="5" t="str">
        <f>IF(ISBLANK(Лист1!R238),"",Лист1!R238)</f>
        <v/>
      </c>
      <c r="S238" s="5" t="str">
        <f>IF(ISBLANK(Лист1!S238),"",Лист1!S238)</f>
        <v/>
      </c>
      <c r="T238" s="5" t="str">
        <f>IF(ISBLANK(Лист1!T238),"",Лист1!T238)</f>
        <v/>
      </c>
      <c r="U238" s="5" t="str">
        <f>IF(ISBLANK(Лист1!U238),"",Лист1!U238)</f>
        <v/>
      </c>
      <c r="V238" s="5" t="str">
        <f>IF(ISBLANK(Лист1!V238),"",Лист1!V238)</f>
        <v/>
      </c>
      <c r="W238" s="5" t="str">
        <f>IF(ISBLANK(Лист1!W238),"",Лист1!W238)</f>
        <v/>
      </c>
      <c r="X238" s="5" t="str">
        <f>IF(ISBLANK(Лист1!X238),"",Лист1!X238)</f>
        <v/>
      </c>
      <c r="Y238" s="5" t="str">
        <f>IF(ISERROR(VLOOKUP($X238,Лист2!$A$2:$G$498,1,FALSE)),"",VLOOKUP($X238,Лист2!$A$2:$G$498,1,FALSE))</f>
        <v/>
      </c>
      <c r="Z238" s="5" t="str">
        <f>IF(ISERROR(VLOOKUP($X238,Лист2!$A$2:$G$498,5,FALSE)),"",VLOOKUP($X238,Лист2!$A$2:$G$498,5,FALSE))</f>
        <v/>
      </c>
      <c r="AA238" s="5" t="str">
        <f>IF(ISERROR(VLOOKUP($X238,Лист2!$A$2:$G$498,6,FALSE)),"",VLOOKUP($X238,Лист2!$A$2:$G$498,6,FALSE))</f>
        <v/>
      </c>
      <c r="AB238" s="5" t="str">
        <f>IF(ISERROR(VLOOKUP($X238,Лист2!$A$2:$G$498,7,FALSE)),"",VLOOKUP($X238,Лист2!$A$2:$G$498,7,FALSE))</f>
        <v/>
      </c>
    </row>
    <row r="239" spans="1:28" x14ac:dyDescent="0.25">
      <c r="A239" s="5" t="str">
        <f>IF(ISBLANK(Лист1!A239),"",Лист1!A239)</f>
        <v/>
      </c>
      <c r="B239" s="5" t="str">
        <f>IF(ISBLANK(Лист1!B239),"",Лист1!B239)</f>
        <v/>
      </c>
      <c r="C239" s="5" t="str">
        <f>IF(ISBLANK(Лист1!C239),"",Лист1!C239)</f>
        <v/>
      </c>
      <c r="D239" s="5" t="str">
        <f>IF(ISBLANK(Лист1!D239),"",Лист1!D239)</f>
        <v/>
      </c>
      <c r="E239" s="5" t="str">
        <f>IF(ISBLANK(Лист1!E239),"",Лист1!E239)</f>
        <v/>
      </c>
      <c r="F239" s="5" t="str">
        <f>IF(ISBLANK(Лист1!F239),"",Лист1!F239)</f>
        <v/>
      </c>
      <c r="G239" s="5" t="str">
        <f>IF(ISBLANK(Лист1!G239),"",Лист1!G239)</f>
        <v/>
      </c>
      <c r="H239" s="5" t="str">
        <f>IF(ISBLANK(Лист1!H239),"",Лист1!H239)</f>
        <v/>
      </c>
      <c r="I239" s="5" t="str">
        <f>IF(ISBLANK(Лист1!I239),"",Лист1!I239)</f>
        <v/>
      </c>
      <c r="J239" s="5" t="str">
        <f>IF(ISBLANK(Лист1!J239),"",Лист1!J239)</f>
        <v/>
      </c>
      <c r="K239" s="5" t="str">
        <f>IF(ISBLANK(Лист1!K239),"",Лист1!K239)</f>
        <v/>
      </c>
      <c r="L239" s="5" t="str">
        <f>IF(ISBLANK(Лист1!L239),"",Лист1!L239)</f>
        <v/>
      </c>
      <c r="M239" s="5" t="str">
        <f>IF(ISBLANK(Лист1!M239),"",Лист1!M239)</f>
        <v/>
      </c>
      <c r="N239" s="5" t="str">
        <f>IF(ISBLANK(Лист1!N239),"",Лист1!N239)</f>
        <v/>
      </c>
      <c r="O239" s="5" t="str">
        <f>IF(ISBLANK(Лист1!O239),"",Лист1!O239)</f>
        <v/>
      </c>
      <c r="P239" s="5" t="str">
        <f>IF(ISBLANK(Лист1!P239),"",Лист1!P239)</f>
        <v/>
      </c>
      <c r="Q239" s="5" t="str">
        <f>IF(ISBLANK(Лист1!Q239),"",Лист1!Q239)</f>
        <v/>
      </c>
      <c r="R239" s="5" t="str">
        <f>IF(ISBLANK(Лист1!R239),"",Лист1!R239)</f>
        <v/>
      </c>
      <c r="S239" s="5" t="str">
        <f>IF(ISBLANK(Лист1!S239),"",Лист1!S239)</f>
        <v/>
      </c>
      <c r="T239" s="5" t="str">
        <f>IF(ISBLANK(Лист1!T239),"",Лист1!T239)</f>
        <v/>
      </c>
      <c r="U239" s="5" t="str">
        <f>IF(ISBLANK(Лист1!U239),"",Лист1!U239)</f>
        <v/>
      </c>
      <c r="V239" s="5" t="str">
        <f>IF(ISBLANK(Лист1!V239),"",Лист1!V239)</f>
        <v/>
      </c>
      <c r="W239" s="5" t="str">
        <f>IF(ISBLANK(Лист1!W239),"",Лист1!W239)</f>
        <v/>
      </c>
      <c r="X239" s="5" t="str">
        <f>IF(ISBLANK(Лист1!X239),"",Лист1!X239)</f>
        <v/>
      </c>
      <c r="Y239" s="5" t="str">
        <f>IF(ISERROR(VLOOKUP($X239,Лист2!$A$2:$G$498,1,FALSE)),"",VLOOKUP($X239,Лист2!$A$2:$G$498,1,FALSE))</f>
        <v/>
      </c>
      <c r="Z239" s="5" t="str">
        <f>IF(ISERROR(VLOOKUP($X239,Лист2!$A$2:$G$498,5,FALSE)),"",VLOOKUP($X239,Лист2!$A$2:$G$498,5,FALSE))</f>
        <v/>
      </c>
      <c r="AA239" s="5" t="str">
        <f>IF(ISERROR(VLOOKUP($X239,Лист2!$A$2:$G$498,6,FALSE)),"",VLOOKUP($X239,Лист2!$A$2:$G$498,6,FALSE))</f>
        <v/>
      </c>
      <c r="AB239" s="5" t="str">
        <f>IF(ISERROR(VLOOKUP($X239,Лист2!$A$2:$G$498,7,FALSE)),"",VLOOKUP($X239,Лист2!$A$2:$G$498,7,FALSE))</f>
        <v/>
      </c>
    </row>
    <row r="240" spans="1:28" x14ac:dyDescent="0.25">
      <c r="A240" s="5" t="str">
        <f>IF(ISBLANK(Лист1!A240),"",Лист1!A240)</f>
        <v/>
      </c>
      <c r="B240" s="5" t="str">
        <f>IF(ISBLANK(Лист1!B240),"",Лист1!B240)</f>
        <v/>
      </c>
      <c r="C240" s="5" t="str">
        <f>IF(ISBLANK(Лист1!C240),"",Лист1!C240)</f>
        <v/>
      </c>
      <c r="D240" s="5" t="str">
        <f>IF(ISBLANK(Лист1!D240),"",Лист1!D240)</f>
        <v/>
      </c>
      <c r="E240" s="5" t="str">
        <f>IF(ISBLANK(Лист1!E240),"",Лист1!E240)</f>
        <v/>
      </c>
      <c r="F240" s="5" t="str">
        <f>IF(ISBLANK(Лист1!F240),"",Лист1!F240)</f>
        <v/>
      </c>
      <c r="G240" s="5" t="str">
        <f>IF(ISBLANK(Лист1!G240),"",Лист1!G240)</f>
        <v/>
      </c>
      <c r="H240" s="5" t="str">
        <f>IF(ISBLANK(Лист1!H240),"",Лист1!H240)</f>
        <v/>
      </c>
      <c r="I240" s="5" t="str">
        <f>IF(ISBLANK(Лист1!I240),"",Лист1!I240)</f>
        <v/>
      </c>
      <c r="J240" s="5" t="str">
        <f>IF(ISBLANK(Лист1!J240),"",Лист1!J240)</f>
        <v/>
      </c>
      <c r="K240" s="5" t="str">
        <f>IF(ISBLANK(Лист1!K240),"",Лист1!K240)</f>
        <v/>
      </c>
      <c r="L240" s="5" t="str">
        <f>IF(ISBLANK(Лист1!L240),"",Лист1!L240)</f>
        <v/>
      </c>
      <c r="M240" s="5" t="str">
        <f>IF(ISBLANK(Лист1!M240),"",Лист1!M240)</f>
        <v/>
      </c>
      <c r="N240" s="5" t="str">
        <f>IF(ISBLANK(Лист1!N240),"",Лист1!N240)</f>
        <v/>
      </c>
      <c r="O240" s="5" t="str">
        <f>IF(ISBLANK(Лист1!O240),"",Лист1!O240)</f>
        <v/>
      </c>
      <c r="P240" s="5" t="str">
        <f>IF(ISBLANK(Лист1!P240),"",Лист1!P240)</f>
        <v/>
      </c>
      <c r="Q240" s="5" t="str">
        <f>IF(ISBLANK(Лист1!Q240),"",Лист1!Q240)</f>
        <v/>
      </c>
      <c r="R240" s="5" t="str">
        <f>IF(ISBLANK(Лист1!R240),"",Лист1!R240)</f>
        <v/>
      </c>
      <c r="S240" s="5" t="str">
        <f>IF(ISBLANK(Лист1!S240),"",Лист1!S240)</f>
        <v/>
      </c>
      <c r="T240" s="5" t="str">
        <f>IF(ISBLANK(Лист1!T240),"",Лист1!T240)</f>
        <v/>
      </c>
      <c r="U240" s="5" t="str">
        <f>IF(ISBLANK(Лист1!U240),"",Лист1!U240)</f>
        <v/>
      </c>
      <c r="V240" s="5" t="str">
        <f>IF(ISBLANK(Лист1!V240),"",Лист1!V240)</f>
        <v/>
      </c>
      <c r="W240" s="5" t="str">
        <f>IF(ISBLANK(Лист1!W240),"",Лист1!W240)</f>
        <v/>
      </c>
      <c r="X240" s="5" t="str">
        <f>IF(ISBLANK(Лист1!X240),"",Лист1!X240)</f>
        <v/>
      </c>
      <c r="Y240" s="5" t="str">
        <f>IF(ISERROR(VLOOKUP($X240,Лист2!$A$2:$G$498,1,FALSE)),"",VLOOKUP($X240,Лист2!$A$2:$G$498,1,FALSE))</f>
        <v/>
      </c>
      <c r="Z240" s="5" t="str">
        <f>IF(ISERROR(VLOOKUP($X240,Лист2!$A$2:$G$498,5,FALSE)),"",VLOOKUP($X240,Лист2!$A$2:$G$498,5,FALSE))</f>
        <v/>
      </c>
      <c r="AA240" s="5" t="str">
        <f>IF(ISERROR(VLOOKUP($X240,Лист2!$A$2:$G$498,6,FALSE)),"",VLOOKUP($X240,Лист2!$A$2:$G$498,6,FALSE))</f>
        <v/>
      </c>
      <c r="AB240" s="5" t="str">
        <f>IF(ISERROR(VLOOKUP($X240,Лист2!$A$2:$G$498,7,FALSE)),"",VLOOKUP($X240,Лист2!$A$2:$G$498,7,FALSE))</f>
        <v/>
      </c>
    </row>
    <row r="241" spans="1:28" x14ac:dyDescent="0.25">
      <c r="A241" s="5" t="str">
        <f>IF(ISBLANK(Лист1!A241),"",Лист1!A241)</f>
        <v/>
      </c>
      <c r="B241" s="5" t="str">
        <f>IF(ISBLANK(Лист1!B241),"",Лист1!B241)</f>
        <v/>
      </c>
      <c r="C241" s="5" t="str">
        <f>IF(ISBLANK(Лист1!C241),"",Лист1!C241)</f>
        <v/>
      </c>
      <c r="D241" s="5" t="str">
        <f>IF(ISBLANK(Лист1!D241),"",Лист1!D241)</f>
        <v/>
      </c>
      <c r="E241" s="5" t="str">
        <f>IF(ISBLANK(Лист1!E241),"",Лист1!E241)</f>
        <v/>
      </c>
      <c r="F241" s="5" t="str">
        <f>IF(ISBLANK(Лист1!F241),"",Лист1!F241)</f>
        <v/>
      </c>
      <c r="G241" s="5" t="str">
        <f>IF(ISBLANK(Лист1!G241),"",Лист1!G241)</f>
        <v/>
      </c>
      <c r="H241" s="5" t="str">
        <f>IF(ISBLANK(Лист1!H241),"",Лист1!H241)</f>
        <v/>
      </c>
      <c r="I241" s="5" t="str">
        <f>IF(ISBLANK(Лист1!I241),"",Лист1!I241)</f>
        <v/>
      </c>
      <c r="J241" s="5" t="str">
        <f>IF(ISBLANK(Лист1!J241),"",Лист1!J241)</f>
        <v/>
      </c>
      <c r="K241" s="5" t="str">
        <f>IF(ISBLANK(Лист1!K241),"",Лист1!K241)</f>
        <v/>
      </c>
      <c r="L241" s="5" t="str">
        <f>IF(ISBLANK(Лист1!L241),"",Лист1!L241)</f>
        <v/>
      </c>
      <c r="M241" s="5" t="str">
        <f>IF(ISBLANK(Лист1!M241),"",Лист1!M241)</f>
        <v/>
      </c>
      <c r="N241" s="5" t="str">
        <f>IF(ISBLANK(Лист1!N241),"",Лист1!N241)</f>
        <v/>
      </c>
      <c r="O241" s="5" t="str">
        <f>IF(ISBLANK(Лист1!O241),"",Лист1!O241)</f>
        <v/>
      </c>
      <c r="P241" s="5" t="str">
        <f>IF(ISBLANK(Лист1!P241),"",Лист1!P241)</f>
        <v/>
      </c>
      <c r="Q241" s="5" t="str">
        <f>IF(ISBLANK(Лист1!Q241),"",Лист1!Q241)</f>
        <v/>
      </c>
      <c r="R241" s="5" t="str">
        <f>IF(ISBLANK(Лист1!R241),"",Лист1!R241)</f>
        <v/>
      </c>
      <c r="S241" s="5" t="str">
        <f>IF(ISBLANK(Лист1!S241),"",Лист1!S241)</f>
        <v/>
      </c>
      <c r="T241" s="5" t="str">
        <f>IF(ISBLANK(Лист1!T241),"",Лист1!T241)</f>
        <v/>
      </c>
      <c r="U241" s="5" t="str">
        <f>IF(ISBLANK(Лист1!U241),"",Лист1!U241)</f>
        <v/>
      </c>
      <c r="V241" s="5" t="str">
        <f>IF(ISBLANK(Лист1!V241),"",Лист1!V241)</f>
        <v/>
      </c>
      <c r="W241" s="5" t="str">
        <f>IF(ISBLANK(Лист1!W241),"",Лист1!W241)</f>
        <v/>
      </c>
      <c r="X241" s="5" t="str">
        <f>IF(ISBLANK(Лист1!X241),"",Лист1!X241)</f>
        <v/>
      </c>
      <c r="Y241" s="5" t="str">
        <f>IF(ISERROR(VLOOKUP($X241,Лист2!$A$2:$G$498,1,FALSE)),"",VLOOKUP($X241,Лист2!$A$2:$G$498,1,FALSE))</f>
        <v/>
      </c>
      <c r="Z241" s="5" t="str">
        <f>IF(ISERROR(VLOOKUP($X241,Лист2!$A$2:$G$498,5,FALSE)),"",VLOOKUP($X241,Лист2!$A$2:$G$498,5,FALSE))</f>
        <v/>
      </c>
      <c r="AA241" s="5" t="str">
        <f>IF(ISERROR(VLOOKUP($X241,Лист2!$A$2:$G$498,6,FALSE)),"",VLOOKUP($X241,Лист2!$A$2:$G$498,6,FALSE))</f>
        <v/>
      </c>
      <c r="AB241" s="5" t="str">
        <f>IF(ISERROR(VLOOKUP($X241,Лист2!$A$2:$G$498,7,FALSE)),"",VLOOKUP($X241,Лист2!$A$2:$G$498,7,FALSE))</f>
        <v/>
      </c>
    </row>
    <row r="242" spans="1:28" x14ac:dyDescent="0.25">
      <c r="A242" s="5" t="str">
        <f>IF(ISBLANK(Лист1!A242),"",Лист1!A242)</f>
        <v/>
      </c>
      <c r="B242" s="5" t="str">
        <f>IF(ISBLANK(Лист1!B242),"",Лист1!B242)</f>
        <v/>
      </c>
      <c r="C242" s="5" t="str">
        <f>IF(ISBLANK(Лист1!C242),"",Лист1!C242)</f>
        <v/>
      </c>
      <c r="D242" s="5" t="str">
        <f>IF(ISBLANK(Лист1!D242),"",Лист1!D242)</f>
        <v/>
      </c>
      <c r="E242" s="5" t="str">
        <f>IF(ISBLANK(Лист1!E242),"",Лист1!E242)</f>
        <v/>
      </c>
      <c r="F242" s="5" t="str">
        <f>IF(ISBLANK(Лист1!F242),"",Лист1!F242)</f>
        <v/>
      </c>
      <c r="G242" s="5" t="str">
        <f>IF(ISBLANK(Лист1!G242),"",Лист1!G242)</f>
        <v/>
      </c>
      <c r="H242" s="5" t="str">
        <f>IF(ISBLANK(Лист1!H242),"",Лист1!H242)</f>
        <v/>
      </c>
      <c r="I242" s="5" t="str">
        <f>IF(ISBLANK(Лист1!I242),"",Лист1!I242)</f>
        <v/>
      </c>
      <c r="J242" s="5" t="str">
        <f>IF(ISBLANK(Лист1!J242),"",Лист1!J242)</f>
        <v/>
      </c>
      <c r="K242" s="5" t="str">
        <f>IF(ISBLANK(Лист1!K242),"",Лист1!K242)</f>
        <v/>
      </c>
      <c r="L242" s="5" t="str">
        <f>IF(ISBLANK(Лист1!L242),"",Лист1!L242)</f>
        <v/>
      </c>
      <c r="M242" s="5" t="str">
        <f>IF(ISBLANK(Лист1!M242),"",Лист1!M242)</f>
        <v/>
      </c>
      <c r="N242" s="5" t="str">
        <f>IF(ISBLANK(Лист1!N242),"",Лист1!N242)</f>
        <v/>
      </c>
      <c r="O242" s="5" t="str">
        <f>IF(ISBLANK(Лист1!O242),"",Лист1!O242)</f>
        <v/>
      </c>
      <c r="P242" s="5" t="str">
        <f>IF(ISBLANK(Лист1!P242),"",Лист1!P242)</f>
        <v/>
      </c>
      <c r="Q242" s="5" t="str">
        <f>IF(ISBLANK(Лист1!Q242),"",Лист1!Q242)</f>
        <v/>
      </c>
      <c r="R242" s="5" t="str">
        <f>IF(ISBLANK(Лист1!R242),"",Лист1!R242)</f>
        <v/>
      </c>
      <c r="S242" s="5" t="str">
        <f>IF(ISBLANK(Лист1!S242),"",Лист1!S242)</f>
        <v/>
      </c>
      <c r="T242" s="5" t="str">
        <f>IF(ISBLANK(Лист1!T242),"",Лист1!T242)</f>
        <v/>
      </c>
      <c r="U242" s="5" t="str">
        <f>IF(ISBLANK(Лист1!U242),"",Лист1!U242)</f>
        <v/>
      </c>
      <c r="V242" s="5" t="str">
        <f>IF(ISBLANK(Лист1!V242),"",Лист1!V242)</f>
        <v/>
      </c>
      <c r="W242" s="5" t="str">
        <f>IF(ISBLANK(Лист1!W242),"",Лист1!W242)</f>
        <v/>
      </c>
      <c r="X242" s="5" t="str">
        <f>IF(ISBLANK(Лист1!X242),"",Лист1!X242)</f>
        <v/>
      </c>
      <c r="Y242" s="5" t="str">
        <f>IF(ISERROR(VLOOKUP($X242,Лист2!$A$2:$G$498,1,FALSE)),"",VLOOKUP($X242,Лист2!$A$2:$G$498,1,FALSE))</f>
        <v/>
      </c>
      <c r="Z242" s="5" t="str">
        <f>IF(ISERROR(VLOOKUP($X242,Лист2!$A$2:$G$498,5,FALSE)),"",VLOOKUP($X242,Лист2!$A$2:$G$498,5,FALSE))</f>
        <v/>
      </c>
      <c r="AA242" s="5" t="str">
        <f>IF(ISERROR(VLOOKUP($X242,Лист2!$A$2:$G$498,6,FALSE)),"",VLOOKUP($X242,Лист2!$A$2:$G$498,6,FALSE))</f>
        <v/>
      </c>
      <c r="AB242" s="5" t="str">
        <f>IF(ISERROR(VLOOKUP($X242,Лист2!$A$2:$G$498,7,FALSE)),"",VLOOKUP($X242,Лист2!$A$2:$G$498,7,FALSE))</f>
        <v/>
      </c>
    </row>
    <row r="243" spans="1:28" x14ac:dyDescent="0.25">
      <c r="A243" s="5" t="str">
        <f>IF(ISBLANK(Лист1!A243),"",Лист1!A243)</f>
        <v/>
      </c>
      <c r="B243" s="5" t="str">
        <f>IF(ISBLANK(Лист1!B243),"",Лист1!B243)</f>
        <v/>
      </c>
      <c r="C243" s="5" t="str">
        <f>IF(ISBLANK(Лист1!C243),"",Лист1!C243)</f>
        <v/>
      </c>
      <c r="D243" s="5" t="str">
        <f>IF(ISBLANK(Лист1!D243),"",Лист1!D243)</f>
        <v/>
      </c>
      <c r="E243" s="5" t="str">
        <f>IF(ISBLANK(Лист1!E243),"",Лист1!E243)</f>
        <v/>
      </c>
      <c r="F243" s="5" t="str">
        <f>IF(ISBLANK(Лист1!F243),"",Лист1!F243)</f>
        <v/>
      </c>
      <c r="G243" s="5" t="str">
        <f>IF(ISBLANK(Лист1!G243),"",Лист1!G243)</f>
        <v/>
      </c>
      <c r="H243" s="5" t="str">
        <f>IF(ISBLANK(Лист1!H243),"",Лист1!H243)</f>
        <v/>
      </c>
      <c r="I243" s="5" t="str">
        <f>IF(ISBLANK(Лист1!I243),"",Лист1!I243)</f>
        <v/>
      </c>
      <c r="J243" s="5" t="str">
        <f>IF(ISBLANK(Лист1!J243),"",Лист1!J243)</f>
        <v/>
      </c>
      <c r="K243" s="5" t="str">
        <f>IF(ISBLANK(Лист1!K243),"",Лист1!K243)</f>
        <v/>
      </c>
      <c r="L243" s="5" t="str">
        <f>IF(ISBLANK(Лист1!L243),"",Лист1!L243)</f>
        <v/>
      </c>
      <c r="M243" s="5" t="str">
        <f>IF(ISBLANK(Лист1!M243),"",Лист1!M243)</f>
        <v/>
      </c>
      <c r="N243" s="5" t="str">
        <f>IF(ISBLANK(Лист1!N243),"",Лист1!N243)</f>
        <v/>
      </c>
      <c r="O243" s="5" t="str">
        <f>IF(ISBLANK(Лист1!O243),"",Лист1!O243)</f>
        <v/>
      </c>
      <c r="P243" s="5" t="str">
        <f>IF(ISBLANK(Лист1!P243),"",Лист1!P243)</f>
        <v/>
      </c>
      <c r="Q243" s="5" t="str">
        <f>IF(ISBLANK(Лист1!Q243),"",Лист1!Q243)</f>
        <v/>
      </c>
      <c r="R243" s="5" t="str">
        <f>IF(ISBLANK(Лист1!R243),"",Лист1!R243)</f>
        <v/>
      </c>
      <c r="S243" s="5" t="str">
        <f>IF(ISBLANK(Лист1!S243),"",Лист1!S243)</f>
        <v/>
      </c>
      <c r="T243" s="5" t="str">
        <f>IF(ISBLANK(Лист1!T243),"",Лист1!T243)</f>
        <v/>
      </c>
      <c r="U243" s="5" t="str">
        <f>IF(ISBLANK(Лист1!U243),"",Лист1!U243)</f>
        <v/>
      </c>
      <c r="V243" s="5" t="str">
        <f>IF(ISBLANK(Лист1!V243),"",Лист1!V243)</f>
        <v/>
      </c>
      <c r="W243" s="5" t="str">
        <f>IF(ISBLANK(Лист1!W243),"",Лист1!W243)</f>
        <v/>
      </c>
      <c r="X243" s="5" t="str">
        <f>IF(ISBLANK(Лист1!X243),"",Лист1!X243)</f>
        <v/>
      </c>
      <c r="Y243" s="5" t="str">
        <f>IF(ISERROR(VLOOKUP($X243,Лист2!$A$2:$G$498,1,FALSE)),"",VLOOKUP($X243,Лист2!$A$2:$G$498,1,FALSE))</f>
        <v/>
      </c>
      <c r="Z243" s="5" t="str">
        <f>IF(ISERROR(VLOOKUP($X243,Лист2!$A$2:$G$498,5,FALSE)),"",VLOOKUP($X243,Лист2!$A$2:$G$498,5,FALSE))</f>
        <v/>
      </c>
      <c r="AA243" s="5" t="str">
        <f>IF(ISERROR(VLOOKUP($X243,Лист2!$A$2:$G$498,6,FALSE)),"",VLOOKUP($X243,Лист2!$A$2:$G$498,6,FALSE))</f>
        <v/>
      </c>
      <c r="AB243" s="5" t="str">
        <f>IF(ISERROR(VLOOKUP($X243,Лист2!$A$2:$G$498,7,FALSE)),"",VLOOKUP($X243,Лист2!$A$2:$G$498,7,FALSE))</f>
        <v/>
      </c>
    </row>
    <row r="244" spans="1:28" x14ac:dyDescent="0.25">
      <c r="A244" s="5" t="str">
        <f>IF(ISBLANK(Лист1!A244),"",Лист1!A244)</f>
        <v/>
      </c>
      <c r="B244" s="5" t="str">
        <f>IF(ISBLANK(Лист1!B244),"",Лист1!B244)</f>
        <v/>
      </c>
      <c r="C244" s="5" t="str">
        <f>IF(ISBLANK(Лист1!C244),"",Лист1!C244)</f>
        <v/>
      </c>
      <c r="D244" s="5" t="str">
        <f>IF(ISBLANK(Лист1!D244),"",Лист1!D244)</f>
        <v/>
      </c>
      <c r="E244" s="5" t="str">
        <f>IF(ISBLANK(Лист1!E244),"",Лист1!E244)</f>
        <v/>
      </c>
      <c r="F244" s="5" t="str">
        <f>IF(ISBLANK(Лист1!F244),"",Лист1!F244)</f>
        <v/>
      </c>
      <c r="G244" s="5" t="str">
        <f>IF(ISBLANK(Лист1!G244),"",Лист1!G244)</f>
        <v/>
      </c>
      <c r="H244" s="5" t="str">
        <f>IF(ISBLANK(Лист1!H244),"",Лист1!H244)</f>
        <v/>
      </c>
      <c r="I244" s="5" t="str">
        <f>IF(ISBLANK(Лист1!I244),"",Лист1!I244)</f>
        <v/>
      </c>
      <c r="J244" s="5" t="str">
        <f>IF(ISBLANK(Лист1!J244),"",Лист1!J244)</f>
        <v/>
      </c>
      <c r="K244" s="5" t="str">
        <f>IF(ISBLANK(Лист1!K244),"",Лист1!K244)</f>
        <v/>
      </c>
      <c r="L244" s="5" t="str">
        <f>IF(ISBLANK(Лист1!L244),"",Лист1!L244)</f>
        <v/>
      </c>
      <c r="M244" s="5" t="str">
        <f>IF(ISBLANK(Лист1!M244),"",Лист1!M244)</f>
        <v/>
      </c>
      <c r="N244" s="5" t="str">
        <f>IF(ISBLANK(Лист1!N244),"",Лист1!N244)</f>
        <v/>
      </c>
      <c r="O244" s="5" t="str">
        <f>IF(ISBLANK(Лист1!O244),"",Лист1!O244)</f>
        <v/>
      </c>
      <c r="P244" s="5" t="str">
        <f>IF(ISBLANK(Лист1!P244),"",Лист1!P244)</f>
        <v/>
      </c>
      <c r="Q244" s="5" t="str">
        <f>IF(ISBLANK(Лист1!Q244),"",Лист1!Q244)</f>
        <v/>
      </c>
      <c r="R244" s="5" t="str">
        <f>IF(ISBLANK(Лист1!R244),"",Лист1!R244)</f>
        <v/>
      </c>
      <c r="S244" s="5" t="str">
        <f>IF(ISBLANK(Лист1!S244),"",Лист1!S244)</f>
        <v/>
      </c>
      <c r="T244" s="5" t="str">
        <f>IF(ISBLANK(Лист1!T244),"",Лист1!T244)</f>
        <v/>
      </c>
      <c r="U244" s="5" t="str">
        <f>IF(ISBLANK(Лист1!U244),"",Лист1!U244)</f>
        <v/>
      </c>
      <c r="V244" s="5" t="str">
        <f>IF(ISBLANK(Лист1!V244),"",Лист1!V244)</f>
        <v/>
      </c>
      <c r="W244" s="5" t="str">
        <f>IF(ISBLANK(Лист1!W244),"",Лист1!W244)</f>
        <v/>
      </c>
      <c r="X244" s="5" t="str">
        <f>IF(ISBLANK(Лист1!X244),"",Лист1!X244)</f>
        <v/>
      </c>
      <c r="Y244" s="5" t="str">
        <f>IF(ISERROR(VLOOKUP($X244,Лист2!$A$2:$G$498,1,FALSE)),"",VLOOKUP($X244,Лист2!$A$2:$G$498,1,FALSE))</f>
        <v/>
      </c>
      <c r="Z244" s="5" t="str">
        <f>IF(ISERROR(VLOOKUP($X244,Лист2!$A$2:$G$498,5,FALSE)),"",VLOOKUP($X244,Лист2!$A$2:$G$498,5,FALSE))</f>
        <v/>
      </c>
      <c r="AA244" s="5" t="str">
        <f>IF(ISERROR(VLOOKUP($X244,Лист2!$A$2:$G$498,6,FALSE)),"",VLOOKUP($X244,Лист2!$A$2:$G$498,6,FALSE))</f>
        <v/>
      </c>
      <c r="AB244" s="5" t="str">
        <f>IF(ISERROR(VLOOKUP($X244,Лист2!$A$2:$G$498,7,FALSE)),"",VLOOKUP($X244,Лист2!$A$2:$G$498,7,FALSE))</f>
        <v/>
      </c>
    </row>
    <row r="245" spans="1:28" x14ac:dyDescent="0.25">
      <c r="A245" s="5" t="str">
        <f>IF(ISBLANK(Лист1!A245),"",Лист1!A245)</f>
        <v/>
      </c>
      <c r="B245" s="5" t="str">
        <f>IF(ISBLANK(Лист1!B245),"",Лист1!B245)</f>
        <v/>
      </c>
      <c r="C245" s="5" t="str">
        <f>IF(ISBLANK(Лист1!C245),"",Лист1!C245)</f>
        <v/>
      </c>
      <c r="D245" s="5" t="str">
        <f>IF(ISBLANK(Лист1!D245),"",Лист1!D245)</f>
        <v/>
      </c>
      <c r="E245" s="5" t="str">
        <f>IF(ISBLANK(Лист1!E245),"",Лист1!E245)</f>
        <v/>
      </c>
      <c r="F245" s="5" t="str">
        <f>IF(ISBLANK(Лист1!F245),"",Лист1!F245)</f>
        <v/>
      </c>
      <c r="G245" s="5" t="str">
        <f>IF(ISBLANK(Лист1!G245),"",Лист1!G245)</f>
        <v/>
      </c>
      <c r="H245" s="5" t="str">
        <f>IF(ISBLANK(Лист1!H245),"",Лист1!H245)</f>
        <v/>
      </c>
      <c r="I245" s="5" t="str">
        <f>IF(ISBLANK(Лист1!I245),"",Лист1!I245)</f>
        <v/>
      </c>
      <c r="J245" s="5" t="str">
        <f>IF(ISBLANK(Лист1!J245),"",Лист1!J245)</f>
        <v/>
      </c>
      <c r="K245" s="5" t="str">
        <f>IF(ISBLANK(Лист1!K245),"",Лист1!K245)</f>
        <v/>
      </c>
      <c r="L245" s="5" t="str">
        <f>IF(ISBLANK(Лист1!L245),"",Лист1!L245)</f>
        <v/>
      </c>
      <c r="M245" s="5" t="str">
        <f>IF(ISBLANK(Лист1!M245),"",Лист1!M245)</f>
        <v/>
      </c>
      <c r="N245" s="5" t="str">
        <f>IF(ISBLANK(Лист1!N245),"",Лист1!N245)</f>
        <v/>
      </c>
      <c r="O245" s="5" t="str">
        <f>IF(ISBLANK(Лист1!O245),"",Лист1!O245)</f>
        <v/>
      </c>
      <c r="P245" s="5" t="str">
        <f>IF(ISBLANK(Лист1!P245),"",Лист1!P245)</f>
        <v/>
      </c>
      <c r="Q245" s="5" t="str">
        <f>IF(ISBLANK(Лист1!Q245),"",Лист1!Q245)</f>
        <v/>
      </c>
      <c r="R245" s="5" t="str">
        <f>IF(ISBLANK(Лист1!R245),"",Лист1!R245)</f>
        <v/>
      </c>
      <c r="S245" s="5" t="str">
        <f>IF(ISBLANK(Лист1!S245),"",Лист1!S245)</f>
        <v/>
      </c>
      <c r="T245" s="5" t="str">
        <f>IF(ISBLANK(Лист1!T245),"",Лист1!T245)</f>
        <v/>
      </c>
      <c r="U245" s="5" t="str">
        <f>IF(ISBLANK(Лист1!U245),"",Лист1!U245)</f>
        <v/>
      </c>
      <c r="V245" s="5" t="str">
        <f>IF(ISBLANK(Лист1!V245),"",Лист1!V245)</f>
        <v/>
      </c>
      <c r="W245" s="5" t="str">
        <f>IF(ISBLANK(Лист1!W245),"",Лист1!W245)</f>
        <v/>
      </c>
      <c r="X245" s="5" t="str">
        <f>IF(ISBLANK(Лист1!X245),"",Лист1!X245)</f>
        <v/>
      </c>
      <c r="Y245" s="5" t="str">
        <f>IF(ISERROR(VLOOKUP($X245,Лист2!$A$2:$G$498,1,FALSE)),"",VLOOKUP($X245,Лист2!$A$2:$G$498,1,FALSE))</f>
        <v/>
      </c>
      <c r="Z245" s="5" t="str">
        <f>IF(ISERROR(VLOOKUP($X245,Лист2!$A$2:$G$498,5,FALSE)),"",VLOOKUP($X245,Лист2!$A$2:$G$498,5,FALSE))</f>
        <v/>
      </c>
      <c r="AA245" s="5" t="str">
        <f>IF(ISERROR(VLOOKUP($X245,Лист2!$A$2:$G$498,6,FALSE)),"",VLOOKUP($X245,Лист2!$A$2:$G$498,6,FALSE))</f>
        <v/>
      </c>
      <c r="AB245" s="5" t="str">
        <f>IF(ISERROR(VLOOKUP($X245,Лист2!$A$2:$G$498,7,FALSE)),"",VLOOKUP($X245,Лист2!$A$2:$G$498,7,FALSE))</f>
        <v/>
      </c>
    </row>
    <row r="246" spans="1:28" x14ac:dyDescent="0.25">
      <c r="A246" s="5" t="str">
        <f>IF(ISBLANK(Лист1!A246),"",Лист1!A246)</f>
        <v/>
      </c>
      <c r="B246" s="5" t="str">
        <f>IF(ISBLANK(Лист1!B246),"",Лист1!B246)</f>
        <v/>
      </c>
      <c r="C246" s="5" t="str">
        <f>IF(ISBLANK(Лист1!C246),"",Лист1!C246)</f>
        <v/>
      </c>
      <c r="D246" s="5" t="str">
        <f>IF(ISBLANK(Лист1!D246),"",Лист1!D246)</f>
        <v/>
      </c>
      <c r="E246" s="5" t="str">
        <f>IF(ISBLANK(Лист1!E246),"",Лист1!E246)</f>
        <v/>
      </c>
      <c r="F246" s="5" t="str">
        <f>IF(ISBLANK(Лист1!F246),"",Лист1!F246)</f>
        <v/>
      </c>
      <c r="G246" s="5" t="str">
        <f>IF(ISBLANK(Лист1!G246),"",Лист1!G246)</f>
        <v/>
      </c>
      <c r="H246" s="5" t="str">
        <f>IF(ISBLANK(Лист1!H246),"",Лист1!H246)</f>
        <v/>
      </c>
      <c r="I246" s="5" t="str">
        <f>IF(ISBLANK(Лист1!I246),"",Лист1!I246)</f>
        <v/>
      </c>
      <c r="J246" s="5" t="str">
        <f>IF(ISBLANK(Лист1!J246),"",Лист1!J246)</f>
        <v/>
      </c>
      <c r="K246" s="5" t="str">
        <f>IF(ISBLANK(Лист1!K246),"",Лист1!K246)</f>
        <v/>
      </c>
      <c r="L246" s="5" t="str">
        <f>IF(ISBLANK(Лист1!L246),"",Лист1!L246)</f>
        <v/>
      </c>
      <c r="M246" s="5" t="str">
        <f>IF(ISBLANK(Лист1!M246),"",Лист1!M246)</f>
        <v/>
      </c>
      <c r="N246" s="5" t="str">
        <f>IF(ISBLANK(Лист1!N246),"",Лист1!N246)</f>
        <v/>
      </c>
      <c r="O246" s="5" t="str">
        <f>IF(ISBLANK(Лист1!O246),"",Лист1!O246)</f>
        <v/>
      </c>
      <c r="P246" s="5" t="str">
        <f>IF(ISBLANK(Лист1!P246),"",Лист1!P246)</f>
        <v/>
      </c>
      <c r="Q246" s="5" t="str">
        <f>IF(ISBLANK(Лист1!Q246),"",Лист1!Q246)</f>
        <v/>
      </c>
      <c r="R246" s="5" t="str">
        <f>IF(ISBLANK(Лист1!R246),"",Лист1!R246)</f>
        <v/>
      </c>
      <c r="S246" s="5" t="str">
        <f>IF(ISBLANK(Лист1!S246),"",Лист1!S246)</f>
        <v/>
      </c>
      <c r="T246" s="5" t="str">
        <f>IF(ISBLANK(Лист1!T246),"",Лист1!T246)</f>
        <v/>
      </c>
      <c r="U246" s="5" t="str">
        <f>IF(ISBLANK(Лист1!U246),"",Лист1!U246)</f>
        <v/>
      </c>
      <c r="V246" s="5" t="str">
        <f>IF(ISBLANK(Лист1!V246),"",Лист1!V246)</f>
        <v/>
      </c>
      <c r="W246" s="5" t="str">
        <f>IF(ISBLANK(Лист1!W246),"",Лист1!W246)</f>
        <v/>
      </c>
      <c r="X246" s="5" t="str">
        <f>IF(ISBLANK(Лист1!X246),"",Лист1!X246)</f>
        <v/>
      </c>
      <c r="Y246" s="5" t="str">
        <f>IF(ISERROR(VLOOKUP($X246,Лист2!$A$2:$G$498,1,FALSE)),"",VLOOKUP($X246,Лист2!$A$2:$G$498,1,FALSE))</f>
        <v/>
      </c>
      <c r="Z246" s="5" t="str">
        <f>IF(ISERROR(VLOOKUP($X246,Лист2!$A$2:$G$498,5,FALSE)),"",VLOOKUP($X246,Лист2!$A$2:$G$498,5,FALSE))</f>
        <v/>
      </c>
      <c r="AA246" s="5" t="str">
        <f>IF(ISERROR(VLOOKUP($X246,Лист2!$A$2:$G$498,6,FALSE)),"",VLOOKUP($X246,Лист2!$A$2:$G$498,6,FALSE))</f>
        <v/>
      </c>
      <c r="AB246" s="5" t="str">
        <f>IF(ISERROR(VLOOKUP($X246,Лист2!$A$2:$G$498,7,FALSE)),"",VLOOKUP($X246,Лист2!$A$2:$G$498,7,FALSE))</f>
        <v/>
      </c>
    </row>
    <row r="247" spans="1:28" x14ac:dyDescent="0.25">
      <c r="A247" s="5" t="str">
        <f>IF(ISBLANK(Лист1!A247),"",Лист1!A247)</f>
        <v/>
      </c>
      <c r="B247" s="5" t="str">
        <f>IF(ISBLANK(Лист1!B247),"",Лист1!B247)</f>
        <v/>
      </c>
      <c r="C247" s="5" t="str">
        <f>IF(ISBLANK(Лист1!C247),"",Лист1!C247)</f>
        <v/>
      </c>
      <c r="D247" s="5" t="str">
        <f>IF(ISBLANK(Лист1!D247),"",Лист1!D247)</f>
        <v/>
      </c>
      <c r="E247" s="5" t="str">
        <f>IF(ISBLANK(Лист1!E247),"",Лист1!E247)</f>
        <v/>
      </c>
      <c r="F247" s="5" t="str">
        <f>IF(ISBLANK(Лист1!F247),"",Лист1!F247)</f>
        <v/>
      </c>
      <c r="G247" s="5" t="str">
        <f>IF(ISBLANK(Лист1!G247),"",Лист1!G247)</f>
        <v/>
      </c>
      <c r="H247" s="5" t="str">
        <f>IF(ISBLANK(Лист1!H247),"",Лист1!H247)</f>
        <v/>
      </c>
      <c r="I247" s="5" t="str">
        <f>IF(ISBLANK(Лист1!I247),"",Лист1!I247)</f>
        <v/>
      </c>
      <c r="J247" s="5" t="str">
        <f>IF(ISBLANK(Лист1!J247),"",Лист1!J247)</f>
        <v/>
      </c>
      <c r="K247" s="5" t="str">
        <f>IF(ISBLANK(Лист1!K247),"",Лист1!K247)</f>
        <v/>
      </c>
      <c r="L247" s="5" t="str">
        <f>IF(ISBLANK(Лист1!L247),"",Лист1!L247)</f>
        <v/>
      </c>
      <c r="M247" s="5" t="str">
        <f>IF(ISBLANK(Лист1!M247),"",Лист1!M247)</f>
        <v/>
      </c>
      <c r="N247" s="5" t="str">
        <f>IF(ISBLANK(Лист1!N247),"",Лист1!N247)</f>
        <v/>
      </c>
      <c r="O247" s="5" t="str">
        <f>IF(ISBLANK(Лист1!O247),"",Лист1!O247)</f>
        <v/>
      </c>
      <c r="P247" s="5" t="str">
        <f>IF(ISBLANK(Лист1!P247),"",Лист1!P247)</f>
        <v/>
      </c>
      <c r="Q247" s="5" t="str">
        <f>IF(ISBLANK(Лист1!Q247),"",Лист1!Q247)</f>
        <v/>
      </c>
      <c r="R247" s="5" t="str">
        <f>IF(ISBLANK(Лист1!R247),"",Лист1!R247)</f>
        <v/>
      </c>
      <c r="S247" s="5" t="str">
        <f>IF(ISBLANK(Лист1!S247),"",Лист1!S247)</f>
        <v/>
      </c>
      <c r="T247" s="5" t="str">
        <f>IF(ISBLANK(Лист1!T247),"",Лист1!T247)</f>
        <v/>
      </c>
      <c r="U247" s="5" t="str">
        <f>IF(ISBLANK(Лист1!U247),"",Лист1!U247)</f>
        <v/>
      </c>
      <c r="V247" s="5" t="str">
        <f>IF(ISBLANK(Лист1!V247),"",Лист1!V247)</f>
        <v/>
      </c>
      <c r="W247" s="5" t="str">
        <f>IF(ISBLANK(Лист1!W247),"",Лист1!W247)</f>
        <v/>
      </c>
      <c r="X247" s="5" t="str">
        <f>IF(ISBLANK(Лист1!X247),"",Лист1!X247)</f>
        <v/>
      </c>
      <c r="Y247" s="5" t="str">
        <f>IF(ISERROR(VLOOKUP($X247,Лист2!$A$2:$G$498,1,FALSE)),"",VLOOKUP($X247,Лист2!$A$2:$G$498,1,FALSE))</f>
        <v/>
      </c>
      <c r="Z247" s="5" t="str">
        <f>IF(ISERROR(VLOOKUP($X247,Лист2!$A$2:$G$498,5,FALSE)),"",VLOOKUP($X247,Лист2!$A$2:$G$498,5,FALSE))</f>
        <v/>
      </c>
      <c r="AA247" s="5" t="str">
        <f>IF(ISERROR(VLOOKUP($X247,Лист2!$A$2:$G$498,6,FALSE)),"",VLOOKUP($X247,Лист2!$A$2:$G$498,6,FALSE))</f>
        <v/>
      </c>
      <c r="AB247" s="5" t="str">
        <f>IF(ISERROR(VLOOKUP($X247,Лист2!$A$2:$G$498,7,FALSE)),"",VLOOKUP($X247,Лист2!$A$2:$G$498,7,FALSE))</f>
        <v/>
      </c>
    </row>
    <row r="248" spans="1:28" x14ac:dyDescent="0.25">
      <c r="A248" s="5" t="str">
        <f>IF(ISBLANK(Лист1!A248),"",Лист1!A248)</f>
        <v/>
      </c>
      <c r="B248" s="5" t="str">
        <f>IF(ISBLANK(Лист1!B248),"",Лист1!B248)</f>
        <v/>
      </c>
      <c r="C248" s="5" t="str">
        <f>IF(ISBLANK(Лист1!C248),"",Лист1!C248)</f>
        <v/>
      </c>
      <c r="D248" s="5" t="str">
        <f>IF(ISBLANK(Лист1!D248),"",Лист1!D248)</f>
        <v/>
      </c>
      <c r="E248" s="5" t="str">
        <f>IF(ISBLANK(Лист1!E248),"",Лист1!E248)</f>
        <v/>
      </c>
      <c r="F248" s="5" t="str">
        <f>IF(ISBLANK(Лист1!F248),"",Лист1!F248)</f>
        <v/>
      </c>
      <c r="G248" s="5" t="str">
        <f>IF(ISBLANK(Лист1!G248),"",Лист1!G248)</f>
        <v/>
      </c>
      <c r="H248" s="5" t="str">
        <f>IF(ISBLANK(Лист1!H248),"",Лист1!H248)</f>
        <v/>
      </c>
      <c r="I248" s="5" t="str">
        <f>IF(ISBLANK(Лист1!I248),"",Лист1!I248)</f>
        <v/>
      </c>
      <c r="J248" s="5" t="str">
        <f>IF(ISBLANK(Лист1!J248),"",Лист1!J248)</f>
        <v/>
      </c>
      <c r="K248" s="5" t="str">
        <f>IF(ISBLANK(Лист1!K248),"",Лист1!K248)</f>
        <v/>
      </c>
      <c r="L248" s="5" t="str">
        <f>IF(ISBLANK(Лист1!L248),"",Лист1!L248)</f>
        <v/>
      </c>
      <c r="M248" s="5" t="str">
        <f>IF(ISBLANK(Лист1!M248),"",Лист1!M248)</f>
        <v/>
      </c>
      <c r="N248" s="5" t="str">
        <f>IF(ISBLANK(Лист1!N248),"",Лист1!N248)</f>
        <v/>
      </c>
      <c r="O248" s="5" t="str">
        <f>IF(ISBLANK(Лист1!O248),"",Лист1!O248)</f>
        <v/>
      </c>
      <c r="P248" s="5" t="str">
        <f>IF(ISBLANK(Лист1!P248),"",Лист1!P248)</f>
        <v/>
      </c>
      <c r="Q248" s="5" t="str">
        <f>IF(ISBLANK(Лист1!Q248),"",Лист1!Q248)</f>
        <v/>
      </c>
      <c r="R248" s="5" t="str">
        <f>IF(ISBLANK(Лист1!R248),"",Лист1!R248)</f>
        <v/>
      </c>
      <c r="S248" s="5" t="str">
        <f>IF(ISBLANK(Лист1!S248),"",Лист1!S248)</f>
        <v/>
      </c>
      <c r="T248" s="5" t="str">
        <f>IF(ISBLANK(Лист1!T248),"",Лист1!T248)</f>
        <v/>
      </c>
      <c r="U248" s="5" t="str">
        <f>IF(ISBLANK(Лист1!U248),"",Лист1!U248)</f>
        <v/>
      </c>
      <c r="V248" s="5" t="str">
        <f>IF(ISBLANK(Лист1!V248),"",Лист1!V248)</f>
        <v/>
      </c>
      <c r="W248" s="5" t="str">
        <f>IF(ISBLANK(Лист1!W248),"",Лист1!W248)</f>
        <v/>
      </c>
      <c r="X248" s="5" t="str">
        <f>IF(ISBLANK(Лист1!X248),"",Лист1!X248)</f>
        <v/>
      </c>
      <c r="Y248" s="5" t="str">
        <f>IF(ISERROR(VLOOKUP($X248,Лист2!$A$2:$G$498,1,FALSE)),"",VLOOKUP($X248,Лист2!$A$2:$G$498,1,FALSE))</f>
        <v/>
      </c>
      <c r="Z248" s="5" t="str">
        <f>IF(ISERROR(VLOOKUP($X248,Лист2!$A$2:$G$498,5,FALSE)),"",VLOOKUP($X248,Лист2!$A$2:$G$498,5,FALSE))</f>
        <v/>
      </c>
      <c r="AA248" s="5" t="str">
        <f>IF(ISERROR(VLOOKUP($X248,Лист2!$A$2:$G$498,6,FALSE)),"",VLOOKUP($X248,Лист2!$A$2:$G$498,6,FALSE))</f>
        <v/>
      </c>
      <c r="AB248" s="5" t="str">
        <f>IF(ISERROR(VLOOKUP($X248,Лист2!$A$2:$G$498,7,FALSE)),"",VLOOKUP($X248,Лист2!$A$2:$G$498,7,FALSE))</f>
        <v/>
      </c>
    </row>
    <row r="249" spans="1:28" x14ac:dyDescent="0.25">
      <c r="A249" s="5" t="str">
        <f>IF(ISBLANK(Лист1!A249),"",Лист1!A249)</f>
        <v/>
      </c>
      <c r="B249" s="5" t="str">
        <f>IF(ISBLANK(Лист1!B249),"",Лист1!B249)</f>
        <v/>
      </c>
      <c r="C249" s="5" t="str">
        <f>IF(ISBLANK(Лист1!C249),"",Лист1!C249)</f>
        <v/>
      </c>
      <c r="D249" s="5" t="str">
        <f>IF(ISBLANK(Лист1!D249),"",Лист1!D249)</f>
        <v/>
      </c>
      <c r="E249" s="5" t="str">
        <f>IF(ISBLANK(Лист1!E249),"",Лист1!E249)</f>
        <v/>
      </c>
      <c r="F249" s="5" t="str">
        <f>IF(ISBLANK(Лист1!F249),"",Лист1!F249)</f>
        <v/>
      </c>
      <c r="G249" s="5" t="str">
        <f>IF(ISBLANK(Лист1!G249),"",Лист1!G249)</f>
        <v/>
      </c>
      <c r="H249" s="5" t="str">
        <f>IF(ISBLANK(Лист1!H249),"",Лист1!H249)</f>
        <v/>
      </c>
      <c r="I249" s="5" t="str">
        <f>IF(ISBLANK(Лист1!I249),"",Лист1!I249)</f>
        <v/>
      </c>
      <c r="J249" s="5" t="str">
        <f>IF(ISBLANK(Лист1!J249),"",Лист1!J249)</f>
        <v/>
      </c>
      <c r="K249" s="5" t="str">
        <f>IF(ISBLANK(Лист1!K249),"",Лист1!K249)</f>
        <v/>
      </c>
      <c r="L249" s="5" t="str">
        <f>IF(ISBLANK(Лист1!L249),"",Лист1!L249)</f>
        <v/>
      </c>
      <c r="M249" s="5" t="str">
        <f>IF(ISBLANK(Лист1!M249),"",Лист1!M249)</f>
        <v/>
      </c>
      <c r="N249" s="5" t="str">
        <f>IF(ISBLANK(Лист1!N249),"",Лист1!N249)</f>
        <v/>
      </c>
      <c r="O249" s="5" t="str">
        <f>IF(ISBLANK(Лист1!O249),"",Лист1!O249)</f>
        <v/>
      </c>
      <c r="P249" s="5" t="str">
        <f>IF(ISBLANK(Лист1!P249),"",Лист1!P249)</f>
        <v/>
      </c>
      <c r="Q249" s="5" t="str">
        <f>IF(ISBLANK(Лист1!Q249),"",Лист1!Q249)</f>
        <v/>
      </c>
      <c r="R249" s="5" t="str">
        <f>IF(ISBLANK(Лист1!R249),"",Лист1!R249)</f>
        <v/>
      </c>
      <c r="S249" s="5" t="str">
        <f>IF(ISBLANK(Лист1!S249),"",Лист1!S249)</f>
        <v/>
      </c>
      <c r="T249" s="5" t="str">
        <f>IF(ISBLANK(Лист1!T249),"",Лист1!T249)</f>
        <v/>
      </c>
      <c r="U249" s="5" t="str">
        <f>IF(ISBLANK(Лист1!U249),"",Лист1!U249)</f>
        <v/>
      </c>
      <c r="V249" s="5" t="str">
        <f>IF(ISBLANK(Лист1!V249),"",Лист1!V249)</f>
        <v/>
      </c>
      <c r="W249" s="5" t="str">
        <f>IF(ISBLANK(Лист1!W249),"",Лист1!W249)</f>
        <v/>
      </c>
      <c r="X249" s="5" t="str">
        <f>IF(ISBLANK(Лист1!X249),"",Лист1!X249)</f>
        <v/>
      </c>
      <c r="Y249" s="5" t="str">
        <f>IF(ISERROR(VLOOKUP($X249,Лист2!$A$2:$G$498,1,FALSE)),"",VLOOKUP($X249,Лист2!$A$2:$G$498,1,FALSE))</f>
        <v/>
      </c>
      <c r="Z249" s="5" t="str">
        <f>IF(ISERROR(VLOOKUP($X249,Лист2!$A$2:$G$498,5,FALSE)),"",VLOOKUP($X249,Лист2!$A$2:$G$498,5,FALSE))</f>
        <v/>
      </c>
      <c r="AA249" s="5" t="str">
        <f>IF(ISERROR(VLOOKUP($X249,Лист2!$A$2:$G$498,6,FALSE)),"",VLOOKUP($X249,Лист2!$A$2:$G$498,6,FALSE))</f>
        <v/>
      </c>
      <c r="AB249" s="5" t="str">
        <f>IF(ISERROR(VLOOKUP($X249,Лист2!$A$2:$G$498,7,FALSE)),"",VLOOKUP($X249,Лист2!$A$2:$G$498,7,FALSE))</f>
        <v/>
      </c>
    </row>
    <row r="250" spans="1:28" x14ac:dyDescent="0.25">
      <c r="A250" s="5" t="str">
        <f>IF(ISBLANK(Лист1!A250),"",Лист1!A250)</f>
        <v/>
      </c>
      <c r="B250" s="5" t="str">
        <f>IF(ISBLANK(Лист1!B250),"",Лист1!B250)</f>
        <v/>
      </c>
      <c r="C250" s="5" t="str">
        <f>IF(ISBLANK(Лист1!C250),"",Лист1!C250)</f>
        <v/>
      </c>
      <c r="D250" s="5" t="str">
        <f>IF(ISBLANK(Лист1!D250),"",Лист1!D250)</f>
        <v/>
      </c>
      <c r="E250" s="5" t="str">
        <f>IF(ISBLANK(Лист1!E250),"",Лист1!E250)</f>
        <v/>
      </c>
      <c r="F250" s="5" t="str">
        <f>IF(ISBLANK(Лист1!F250),"",Лист1!F250)</f>
        <v/>
      </c>
      <c r="G250" s="5" t="str">
        <f>IF(ISBLANK(Лист1!G250),"",Лист1!G250)</f>
        <v/>
      </c>
      <c r="H250" s="5" t="str">
        <f>IF(ISBLANK(Лист1!H250),"",Лист1!H250)</f>
        <v/>
      </c>
      <c r="I250" s="5" t="str">
        <f>IF(ISBLANK(Лист1!I250),"",Лист1!I250)</f>
        <v/>
      </c>
      <c r="J250" s="5" t="str">
        <f>IF(ISBLANK(Лист1!J250),"",Лист1!J250)</f>
        <v/>
      </c>
      <c r="K250" s="5" t="str">
        <f>IF(ISBLANK(Лист1!K250),"",Лист1!K250)</f>
        <v/>
      </c>
      <c r="L250" s="5" t="str">
        <f>IF(ISBLANK(Лист1!L250),"",Лист1!L250)</f>
        <v/>
      </c>
      <c r="M250" s="5" t="str">
        <f>IF(ISBLANK(Лист1!M250),"",Лист1!M250)</f>
        <v/>
      </c>
      <c r="N250" s="5" t="str">
        <f>IF(ISBLANK(Лист1!N250),"",Лист1!N250)</f>
        <v/>
      </c>
      <c r="O250" s="5" t="str">
        <f>IF(ISBLANK(Лист1!O250),"",Лист1!O250)</f>
        <v/>
      </c>
      <c r="P250" s="5" t="str">
        <f>IF(ISBLANK(Лист1!P250),"",Лист1!P250)</f>
        <v/>
      </c>
      <c r="Q250" s="5" t="str">
        <f>IF(ISBLANK(Лист1!Q250),"",Лист1!Q250)</f>
        <v/>
      </c>
      <c r="R250" s="5" t="str">
        <f>IF(ISBLANK(Лист1!R250),"",Лист1!R250)</f>
        <v/>
      </c>
      <c r="S250" s="5" t="str">
        <f>IF(ISBLANK(Лист1!S250),"",Лист1!S250)</f>
        <v/>
      </c>
      <c r="T250" s="5" t="str">
        <f>IF(ISBLANK(Лист1!T250),"",Лист1!T250)</f>
        <v/>
      </c>
      <c r="U250" s="5" t="str">
        <f>IF(ISBLANK(Лист1!U250),"",Лист1!U250)</f>
        <v/>
      </c>
      <c r="V250" s="5" t="str">
        <f>IF(ISBLANK(Лист1!V250),"",Лист1!V250)</f>
        <v/>
      </c>
      <c r="W250" s="5" t="str">
        <f>IF(ISBLANK(Лист1!W250),"",Лист1!W250)</f>
        <v/>
      </c>
      <c r="X250" s="5" t="str">
        <f>IF(ISBLANK(Лист1!X250),"",Лист1!X250)</f>
        <v/>
      </c>
      <c r="Y250" s="5" t="str">
        <f>IF(ISERROR(VLOOKUP($X250,Лист2!$A$2:$G$498,1,FALSE)),"",VLOOKUP($X250,Лист2!$A$2:$G$498,1,FALSE))</f>
        <v/>
      </c>
      <c r="Z250" s="5" t="str">
        <f>IF(ISERROR(VLOOKUP($X250,Лист2!$A$2:$G$498,5,FALSE)),"",VLOOKUP($X250,Лист2!$A$2:$G$498,5,FALSE))</f>
        <v/>
      </c>
      <c r="AA250" s="5" t="str">
        <f>IF(ISERROR(VLOOKUP($X250,Лист2!$A$2:$G$498,6,FALSE)),"",VLOOKUP($X250,Лист2!$A$2:$G$498,6,FALSE))</f>
        <v/>
      </c>
      <c r="AB250" s="5" t="str">
        <f>IF(ISERROR(VLOOKUP($X250,Лист2!$A$2:$G$498,7,FALSE)),"",VLOOKUP($X250,Лист2!$A$2:$G$498,7,FALSE))</f>
        <v/>
      </c>
    </row>
    <row r="251" spans="1:28" x14ac:dyDescent="0.25">
      <c r="A251" s="5" t="str">
        <f>IF(ISBLANK(Лист1!A251),"",Лист1!A251)</f>
        <v/>
      </c>
      <c r="B251" s="5" t="str">
        <f>IF(ISBLANK(Лист1!B251),"",Лист1!B251)</f>
        <v/>
      </c>
      <c r="C251" s="5" t="str">
        <f>IF(ISBLANK(Лист1!C251),"",Лист1!C251)</f>
        <v/>
      </c>
      <c r="D251" s="5" t="str">
        <f>IF(ISBLANK(Лист1!D251),"",Лист1!D251)</f>
        <v/>
      </c>
      <c r="E251" s="5" t="str">
        <f>IF(ISBLANK(Лист1!E251),"",Лист1!E251)</f>
        <v/>
      </c>
      <c r="F251" s="5" t="str">
        <f>IF(ISBLANK(Лист1!F251),"",Лист1!F251)</f>
        <v/>
      </c>
      <c r="G251" s="5" t="str">
        <f>IF(ISBLANK(Лист1!G251),"",Лист1!G251)</f>
        <v/>
      </c>
      <c r="H251" s="5" t="str">
        <f>IF(ISBLANK(Лист1!H251),"",Лист1!H251)</f>
        <v/>
      </c>
      <c r="I251" s="5" t="str">
        <f>IF(ISBLANK(Лист1!I251),"",Лист1!I251)</f>
        <v/>
      </c>
      <c r="J251" s="5" t="str">
        <f>IF(ISBLANK(Лист1!J251),"",Лист1!J251)</f>
        <v/>
      </c>
      <c r="K251" s="5" t="str">
        <f>IF(ISBLANK(Лист1!K251),"",Лист1!K251)</f>
        <v/>
      </c>
      <c r="L251" s="5" t="str">
        <f>IF(ISBLANK(Лист1!L251),"",Лист1!L251)</f>
        <v/>
      </c>
      <c r="M251" s="5" t="str">
        <f>IF(ISBLANK(Лист1!M251),"",Лист1!M251)</f>
        <v/>
      </c>
      <c r="N251" s="5" t="str">
        <f>IF(ISBLANK(Лист1!N251),"",Лист1!N251)</f>
        <v/>
      </c>
      <c r="O251" s="5" t="str">
        <f>IF(ISBLANK(Лист1!O251),"",Лист1!O251)</f>
        <v/>
      </c>
      <c r="P251" s="5" t="str">
        <f>IF(ISBLANK(Лист1!P251),"",Лист1!P251)</f>
        <v/>
      </c>
      <c r="Q251" s="5" t="str">
        <f>IF(ISBLANK(Лист1!Q251),"",Лист1!Q251)</f>
        <v/>
      </c>
      <c r="R251" s="5" t="str">
        <f>IF(ISBLANK(Лист1!R251),"",Лист1!R251)</f>
        <v/>
      </c>
      <c r="S251" s="5" t="str">
        <f>IF(ISBLANK(Лист1!S251),"",Лист1!S251)</f>
        <v/>
      </c>
      <c r="T251" s="5" t="str">
        <f>IF(ISBLANK(Лист1!T251),"",Лист1!T251)</f>
        <v/>
      </c>
      <c r="U251" s="5" t="str">
        <f>IF(ISBLANK(Лист1!U251),"",Лист1!U251)</f>
        <v/>
      </c>
      <c r="V251" s="5" t="str">
        <f>IF(ISBLANK(Лист1!V251),"",Лист1!V251)</f>
        <v/>
      </c>
      <c r="W251" s="5" t="str">
        <f>IF(ISBLANK(Лист1!W251),"",Лист1!W251)</f>
        <v/>
      </c>
      <c r="X251" s="5" t="str">
        <f>IF(ISBLANK(Лист1!X251),"",Лист1!X251)</f>
        <v/>
      </c>
      <c r="Y251" s="5" t="str">
        <f>IF(ISERROR(VLOOKUP($X251,Лист2!$A$2:$G$498,1,FALSE)),"",VLOOKUP($X251,Лист2!$A$2:$G$498,1,FALSE))</f>
        <v/>
      </c>
      <c r="Z251" s="5" t="str">
        <f>IF(ISERROR(VLOOKUP($X251,Лист2!$A$2:$G$498,5,FALSE)),"",VLOOKUP($X251,Лист2!$A$2:$G$498,5,FALSE))</f>
        <v/>
      </c>
      <c r="AA251" s="5" t="str">
        <f>IF(ISERROR(VLOOKUP($X251,Лист2!$A$2:$G$498,6,FALSE)),"",VLOOKUP($X251,Лист2!$A$2:$G$498,6,FALSE))</f>
        <v/>
      </c>
      <c r="AB251" s="5" t="str">
        <f>IF(ISERROR(VLOOKUP($X251,Лист2!$A$2:$G$498,7,FALSE)),"",VLOOKUP($X251,Лист2!$A$2:$G$498,7,FALSE))</f>
        <v/>
      </c>
    </row>
    <row r="252" spans="1:28" x14ac:dyDescent="0.25">
      <c r="A252" s="5" t="str">
        <f>IF(ISBLANK(Лист1!A252),"",Лист1!A252)</f>
        <v/>
      </c>
      <c r="B252" s="5" t="str">
        <f>IF(ISBLANK(Лист1!B252),"",Лист1!B252)</f>
        <v/>
      </c>
      <c r="C252" s="5" t="str">
        <f>IF(ISBLANK(Лист1!C252),"",Лист1!C252)</f>
        <v/>
      </c>
      <c r="D252" s="5" t="str">
        <f>IF(ISBLANK(Лист1!D252),"",Лист1!D252)</f>
        <v/>
      </c>
      <c r="E252" s="5" t="str">
        <f>IF(ISBLANK(Лист1!E252),"",Лист1!E252)</f>
        <v/>
      </c>
      <c r="F252" s="5" t="str">
        <f>IF(ISBLANK(Лист1!F252),"",Лист1!F252)</f>
        <v/>
      </c>
      <c r="G252" s="5" t="str">
        <f>IF(ISBLANK(Лист1!G252),"",Лист1!G252)</f>
        <v/>
      </c>
      <c r="H252" s="5" t="str">
        <f>IF(ISBLANK(Лист1!H252),"",Лист1!H252)</f>
        <v/>
      </c>
      <c r="I252" s="5" t="str">
        <f>IF(ISBLANK(Лист1!I252),"",Лист1!I252)</f>
        <v/>
      </c>
      <c r="J252" s="5" t="str">
        <f>IF(ISBLANK(Лист1!J252),"",Лист1!J252)</f>
        <v/>
      </c>
      <c r="K252" s="5" t="str">
        <f>IF(ISBLANK(Лист1!K252),"",Лист1!K252)</f>
        <v/>
      </c>
      <c r="L252" s="5" t="str">
        <f>IF(ISBLANK(Лист1!L252),"",Лист1!L252)</f>
        <v/>
      </c>
      <c r="M252" s="5" t="str">
        <f>IF(ISBLANK(Лист1!M252),"",Лист1!M252)</f>
        <v/>
      </c>
      <c r="N252" s="5" t="str">
        <f>IF(ISBLANK(Лист1!N252),"",Лист1!N252)</f>
        <v/>
      </c>
      <c r="O252" s="5" t="str">
        <f>IF(ISBLANK(Лист1!O252),"",Лист1!O252)</f>
        <v/>
      </c>
      <c r="P252" s="5" t="str">
        <f>IF(ISBLANK(Лист1!P252),"",Лист1!P252)</f>
        <v/>
      </c>
      <c r="Q252" s="5" t="str">
        <f>IF(ISBLANK(Лист1!Q252),"",Лист1!Q252)</f>
        <v/>
      </c>
      <c r="R252" s="5" t="str">
        <f>IF(ISBLANK(Лист1!R252),"",Лист1!R252)</f>
        <v/>
      </c>
      <c r="S252" s="5" t="str">
        <f>IF(ISBLANK(Лист1!S252),"",Лист1!S252)</f>
        <v/>
      </c>
      <c r="T252" s="5" t="str">
        <f>IF(ISBLANK(Лист1!T252),"",Лист1!T252)</f>
        <v/>
      </c>
      <c r="U252" s="5" t="str">
        <f>IF(ISBLANK(Лист1!U252),"",Лист1!U252)</f>
        <v/>
      </c>
      <c r="V252" s="5" t="str">
        <f>IF(ISBLANK(Лист1!V252),"",Лист1!V252)</f>
        <v/>
      </c>
      <c r="W252" s="5" t="str">
        <f>IF(ISBLANK(Лист1!W252),"",Лист1!W252)</f>
        <v/>
      </c>
      <c r="X252" s="5" t="str">
        <f>IF(ISBLANK(Лист1!X252),"",Лист1!X252)</f>
        <v/>
      </c>
      <c r="Y252" s="5" t="str">
        <f>IF(ISERROR(VLOOKUP($X252,Лист2!$A$2:$G$498,1,FALSE)),"",VLOOKUP($X252,Лист2!$A$2:$G$498,1,FALSE))</f>
        <v/>
      </c>
      <c r="Z252" s="5" t="str">
        <f>IF(ISERROR(VLOOKUP($X252,Лист2!$A$2:$G$498,5,FALSE)),"",VLOOKUP($X252,Лист2!$A$2:$G$498,5,FALSE))</f>
        <v/>
      </c>
      <c r="AA252" s="5" t="str">
        <f>IF(ISERROR(VLOOKUP($X252,Лист2!$A$2:$G$498,6,FALSE)),"",VLOOKUP($X252,Лист2!$A$2:$G$498,6,FALSE))</f>
        <v/>
      </c>
      <c r="AB252" s="5" t="str">
        <f>IF(ISERROR(VLOOKUP($X252,Лист2!$A$2:$G$498,7,FALSE)),"",VLOOKUP($X252,Лист2!$A$2:$G$498,7,FALSE))</f>
        <v/>
      </c>
    </row>
    <row r="253" spans="1:28" x14ac:dyDescent="0.25">
      <c r="A253" s="5" t="str">
        <f>IF(ISBLANK(Лист1!A253),"",Лист1!A253)</f>
        <v/>
      </c>
      <c r="B253" s="5" t="str">
        <f>IF(ISBLANK(Лист1!B253),"",Лист1!B253)</f>
        <v/>
      </c>
      <c r="C253" s="5" t="str">
        <f>IF(ISBLANK(Лист1!C253),"",Лист1!C253)</f>
        <v/>
      </c>
      <c r="D253" s="5" t="str">
        <f>IF(ISBLANK(Лист1!D253),"",Лист1!D253)</f>
        <v/>
      </c>
      <c r="E253" s="5" t="str">
        <f>IF(ISBLANK(Лист1!E253),"",Лист1!E253)</f>
        <v/>
      </c>
      <c r="F253" s="5" t="str">
        <f>IF(ISBLANK(Лист1!F253),"",Лист1!F253)</f>
        <v/>
      </c>
      <c r="G253" s="5" t="str">
        <f>IF(ISBLANK(Лист1!G253),"",Лист1!G253)</f>
        <v/>
      </c>
      <c r="H253" s="5" t="str">
        <f>IF(ISBLANK(Лист1!H253),"",Лист1!H253)</f>
        <v/>
      </c>
      <c r="I253" s="5" t="str">
        <f>IF(ISBLANK(Лист1!I253),"",Лист1!I253)</f>
        <v/>
      </c>
      <c r="J253" s="5" t="str">
        <f>IF(ISBLANK(Лист1!J253),"",Лист1!J253)</f>
        <v/>
      </c>
      <c r="K253" s="5" t="str">
        <f>IF(ISBLANK(Лист1!K253),"",Лист1!K253)</f>
        <v/>
      </c>
      <c r="L253" s="5" t="str">
        <f>IF(ISBLANK(Лист1!L253),"",Лист1!L253)</f>
        <v/>
      </c>
      <c r="M253" s="5" t="str">
        <f>IF(ISBLANK(Лист1!M253),"",Лист1!M253)</f>
        <v/>
      </c>
      <c r="N253" s="5" t="str">
        <f>IF(ISBLANK(Лист1!N253),"",Лист1!N253)</f>
        <v/>
      </c>
      <c r="O253" s="5" t="str">
        <f>IF(ISBLANK(Лист1!O253),"",Лист1!O253)</f>
        <v/>
      </c>
      <c r="P253" s="5" t="str">
        <f>IF(ISBLANK(Лист1!P253),"",Лист1!P253)</f>
        <v/>
      </c>
      <c r="Q253" s="5" t="str">
        <f>IF(ISBLANK(Лист1!Q253),"",Лист1!Q253)</f>
        <v/>
      </c>
      <c r="R253" s="5" t="str">
        <f>IF(ISBLANK(Лист1!R253),"",Лист1!R253)</f>
        <v/>
      </c>
      <c r="S253" s="5" t="str">
        <f>IF(ISBLANK(Лист1!S253),"",Лист1!S253)</f>
        <v/>
      </c>
      <c r="T253" s="5" t="str">
        <f>IF(ISBLANK(Лист1!T253),"",Лист1!T253)</f>
        <v/>
      </c>
      <c r="U253" s="5" t="str">
        <f>IF(ISBLANK(Лист1!U253),"",Лист1!U253)</f>
        <v/>
      </c>
      <c r="V253" s="5" t="str">
        <f>IF(ISBLANK(Лист1!V253),"",Лист1!V253)</f>
        <v/>
      </c>
      <c r="W253" s="5" t="str">
        <f>IF(ISBLANK(Лист1!W253),"",Лист1!W253)</f>
        <v/>
      </c>
      <c r="X253" s="5" t="str">
        <f>IF(ISBLANK(Лист1!X253),"",Лист1!X253)</f>
        <v/>
      </c>
      <c r="Y253" s="5" t="str">
        <f>IF(ISERROR(VLOOKUP($X253,Лист2!$A$2:$G$498,1,FALSE)),"",VLOOKUP($X253,Лист2!$A$2:$G$498,1,FALSE))</f>
        <v/>
      </c>
      <c r="Z253" s="5" t="str">
        <f>IF(ISERROR(VLOOKUP($X253,Лист2!$A$2:$G$498,5,FALSE)),"",VLOOKUP($X253,Лист2!$A$2:$G$498,5,FALSE))</f>
        <v/>
      </c>
      <c r="AA253" s="5" t="str">
        <f>IF(ISERROR(VLOOKUP($X253,Лист2!$A$2:$G$498,6,FALSE)),"",VLOOKUP($X253,Лист2!$A$2:$G$498,6,FALSE))</f>
        <v/>
      </c>
      <c r="AB253" s="5" t="str">
        <f>IF(ISERROR(VLOOKUP($X253,Лист2!$A$2:$G$498,7,FALSE)),"",VLOOKUP($X253,Лист2!$A$2:$G$498,7,FALSE))</f>
        <v/>
      </c>
    </row>
    <row r="254" spans="1:28" x14ac:dyDescent="0.25">
      <c r="A254" s="5" t="str">
        <f>IF(ISBLANK(Лист1!A254),"",Лист1!A254)</f>
        <v/>
      </c>
      <c r="B254" s="5" t="str">
        <f>IF(ISBLANK(Лист1!B254),"",Лист1!B254)</f>
        <v/>
      </c>
      <c r="C254" s="5" t="str">
        <f>IF(ISBLANK(Лист1!C254),"",Лист1!C254)</f>
        <v/>
      </c>
      <c r="D254" s="5" t="str">
        <f>IF(ISBLANK(Лист1!D254),"",Лист1!D254)</f>
        <v/>
      </c>
      <c r="E254" s="5" t="str">
        <f>IF(ISBLANK(Лист1!E254),"",Лист1!E254)</f>
        <v/>
      </c>
      <c r="F254" s="5" t="str">
        <f>IF(ISBLANK(Лист1!F254),"",Лист1!F254)</f>
        <v/>
      </c>
      <c r="G254" s="5" t="str">
        <f>IF(ISBLANK(Лист1!G254),"",Лист1!G254)</f>
        <v/>
      </c>
      <c r="H254" s="5" t="str">
        <f>IF(ISBLANK(Лист1!H254),"",Лист1!H254)</f>
        <v/>
      </c>
      <c r="I254" s="5" t="str">
        <f>IF(ISBLANK(Лист1!I254),"",Лист1!I254)</f>
        <v/>
      </c>
      <c r="J254" s="5" t="str">
        <f>IF(ISBLANK(Лист1!J254),"",Лист1!J254)</f>
        <v/>
      </c>
      <c r="K254" s="5" t="str">
        <f>IF(ISBLANK(Лист1!K254),"",Лист1!K254)</f>
        <v/>
      </c>
      <c r="L254" s="5" t="str">
        <f>IF(ISBLANK(Лист1!L254),"",Лист1!L254)</f>
        <v/>
      </c>
      <c r="M254" s="5" t="str">
        <f>IF(ISBLANK(Лист1!M254),"",Лист1!M254)</f>
        <v/>
      </c>
      <c r="N254" s="5" t="str">
        <f>IF(ISBLANK(Лист1!N254),"",Лист1!N254)</f>
        <v/>
      </c>
      <c r="O254" s="5" t="str">
        <f>IF(ISBLANK(Лист1!O254),"",Лист1!O254)</f>
        <v/>
      </c>
      <c r="P254" s="5" t="str">
        <f>IF(ISBLANK(Лист1!P254),"",Лист1!P254)</f>
        <v/>
      </c>
      <c r="Q254" s="5" t="str">
        <f>IF(ISBLANK(Лист1!Q254),"",Лист1!Q254)</f>
        <v/>
      </c>
      <c r="R254" s="5" t="str">
        <f>IF(ISBLANK(Лист1!R254),"",Лист1!R254)</f>
        <v/>
      </c>
      <c r="S254" s="5" t="str">
        <f>IF(ISBLANK(Лист1!S254),"",Лист1!S254)</f>
        <v/>
      </c>
      <c r="T254" s="5" t="str">
        <f>IF(ISBLANK(Лист1!T254),"",Лист1!T254)</f>
        <v/>
      </c>
      <c r="U254" s="5" t="str">
        <f>IF(ISBLANK(Лист1!U254),"",Лист1!U254)</f>
        <v/>
      </c>
      <c r="V254" s="5" t="str">
        <f>IF(ISBLANK(Лист1!V254),"",Лист1!V254)</f>
        <v/>
      </c>
      <c r="W254" s="5" t="str">
        <f>IF(ISBLANK(Лист1!W254),"",Лист1!W254)</f>
        <v/>
      </c>
      <c r="X254" s="5" t="str">
        <f>IF(ISBLANK(Лист1!X254),"",Лист1!X254)</f>
        <v/>
      </c>
      <c r="Y254" s="5" t="str">
        <f>IF(ISERROR(VLOOKUP($X254,Лист2!$A$2:$G$498,1,FALSE)),"",VLOOKUP($X254,Лист2!$A$2:$G$498,1,FALSE))</f>
        <v/>
      </c>
      <c r="Z254" s="5" t="str">
        <f>IF(ISERROR(VLOOKUP($X254,Лист2!$A$2:$G$498,5,FALSE)),"",VLOOKUP($X254,Лист2!$A$2:$G$498,5,FALSE))</f>
        <v/>
      </c>
      <c r="AA254" s="5" t="str">
        <f>IF(ISERROR(VLOOKUP($X254,Лист2!$A$2:$G$498,6,FALSE)),"",VLOOKUP($X254,Лист2!$A$2:$G$498,6,FALSE))</f>
        <v/>
      </c>
      <c r="AB254" s="5" t="str">
        <f>IF(ISERROR(VLOOKUP($X254,Лист2!$A$2:$G$498,7,FALSE)),"",VLOOKUP($X254,Лист2!$A$2:$G$498,7,FALSE))</f>
        <v/>
      </c>
    </row>
    <row r="255" spans="1:28" x14ac:dyDescent="0.25">
      <c r="A255" s="5" t="str">
        <f>IF(ISBLANK(Лист1!A255),"",Лист1!A255)</f>
        <v/>
      </c>
      <c r="B255" s="5" t="str">
        <f>IF(ISBLANK(Лист1!B255),"",Лист1!B255)</f>
        <v/>
      </c>
      <c r="C255" s="5" t="str">
        <f>IF(ISBLANK(Лист1!C255),"",Лист1!C255)</f>
        <v/>
      </c>
      <c r="D255" s="5" t="str">
        <f>IF(ISBLANK(Лист1!D255),"",Лист1!D255)</f>
        <v/>
      </c>
      <c r="E255" s="5" t="str">
        <f>IF(ISBLANK(Лист1!E255),"",Лист1!E255)</f>
        <v/>
      </c>
      <c r="F255" s="5" t="str">
        <f>IF(ISBLANK(Лист1!F255),"",Лист1!F255)</f>
        <v/>
      </c>
      <c r="G255" s="5" t="str">
        <f>IF(ISBLANK(Лист1!G255),"",Лист1!G255)</f>
        <v/>
      </c>
      <c r="H255" s="5" t="str">
        <f>IF(ISBLANK(Лист1!H255),"",Лист1!H255)</f>
        <v/>
      </c>
      <c r="I255" s="5" t="str">
        <f>IF(ISBLANK(Лист1!I255),"",Лист1!I255)</f>
        <v/>
      </c>
      <c r="J255" s="5" t="str">
        <f>IF(ISBLANK(Лист1!J255),"",Лист1!J255)</f>
        <v/>
      </c>
      <c r="K255" s="5" t="str">
        <f>IF(ISBLANK(Лист1!K255),"",Лист1!K255)</f>
        <v/>
      </c>
      <c r="L255" s="5" t="str">
        <f>IF(ISBLANK(Лист1!L255),"",Лист1!L255)</f>
        <v/>
      </c>
      <c r="M255" s="5" t="str">
        <f>IF(ISBLANK(Лист1!M255),"",Лист1!M255)</f>
        <v/>
      </c>
      <c r="N255" s="5" t="str">
        <f>IF(ISBLANK(Лист1!N255),"",Лист1!N255)</f>
        <v/>
      </c>
      <c r="O255" s="5" t="str">
        <f>IF(ISBLANK(Лист1!O255),"",Лист1!O255)</f>
        <v/>
      </c>
      <c r="P255" s="5" t="str">
        <f>IF(ISBLANK(Лист1!P255),"",Лист1!P255)</f>
        <v/>
      </c>
      <c r="Q255" s="5" t="str">
        <f>IF(ISBLANK(Лист1!Q255),"",Лист1!Q255)</f>
        <v/>
      </c>
      <c r="R255" s="5" t="str">
        <f>IF(ISBLANK(Лист1!R255),"",Лист1!R255)</f>
        <v/>
      </c>
      <c r="S255" s="5" t="str">
        <f>IF(ISBLANK(Лист1!S255),"",Лист1!S255)</f>
        <v/>
      </c>
      <c r="T255" s="5" t="str">
        <f>IF(ISBLANK(Лист1!T255),"",Лист1!T255)</f>
        <v/>
      </c>
      <c r="U255" s="5" t="str">
        <f>IF(ISBLANK(Лист1!U255),"",Лист1!U255)</f>
        <v/>
      </c>
      <c r="V255" s="5" t="str">
        <f>IF(ISBLANK(Лист1!V255),"",Лист1!V255)</f>
        <v/>
      </c>
      <c r="W255" s="5" t="str">
        <f>IF(ISBLANK(Лист1!W255),"",Лист1!W255)</f>
        <v/>
      </c>
      <c r="X255" s="5" t="str">
        <f>IF(ISBLANK(Лист1!X255),"",Лист1!X255)</f>
        <v/>
      </c>
      <c r="Y255" s="5" t="str">
        <f>IF(ISERROR(VLOOKUP($X255,Лист2!$A$2:$G$498,1,FALSE)),"",VLOOKUP($X255,Лист2!$A$2:$G$498,1,FALSE))</f>
        <v/>
      </c>
      <c r="Z255" s="5" t="str">
        <f>IF(ISERROR(VLOOKUP($X255,Лист2!$A$2:$G$498,5,FALSE)),"",VLOOKUP($X255,Лист2!$A$2:$G$498,5,FALSE))</f>
        <v/>
      </c>
      <c r="AA255" s="5" t="str">
        <f>IF(ISERROR(VLOOKUP($X255,Лист2!$A$2:$G$498,6,FALSE)),"",VLOOKUP($X255,Лист2!$A$2:$G$498,6,FALSE))</f>
        <v/>
      </c>
      <c r="AB255" s="5" t="str">
        <f>IF(ISERROR(VLOOKUP($X255,Лист2!$A$2:$G$498,7,FALSE)),"",VLOOKUP($X255,Лист2!$A$2:$G$498,7,FALSE))</f>
        <v/>
      </c>
    </row>
    <row r="256" spans="1:28" x14ac:dyDescent="0.25">
      <c r="A256" s="5" t="str">
        <f>IF(ISBLANK(Лист1!A256),"",Лист1!A256)</f>
        <v/>
      </c>
      <c r="B256" s="5" t="str">
        <f>IF(ISBLANK(Лист1!B256),"",Лист1!B256)</f>
        <v/>
      </c>
      <c r="C256" s="5" t="str">
        <f>IF(ISBLANK(Лист1!C256),"",Лист1!C256)</f>
        <v/>
      </c>
      <c r="D256" s="5" t="str">
        <f>IF(ISBLANK(Лист1!D256),"",Лист1!D256)</f>
        <v/>
      </c>
      <c r="E256" s="5" t="str">
        <f>IF(ISBLANK(Лист1!E256),"",Лист1!E256)</f>
        <v/>
      </c>
      <c r="F256" s="5" t="str">
        <f>IF(ISBLANK(Лист1!F256),"",Лист1!F256)</f>
        <v/>
      </c>
      <c r="G256" s="5" t="str">
        <f>IF(ISBLANK(Лист1!G256),"",Лист1!G256)</f>
        <v/>
      </c>
      <c r="H256" s="5" t="str">
        <f>IF(ISBLANK(Лист1!H256),"",Лист1!H256)</f>
        <v/>
      </c>
      <c r="I256" s="5" t="str">
        <f>IF(ISBLANK(Лист1!I256),"",Лист1!I256)</f>
        <v/>
      </c>
      <c r="J256" s="5" t="str">
        <f>IF(ISBLANK(Лист1!J256),"",Лист1!J256)</f>
        <v/>
      </c>
      <c r="K256" s="5" t="str">
        <f>IF(ISBLANK(Лист1!K256),"",Лист1!K256)</f>
        <v/>
      </c>
      <c r="L256" s="5" t="str">
        <f>IF(ISBLANK(Лист1!L256),"",Лист1!L256)</f>
        <v/>
      </c>
      <c r="M256" s="5" t="str">
        <f>IF(ISBLANK(Лист1!M256),"",Лист1!M256)</f>
        <v/>
      </c>
      <c r="N256" s="5" t="str">
        <f>IF(ISBLANK(Лист1!N256),"",Лист1!N256)</f>
        <v/>
      </c>
      <c r="O256" s="5" t="str">
        <f>IF(ISBLANK(Лист1!O256),"",Лист1!O256)</f>
        <v/>
      </c>
      <c r="P256" s="5" t="str">
        <f>IF(ISBLANK(Лист1!P256),"",Лист1!P256)</f>
        <v/>
      </c>
      <c r="Q256" s="5" t="str">
        <f>IF(ISBLANK(Лист1!Q256),"",Лист1!Q256)</f>
        <v/>
      </c>
      <c r="R256" s="5" t="str">
        <f>IF(ISBLANK(Лист1!R256),"",Лист1!R256)</f>
        <v/>
      </c>
      <c r="S256" s="5" t="str">
        <f>IF(ISBLANK(Лист1!S256),"",Лист1!S256)</f>
        <v/>
      </c>
      <c r="T256" s="5" t="str">
        <f>IF(ISBLANK(Лист1!T256),"",Лист1!T256)</f>
        <v/>
      </c>
      <c r="U256" s="5" t="str">
        <f>IF(ISBLANK(Лист1!U256),"",Лист1!U256)</f>
        <v/>
      </c>
      <c r="V256" s="5" t="str">
        <f>IF(ISBLANK(Лист1!V256),"",Лист1!V256)</f>
        <v/>
      </c>
      <c r="W256" s="5" t="str">
        <f>IF(ISBLANK(Лист1!W256),"",Лист1!W256)</f>
        <v/>
      </c>
      <c r="X256" s="5" t="str">
        <f>IF(ISBLANK(Лист1!X256),"",Лист1!X256)</f>
        <v/>
      </c>
      <c r="Y256" s="5" t="str">
        <f>IF(ISERROR(VLOOKUP($X256,Лист2!$A$2:$G$498,1,FALSE)),"",VLOOKUP($X256,Лист2!$A$2:$G$498,1,FALSE))</f>
        <v/>
      </c>
      <c r="Z256" s="5" t="str">
        <f>IF(ISERROR(VLOOKUP($X256,Лист2!$A$2:$G$498,5,FALSE)),"",VLOOKUP($X256,Лист2!$A$2:$G$498,5,FALSE))</f>
        <v/>
      </c>
      <c r="AA256" s="5" t="str">
        <f>IF(ISERROR(VLOOKUP($X256,Лист2!$A$2:$G$498,6,FALSE)),"",VLOOKUP($X256,Лист2!$A$2:$G$498,6,FALSE))</f>
        <v/>
      </c>
      <c r="AB256" s="5" t="str">
        <f>IF(ISERROR(VLOOKUP($X256,Лист2!$A$2:$G$498,7,FALSE)),"",VLOOKUP($X256,Лист2!$A$2:$G$498,7,FALSE))</f>
        <v/>
      </c>
    </row>
    <row r="257" spans="1:28" x14ac:dyDescent="0.25">
      <c r="A257" s="5" t="str">
        <f>IF(ISBLANK(Лист1!A257),"",Лист1!A257)</f>
        <v/>
      </c>
      <c r="B257" s="5" t="str">
        <f>IF(ISBLANK(Лист1!B257),"",Лист1!B257)</f>
        <v/>
      </c>
      <c r="C257" s="5" t="str">
        <f>IF(ISBLANK(Лист1!C257),"",Лист1!C257)</f>
        <v/>
      </c>
      <c r="D257" s="5" t="str">
        <f>IF(ISBLANK(Лист1!D257),"",Лист1!D257)</f>
        <v/>
      </c>
      <c r="E257" s="5" t="str">
        <f>IF(ISBLANK(Лист1!E257),"",Лист1!E257)</f>
        <v/>
      </c>
      <c r="F257" s="5" t="str">
        <f>IF(ISBLANK(Лист1!F257),"",Лист1!F257)</f>
        <v/>
      </c>
      <c r="G257" s="5" t="str">
        <f>IF(ISBLANK(Лист1!G257),"",Лист1!G257)</f>
        <v/>
      </c>
      <c r="H257" s="5" t="str">
        <f>IF(ISBLANK(Лист1!H257),"",Лист1!H257)</f>
        <v/>
      </c>
      <c r="I257" s="5" t="str">
        <f>IF(ISBLANK(Лист1!I257),"",Лист1!I257)</f>
        <v/>
      </c>
      <c r="J257" s="5" t="str">
        <f>IF(ISBLANK(Лист1!J257),"",Лист1!J257)</f>
        <v/>
      </c>
      <c r="K257" s="5" t="str">
        <f>IF(ISBLANK(Лист1!K257),"",Лист1!K257)</f>
        <v/>
      </c>
      <c r="L257" s="5" t="str">
        <f>IF(ISBLANK(Лист1!L257),"",Лист1!L257)</f>
        <v/>
      </c>
      <c r="M257" s="5" t="str">
        <f>IF(ISBLANK(Лист1!M257),"",Лист1!M257)</f>
        <v/>
      </c>
      <c r="N257" s="5" t="str">
        <f>IF(ISBLANK(Лист1!N257),"",Лист1!N257)</f>
        <v/>
      </c>
      <c r="O257" s="5" t="str">
        <f>IF(ISBLANK(Лист1!O257),"",Лист1!O257)</f>
        <v/>
      </c>
      <c r="P257" s="5" t="str">
        <f>IF(ISBLANK(Лист1!P257),"",Лист1!P257)</f>
        <v/>
      </c>
      <c r="Q257" s="5" t="str">
        <f>IF(ISBLANK(Лист1!Q257),"",Лист1!Q257)</f>
        <v/>
      </c>
      <c r="R257" s="5" t="str">
        <f>IF(ISBLANK(Лист1!R257),"",Лист1!R257)</f>
        <v/>
      </c>
      <c r="S257" s="5" t="str">
        <f>IF(ISBLANK(Лист1!S257),"",Лист1!S257)</f>
        <v/>
      </c>
      <c r="T257" s="5" t="str">
        <f>IF(ISBLANK(Лист1!T257),"",Лист1!T257)</f>
        <v/>
      </c>
      <c r="U257" s="5" t="str">
        <f>IF(ISBLANK(Лист1!U257),"",Лист1!U257)</f>
        <v/>
      </c>
      <c r="V257" s="5" t="str">
        <f>IF(ISBLANK(Лист1!V257),"",Лист1!V257)</f>
        <v/>
      </c>
      <c r="W257" s="5" t="str">
        <f>IF(ISBLANK(Лист1!W257),"",Лист1!W257)</f>
        <v/>
      </c>
      <c r="X257" s="5" t="str">
        <f>IF(ISBLANK(Лист1!X257),"",Лист1!X257)</f>
        <v/>
      </c>
      <c r="Y257" s="5" t="str">
        <f>IF(ISERROR(VLOOKUP($X257,Лист2!$A$2:$G$498,1,FALSE)),"",VLOOKUP($X257,Лист2!$A$2:$G$498,1,FALSE))</f>
        <v/>
      </c>
      <c r="Z257" s="5" t="str">
        <f>IF(ISERROR(VLOOKUP($X257,Лист2!$A$2:$G$498,5,FALSE)),"",VLOOKUP($X257,Лист2!$A$2:$G$498,5,FALSE))</f>
        <v/>
      </c>
      <c r="AA257" s="5" t="str">
        <f>IF(ISERROR(VLOOKUP($X257,Лист2!$A$2:$G$498,6,FALSE)),"",VLOOKUP($X257,Лист2!$A$2:$G$498,6,FALSE))</f>
        <v/>
      </c>
      <c r="AB257" s="5" t="str">
        <f>IF(ISERROR(VLOOKUP($X257,Лист2!$A$2:$G$498,7,FALSE)),"",VLOOKUP($X257,Лист2!$A$2:$G$498,7,FALSE))</f>
        <v/>
      </c>
    </row>
    <row r="258" spans="1:28" x14ac:dyDescent="0.25">
      <c r="A258" s="5" t="str">
        <f>IF(ISBLANK(Лист1!A258),"",Лист1!A258)</f>
        <v/>
      </c>
      <c r="B258" s="5" t="str">
        <f>IF(ISBLANK(Лист1!B258),"",Лист1!B258)</f>
        <v/>
      </c>
      <c r="C258" s="5" t="str">
        <f>IF(ISBLANK(Лист1!C258),"",Лист1!C258)</f>
        <v/>
      </c>
      <c r="D258" s="5" t="str">
        <f>IF(ISBLANK(Лист1!D258),"",Лист1!D258)</f>
        <v/>
      </c>
      <c r="E258" s="5" t="str">
        <f>IF(ISBLANK(Лист1!E258),"",Лист1!E258)</f>
        <v/>
      </c>
      <c r="F258" s="5" t="str">
        <f>IF(ISBLANK(Лист1!F258),"",Лист1!F258)</f>
        <v/>
      </c>
      <c r="G258" s="5" t="str">
        <f>IF(ISBLANK(Лист1!G258),"",Лист1!G258)</f>
        <v/>
      </c>
      <c r="H258" s="5" t="str">
        <f>IF(ISBLANK(Лист1!H258),"",Лист1!H258)</f>
        <v/>
      </c>
      <c r="I258" s="5" t="str">
        <f>IF(ISBLANK(Лист1!I258),"",Лист1!I258)</f>
        <v/>
      </c>
      <c r="J258" s="5" t="str">
        <f>IF(ISBLANK(Лист1!J258),"",Лист1!J258)</f>
        <v/>
      </c>
      <c r="K258" s="5" t="str">
        <f>IF(ISBLANK(Лист1!K258),"",Лист1!K258)</f>
        <v/>
      </c>
      <c r="L258" s="5" t="str">
        <f>IF(ISBLANK(Лист1!L258),"",Лист1!L258)</f>
        <v/>
      </c>
      <c r="M258" s="5" t="str">
        <f>IF(ISBLANK(Лист1!M258),"",Лист1!M258)</f>
        <v/>
      </c>
      <c r="N258" s="5" t="str">
        <f>IF(ISBLANK(Лист1!N258),"",Лист1!N258)</f>
        <v/>
      </c>
      <c r="O258" s="5" t="str">
        <f>IF(ISBLANK(Лист1!O258),"",Лист1!O258)</f>
        <v/>
      </c>
      <c r="P258" s="5" t="str">
        <f>IF(ISBLANK(Лист1!P258),"",Лист1!P258)</f>
        <v/>
      </c>
      <c r="Q258" s="5" t="str">
        <f>IF(ISBLANK(Лист1!Q258),"",Лист1!Q258)</f>
        <v/>
      </c>
      <c r="R258" s="5" t="str">
        <f>IF(ISBLANK(Лист1!R258),"",Лист1!R258)</f>
        <v/>
      </c>
      <c r="S258" s="5" t="str">
        <f>IF(ISBLANK(Лист1!S258),"",Лист1!S258)</f>
        <v/>
      </c>
      <c r="T258" s="5" t="str">
        <f>IF(ISBLANK(Лист1!T258),"",Лист1!T258)</f>
        <v/>
      </c>
      <c r="U258" s="5" t="str">
        <f>IF(ISBLANK(Лист1!U258),"",Лист1!U258)</f>
        <v/>
      </c>
      <c r="V258" s="5" t="str">
        <f>IF(ISBLANK(Лист1!V258),"",Лист1!V258)</f>
        <v/>
      </c>
      <c r="W258" s="5" t="str">
        <f>IF(ISBLANK(Лист1!W258),"",Лист1!W258)</f>
        <v/>
      </c>
      <c r="X258" s="5" t="str">
        <f>IF(ISBLANK(Лист1!X258),"",Лист1!X258)</f>
        <v/>
      </c>
      <c r="Y258" s="5" t="str">
        <f>IF(ISERROR(VLOOKUP($X258,Лист2!$A$2:$G$498,1,FALSE)),"",VLOOKUP($X258,Лист2!$A$2:$G$498,1,FALSE))</f>
        <v/>
      </c>
      <c r="Z258" s="5" t="str">
        <f>IF(ISERROR(VLOOKUP($X258,Лист2!$A$2:$G$498,5,FALSE)),"",VLOOKUP($X258,Лист2!$A$2:$G$498,5,FALSE))</f>
        <v/>
      </c>
      <c r="AA258" s="5" t="str">
        <f>IF(ISERROR(VLOOKUP($X258,Лист2!$A$2:$G$498,6,FALSE)),"",VLOOKUP($X258,Лист2!$A$2:$G$498,6,FALSE))</f>
        <v/>
      </c>
      <c r="AB258" s="5" t="str">
        <f>IF(ISERROR(VLOOKUP($X258,Лист2!$A$2:$G$498,7,FALSE)),"",VLOOKUP($X258,Лист2!$A$2:$G$498,7,FALSE))</f>
        <v/>
      </c>
    </row>
    <row r="259" spans="1:28" x14ac:dyDescent="0.25">
      <c r="A259" s="5" t="str">
        <f>IF(ISBLANK(Лист1!A259),"",Лист1!A259)</f>
        <v/>
      </c>
      <c r="B259" s="5" t="str">
        <f>IF(ISBLANK(Лист1!B259),"",Лист1!B259)</f>
        <v/>
      </c>
      <c r="C259" s="5" t="str">
        <f>IF(ISBLANK(Лист1!C259),"",Лист1!C259)</f>
        <v/>
      </c>
      <c r="D259" s="5" t="str">
        <f>IF(ISBLANK(Лист1!D259),"",Лист1!D259)</f>
        <v/>
      </c>
      <c r="E259" s="5" t="str">
        <f>IF(ISBLANK(Лист1!E259),"",Лист1!E259)</f>
        <v/>
      </c>
      <c r="F259" s="5" t="str">
        <f>IF(ISBLANK(Лист1!F259),"",Лист1!F259)</f>
        <v/>
      </c>
      <c r="G259" s="5" t="str">
        <f>IF(ISBLANK(Лист1!G259),"",Лист1!G259)</f>
        <v/>
      </c>
      <c r="H259" s="5" t="str">
        <f>IF(ISBLANK(Лист1!H259),"",Лист1!H259)</f>
        <v/>
      </c>
      <c r="I259" s="5" t="str">
        <f>IF(ISBLANK(Лист1!I259),"",Лист1!I259)</f>
        <v/>
      </c>
      <c r="J259" s="5" t="str">
        <f>IF(ISBLANK(Лист1!J259),"",Лист1!J259)</f>
        <v/>
      </c>
      <c r="K259" s="5" t="str">
        <f>IF(ISBLANK(Лист1!K259),"",Лист1!K259)</f>
        <v/>
      </c>
      <c r="L259" s="5" t="str">
        <f>IF(ISBLANK(Лист1!L259),"",Лист1!L259)</f>
        <v/>
      </c>
      <c r="M259" s="5" t="str">
        <f>IF(ISBLANK(Лист1!M259),"",Лист1!M259)</f>
        <v/>
      </c>
      <c r="N259" s="5" t="str">
        <f>IF(ISBLANK(Лист1!N259),"",Лист1!N259)</f>
        <v/>
      </c>
      <c r="O259" s="5" t="str">
        <f>IF(ISBLANK(Лист1!O259),"",Лист1!O259)</f>
        <v/>
      </c>
      <c r="P259" s="5" t="str">
        <f>IF(ISBLANK(Лист1!P259),"",Лист1!P259)</f>
        <v/>
      </c>
      <c r="Q259" s="5" t="str">
        <f>IF(ISBLANK(Лист1!Q259),"",Лист1!Q259)</f>
        <v/>
      </c>
      <c r="R259" s="5" t="str">
        <f>IF(ISBLANK(Лист1!R259),"",Лист1!R259)</f>
        <v/>
      </c>
      <c r="S259" s="5" t="str">
        <f>IF(ISBLANK(Лист1!S259),"",Лист1!S259)</f>
        <v/>
      </c>
      <c r="T259" s="5" t="str">
        <f>IF(ISBLANK(Лист1!T259),"",Лист1!T259)</f>
        <v/>
      </c>
      <c r="U259" s="5" t="str">
        <f>IF(ISBLANK(Лист1!U259),"",Лист1!U259)</f>
        <v/>
      </c>
      <c r="V259" s="5" t="str">
        <f>IF(ISBLANK(Лист1!V259),"",Лист1!V259)</f>
        <v/>
      </c>
      <c r="W259" s="5" t="str">
        <f>IF(ISBLANK(Лист1!W259),"",Лист1!W259)</f>
        <v/>
      </c>
      <c r="X259" s="5" t="str">
        <f>IF(ISBLANK(Лист1!X259),"",Лист1!X259)</f>
        <v/>
      </c>
      <c r="Y259" s="5" t="str">
        <f>IF(ISERROR(VLOOKUP($X259,Лист2!$A$2:$G$498,1,FALSE)),"",VLOOKUP($X259,Лист2!$A$2:$G$498,1,FALSE))</f>
        <v/>
      </c>
      <c r="Z259" s="5" t="str">
        <f>IF(ISERROR(VLOOKUP($X259,Лист2!$A$2:$G$498,5,FALSE)),"",VLOOKUP($X259,Лист2!$A$2:$G$498,5,FALSE))</f>
        <v/>
      </c>
      <c r="AA259" s="5" t="str">
        <f>IF(ISERROR(VLOOKUP($X259,Лист2!$A$2:$G$498,6,FALSE)),"",VLOOKUP($X259,Лист2!$A$2:$G$498,6,FALSE))</f>
        <v/>
      </c>
      <c r="AB259" s="5" t="str">
        <f>IF(ISERROR(VLOOKUP($X259,Лист2!$A$2:$G$498,7,FALSE)),"",VLOOKUP($X259,Лист2!$A$2:$G$498,7,FALSE))</f>
        <v/>
      </c>
    </row>
    <row r="260" spans="1:28" x14ac:dyDescent="0.25">
      <c r="A260" s="5" t="str">
        <f>IF(ISBLANK(Лист1!A260),"",Лист1!A260)</f>
        <v/>
      </c>
      <c r="B260" s="5" t="str">
        <f>IF(ISBLANK(Лист1!B260),"",Лист1!B260)</f>
        <v/>
      </c>
      <c r="C260" s="5" t="str">
        <f>IF(ISBLANK(Лист1!C260),"",Лист1!C260)</f>
        <v/>
      </c>
      <c r="D260" s="5" t="str">
        <f>IF(ISBLANK(Лист1!D260),"",Лист1!D260)</f>
        <v/>
      </c>
      <c r="E260" s="5" t="str">
        <f>IF(ISBLANK(Лист1!E260),"",Лист1!E260)</f>
        <v/>
      </c>
      <c r="F260" s="5" t="str">
        <f>IF(ISBLANK(Лист1!F260),"",Лист1!F260)</f>
        <v/>
      </c>
      <c r="G260" s="5" t="str">
        <f>IF(ISBLANK(Лист1!G260),"",Лист1!G260)</f>
        <v/>
      </c>
      <c r="H260" s="5" t="str">
        <f>IF(ISBLANK(Лист1!H260),"",Лист1!H260)</f>
        <v/>
      </c>
      <c r="I260" s="5" t="str">
        <f>IF(ISBLANK(Лист1!I260),"",Лист1!I260)</f>
        <v/>
      </c>
      <c r="J260" s="5" t="str">
        <f>IF(ISBLANK(Лист1!J260),"",Лист1!J260)</f>
        <v/>
      </c>
      <c r="K260" s="5" t="str">
        <f>IF(ISBLANK(Лист1!K260),"",Лист1!K260)</f>
        <v/>
      </c>
      <c r="L260" s="5" t="str">
        <f>IF(ISBLANK(Лист1!L260),"",Лист1!L260)</f>
        <v/>
      </c>
      <c r="M260" s="5" t="str">
        <f>IF(ISBLANK(Лист1!M260),"",Лист1!M260)</f>
        <v/>
      </c>
      <c r="N260" s="5" t="str">
        <f>IF(ISBLANK(Лист1!N260),"",Лист1!N260)</f>
        <v/>
      </c>
      <c r="O260" s="5" t="str">
        <f>IF(ISBLANK(Лист1!O260),"",Лист1!O260)</f>
        <v/>
      </c>
      <c r="P260" s="5" t="str">
        <f>IF(ISBLANK(Лист1!P260),"",Лист1!P260)</f>
        <v/>
      </c>
      <c r="Q260" s="5" t="str">
        <f>IF(ISBLANK(Лист1!Q260),"",Лист1!Q260)</f>
        <v/>
      </c>
      <c r="R260" s="5" t="str">
        <f>IF(ISBLANK(Лист1!R260),"",Лист1!R260)</f>
        <v/>
      </c>
      <c r="S260" s="5" t="str">
        <f>IF(ISBLANK(Лист1!S260),"",Лист1!S260)</f>
        <v/>
      </c>
      <c r="T260" s="5" t="str">
        <f>IF(ISBLANK(Лист1!T260),"",Лист1!T260)</f>
        <v/>
      </c>
      <c r="U260" s="5" t="str">
        <f>IF(ISBLANK(Лист1!U260),"",Лист1!U260)</f>
        <v/>
      </c>
      <c r="V260" s="5" t="str">
        <f>IF(ISBLANK(Лист1!V260),"",Лист1!V260)</f>
        <v/>
      </c>
      <c r="W260" s="5" t="str">
        <f>IF(ISBLANK(Лист1!W260),"",Лист1!W260)</f>
        <v/>
      </c>
      <c r="X260" s="5" t="str">
        <f>IF(ISBLANK(Лист1!X260),"",Лист1!X260)</f>
        <v/>
      </c>
      <c r="Y260" s="5" t="str">
        <f>IF(ISERROR(VLOOKUP($X260,Лист2!$A$2:$G$498,1,FALSE)),"",VLOOKUP($X260,Лист2!$A$2:$G$498,1,FALSE))</f>
        <v/>
      </c>
      <c r="Z260" s="5" t="str">
        <f>IF(ISERROR(VLOOKUP($X260,Лист2!$A$2:$G$498,5,FALSE)),"",VLOOKUP($X260,Лист2!$A$2:$G$498,5,FALSE))</f>
        <v/>
      </c>
      <c r="AA260" s="5" t="str">
        <f>IF(ISERROR(VLOOKUP($X260,Лист2!$A$2:$G$498,6,FALSE)),"",VLOOKUP($X260,Лист2!$A$2:$G$498,6,FALSE))</f>
        <v/>
      </c>
      <c r="AB260" s="5" t="str">
        <f>IF(ISERROR(VLOOKUP($X260,Лист2!$A$2:$G$498,7,FALSE)),"",VLOOKUP($X260,Лист2!$A$2:$G$498,7,FALSE))</f>
        <v/>
      </c>
    </row>
    <row r="261" spans="1:28" x14ac:dyDescent="0.25">
      <c r="A261" s="5" t="str">
        <f>IF(ISBLANK(Лист1!A261),"",Лист1!A261)</f>
        <v/>
      </c>
      <c r="B261" s="5" t="str">
        <f>IF(ISBLANK(Лист1!B261),"",Лист1!B261)</f>
        <v/>
      </c>
      <c r="C261" s="5" t="str">
        <f>IF(ISBLANK(Лист1!C261),"",Лист1!C261)</f>
        <v/>
      </c>
      <c r="D261" s="5" t="str">
        <f>IF(ISBLANK(Лист1!D261),"",Лист1!D261)</f>
        <v/>
      </c>
      <c r="E261" s="5" t="str">
        <f>IF(ISBLANK(Лист1!E261),"",Лист1!E261)</f>
        <v/>
      </c>
      <c r="F261" s="5" t="str">
        <f>IF(ISBLANK(Лист1!F261),"",Лист1!F261)</f>
        <v/>
      </c>
      <c r="G261" s="5" t="str">
        <f>IF(ISBLANK(Лист1!G261),"",Лист1!G261)</f>
        <v/>
      </c>
      <c r="H261" s="5" t="str">
        <f>IF(ISBLANK(Лист1!H261),"",Лист1!H261)</f>
        <v/>
      </c>
      <c r="I261" s="5" t="str">
        <f>IF(ISBLANK(Лист1!I261),"",Лист1!I261)</f>
        <v/>
      </c>
      <c r="J261" s="5" t="str">
        <f>IF(ISBLANK(Лист1!J261),"",Лист1!J261)</f>
        <v/>
      </c>
      <c r="K261" s="5" t="str">
        <f>IF(ISBLANK(Лист1!K261),"",Лист1!K261)</f>
        <v/>
      </c>
      <c r="L261" s="5" t="str">
        <f>IF(ISBLANK(Лист1!L261),"",Лист1!L261)</f>
        <v/>
      </c>
      <c r="M261" s="5" t="str">
        <f>IF(ISBLANK(Лист1!M261),"",Лист1!M261)</f>
        <v/>
      </c>
      <c r="N261" s="5" t="str">
        <f>IF(ISBLANK(Лист1!N261),"",Лист1!N261)</f>
        <v/>
      </c>
      <c r="O261" s="5" t="str">
        <f>IF(ISBLANK(Лист1!O261),"",Лист1!O261)</f>
        <v/>
      </c>
      <c r="P261" s="5" t="str">
        <f>IF(ISBLANK(Лист1!P261),"",Лист1!P261)</f>
        <v/>
      </c>
      <c r="Q261" s="5" t="str">
        <f>IF(ISBLANK(Лист1!Q261),"",Лист1!Q261)</f>
        <v/>
      </c>
      <c r="R261" s="5" t="str">
        <f>IF(ISBLANK(Лист1!R261),"",Лист1!R261)</f>
        <v/>
      </c>
      <c r="S261" s="5" t="str">
        <f>IF(ISBLANK(Лист1!S261),"",Лист1!S261)</f>
        <v/>
      </c>
      <c r="T261" s="5" t="str">
        <f>IF(ISBLANK(Лист1!T261),"",Лист1!T261)</f>
        <v/>
      </c>
      <c r="U261" s="5" t="str">
        <f>IF(ISBLANK(Лист1!U261),"",Лист1!U261)</f>
        <v/>
      </c>
      <c r="V261" s="5" t="str">
        <f>IF(ISBLANK(Лист1!V261),"",Лист1!V261)</f>
        <v/>
      </c>
      <c r="W261" s="5" t="str">
        <f>IF(ISBLANK(Лист1!W261),"",Лист1!W261)</f>
        <v/>
      </c>
      <c r="X261" s="5" t="str">
        <f>IF(ISBLANK(Лист1!X261),"",Лист1!X261)</f>
        <v/>
      </c>
      <c r="Y261" s="5" t="str">
        <f>IF(ISERROR(VLOOKUP($X261,Лист2!$A$2:$G$498,1,FALSE)),"",VLOOKUP($X261,Лист2!$A$2:$G$498,1,FALSE))</f>
        <v/>
      </c>
      <c r="Z261" s="5" t="str">
        <f>IF(ISERROR(VLOOKUP($X261,Лист2!$A$2:$G$498,5,FALSE)),"",VLOOKUP($X261,Лист2!$A$2:$G$498,5,FALSE))</f>
        <v/>
      </c>
      <c r="AA261" s="5" t="str">
        <f>IF(ISERROR(VLOOKUP($X261,Лист2!$A$2:$G$498,6,FALSE)),"",VLOOKUP($X261,Лист2!$A$2:$G$498,6,FALSE))</f>
        <v/>
      </c>
      <c r="AB261" s="5" t="str">
        <f>IF(ISERROR(VLOOKUP($X261,Лист2!$A$2:$G$498,7,FALSE)),"",VLOOKUP($X261,Лист2!$A$2:$G$498,7,FALSE))</f>
        <v/>
      </c>
    </row>
    <row r="262" spans="1:28" x14ac:dyDescent="0.25">
      <c r="A262" s="5" t="str">
        <f>IF(ISBLANK(Лист1!A262),"",Лист1!A262)</f>
        <v/>
      </c>
      <c r="B262" s="5" t="str">
        <f>IF(ISBLANK(Лист1!B262),"",Лист1!B262)</f>
        <v/>
      </c>
      <c r="C262" s="5" t="str">
        <f>IF(ISBLANK(Лист1!C262),"",Лист1!C262)</f>
        <v/>
      </c>
      <c r="D262" s="5" t="str">
        <f>IF(ISBLANK(Лист1!D262),"",Лист1!D262)</f>
        <v/>
      </c>
      <c r="E262" s="5" t="str">
        <f>IF(ISBLANK(Лист1!E262),"",Лист1!E262)</f>
        <v/>
      </c>
      <c r="F262" s="5" t="str">
        <f>IF(ISBLANK(Лист1!F262),"",Лист1!F262)</f>
        <v/>
      </c>
      <c r="G262" s="5" t="str">
        <f>IF(ISBLANK(Лист1!G262),"",Лист1!G262)</f>
        <v/>
      </c>
      <c r="H262" s="5" t="str">
        <f>IF(ISBLANK(Лист1!H262),"",Лист1!H262)</f>
        <v/>
      </c>
      <c r="I262" s="5" t="str">
        <f>IF(ISBLANK(Лист1!I262),"",Лист1!I262)</f>
        <v/>
      </c>
      <c r="J262" s="5" t="str">
        <f>IF(ISBLANK(Лист1!J262),"",Лист1!J262)</f>
        <v/>
      </c>
      <c r="K262" s="5" t="str">
        <f>IF(ISBLANK(Лист1!K262),"",Лист1!K262)</f>
        <v/>
      </c>
      <c r="L262" s="5" t="str">
        <f>IF(ISBLANK(Лист1!L262),"",Лист1!L262)</f>
        <v/>
      </c>
      <c r="M262" s="5" t="str">
        <f>IF(ISBLANK(Лист1!M262),"",Лист1!M262)</f>
        <v/>
      </c>
      <c r="N262" s="5" t="str">
        <f>IF(ISBLANK(Лист1!N262),"",Лист1!N262)</f>
        <v/>
      </c>
      <c r="O262" s="5" t="str">
        <f>IF(ISBLANK(Лист1!O262),"",Лист1!O262)</f>
        <v/>
      </c>
      <c r="P262" s="5" t="str">
        <f>IF(ISBLANK(Лист1!P262),"",Лист1!P262)</f>
        <v/>
      </c>
      <c r="Q262" s="5" t="str">
        <f>IF(ISBLANK(Лист1!Q262),"",Лист1!Q262)</f>
        <v/>
      </c>
      <c r="R262" s="5" t="str">
        <f>IF(ISBLANK(Лист1!R262),"",Лист1!R262)</f>
        <v/>
      </c>
      <c r="S262" s="5" t="str">
        <f>IF(ISBLANK(Лист1!S262),"",Лист1!S262)</f>
        <v/>
      </c>
      <c r="T262" s="5" t="str">
        <f>IF(ISBLANK(Лист1!T262),"",Лист1!T262)</f>
        <v/>
      </c>
      <c r="U262" s="5" t="str">
        <f>IF(ISBLANK(Лист1!U262),"",Лист1!U262)</f>
        <v/>
      </c>
      <c r="V262" s="5" t="str">
        <f>IF(ISBLANK(Лист1!V262),"",Лист1!V262)</f>
        <v/>
      </c>
      <c r="W262" s="5" t="str">
        <f>IF(ISBLANK(Лист1!W262),"",Лист1!W262)</f>
        <v/>
      </c>
      <c r="X262" s="5" t="str">
        <f>IF(ISBLANK(Лист1!X262),"",Лист1!X262)</f>
        <v/>
      </c>
      <c r="Y262" s="5" t="str">
        <f>IF(ISERROR(VLOOKUP($X262,Лист2!$A$2:$G$498,1,FALSE)),"",VLOOKUP($X262,Лист2!$A$2:$G$498,1,FALSE))</f>
        <v/>
      </c>
      <c r="Z262" s="5" t="str">
        <f>IF(ISERROR(VLOOKUP($X262,Лист2!$A$2:$G$498,5,FALSE)),"",VLOOKUP($X262,Лист2!$A$2:$G$498,5,FALSE))</f>
        <v/>
      </c>
      <c r="AA262" s="5" t="str">
        <f>IF(ISERROR(VLOOKUP($X262,Лист2!$A$2:$G$498,6,FALSE)),"",VLOOKUP($X262,Лист2!$A$2:$G$498,6,FALSE))</f>
        <v/>
      </c>
      <c r="AB262" s="5" t="str">
        <f>IF(ISERROR(VLOOKUP($X262,Лист2!$A$2:$G$498,7,FALSE)),"",VLOOKUP($X262,Лист2!$A$2:$G$498,7,FALSE))</f>
        <v/>
      </c>
    </row>
    <row r="263" spans="1:28" x14ac:dyDescent="0.25">
      <c r="A263" s="5" t="str">
        <f>IF(ISBLANK(Лист1!A263),"",Лист1!A263)</f>
        <v/>
      </c>
      <c r="B263" s="5" t="str">
        <f>IF(ISBLANK(Лист1!B263),"",Лист1!B263)</f>
        <v/>
      </c>
      <c r="C263" s="5" t="str">
        <f>IF(ISBLANK(Лист1!C263),"",Лист1!C263)</f>
        <v/>
      </c>
      <c r="D263" s="5" t="str">
        <f>IF(ISBLANK(Лист1!D263),"",Лист1!D263)</f>
        <v/>
      </c>
      <c r="E263" s="5" t="str">
        <f>IF(ISBLANK(Лист1!E263),"",Лист1!E263)</f>
        <v/>
      </c>
      <c r="F263" s="5" t="str">
        <f>IF(ISBLANK(Лист1!F263),"",Лист1!F263)</f>
        <v/>
      </c>
      <c r="G263" s="5" t="str">
        <f>IF(ISBLANK(Лист1!G263),"",Лист1!G263)</f>
        <v/>
      </c>
      <c r="H263" s="5" t="str">
        <f>IF(ISBLANK(Лист1!H263),"",Лист1!H263)</f>
        <v/>
      </c>
      <c r="I263" s="5" t="str">
        <f>IF(ISBLANK(Лист1!I263),"",Лист1!I263)</f>
        <v/>
      </c>
      <c r="J263" s="5" t="str">
        <f>IF(ISBLANK(Лист1!J263),"",Лист1!J263)</f>
        <v/>
      </c>
      <c r="K263" s="5" t="str">
        <f>IF(ISBLANK(Лист1!K263),"",Лист1!K263)</f>
        <v/>
      </c>
      <c r="L263" s="5" t="str">
        <f>IF(ISBLANK(Лист1!L263),"",Лист1!L263)</f>
        <v/>
      </c>
      <c r="M263" s="5" t="str">
        <f>IF(ISBLANK(Лист1!M263),"",Лист1!M263)</f>
        <v/>
      </c>
      <c r="N263" s="5" t="str">
        <f>IF(ISBLANK(Лист1!N263),"",Лист1!N263)</f>
        <v/>
      </c>
      <c r="O263" s="5" t="str">
        <f>IF(ISBLANK(Лист1!O263),"",Лист1!O263)</f>
        <v/>
      </c>
      <c r="P263" s="5" t="str">
        <f>IF(ISBLANK(Лист1!P263),"",Лист1!P263)</f>
        <v/>
      </c>
      <c r="Q263" s="5" t="str">
        <f>IF(ISBLANK(Лист1!Q263),"",Лист1!Q263)</f>
        <v/>
      </c>
      <c r="R263" s="5" t="str">
        <f>IF(ISBLANK(Лист1!R263),"",Лист1!R263)</f>
        <v/>
      </c>
      <c r="S263" s="5" t="str">
        <f>IF(ISBLANK(Лист1!S263),"",Лист1!S263)</f>
        <v/>
      </c>
      <c r="T263" s="5" t="str">
        <f>IF(ISBLANK(Лист1!T263),"",Лист1!T263)</f>
        <v/>
      </c>
      <c r="U263" s="5" t="str">
        <f>IF(ISBLANK(Лист1!U263),"",Лист1!U263)</f>
        <v/>
      </c>
      <c r="V263" s="5" t="str">
        <f>IF(ISBLANK(Лист1!V263),"",Лист1!V263)</f>
        <v/>
      </c>
      <c r="W263" s="5" t="str">
        <f>IF(ISBLANK(Лист1!W263),"",Лист1!W263)</f>
        <v/>
      </c>
      <c r="X263" s="5" t="str">
        <f>IF(ISBLANK(Лист1!X263),"",Лист1!X263)</f>
        <v/>
      </c>
      <c r="Y263" s="5" t="str">
        <f>IF(ISERROR(VLOOKUP($X263,Лист2!$A$2:$G$498,1,FALSE)),"",VLOOKUP($X263,Лист2!$A$2:$G$498,1,FALSE))</f>
        <v/>
      </c>
      <c r="Z263" s="5" t="str">
        <f>IF(ISERROR(VLOOKUP($X263,Лист2!$A$2:$G$498,5,FALSE)),"",VLOOKUP($X263,Лист2!$A$2:$G$498,5,FALSE))</f>
        <v/>
      </c>
      <c r="AA263" s="5" t="str">
        <f>IF(ISERROR(VLOOKUP($X263,Лист2!$A$2:$G$498,6,FALSE)),"",VLOOKUP($X263,Лист2!$A$2:$G$498,6,FALSE))</f>
        <v/>
      </c>
      <c r="AB263" s="5" t="str">
        <f>IF(ISERROR(VLOOKUP($X263,Лист2!$A$2:$G$498,7,FALSE)),"",VLOOKUP($X263,Лист2!$A$2:$G$498,7,FALSE))</f>
        <v/>
      </c>
    </row>
    <row r="264" spans="1:28" x14ac:dyDescent="0.25">
      <c r="A264" s="5" t="str">
        <f>IF(ISBLANK(Лист1!A264),"",Лист1!A264)</f>
        <v/>
      </c>
      <c r="B264" s="5" t="str">
        <f>IF(ISBLANK(Лист1!B264),"",Лист1!B264)</f>
        <v/>
      </c>
      <c r="C264" s="5" t="str">
        <f>IF(ISBLANK(Лист1!C264),"",Лист1!C264)</f>
        <v/>
      </c>
      <c r="D264" s="5" t="str">
        <f>IF(ISBLANK(Лист1!D264),"",Лист1!D264)</f>
        <v/>
      </c>
      <c r="E264" s="5" t="str">
        <f>IF(ISBLANK(Лист1!E264),"",Лист1!E264)</f>
        <v/>
      </c>
      <c r="F264" s="5" t="str">
        <f>IF(ISBLANK(Лист1!F264),"",Лист1!F264)</f>
        <v/>
      </c>
      <c r="G264" s="5" t="str">
        <f>IF(ISBLANK(Лист1!G264),"",Лист1!G264)</f>
        <v/>
      </c>
      <c r="H264" s="5" t="str">
        <f>IF(ISBLANK(Лист1!H264),"",Лист1!H264)</f>
        <v/>
      </c>
      <c r="I264" s="5" t="str">
        <f>IF(ISBLANK(Лист1!I264),"",Лист1!I264)</f>
        <v/>
      </c>
      <c r="J264" s="5" t="str">
        <f>IF(ISBLANK(Лист1!J264),"",Лист1!J264)</f>
        <v/>
      </c>
      <c r="K264" s="5" t="str">
        <f>IF(ISBLANK(Лист1!K264),"",Лист1!K264)</f>
        <v/>
      </c>
      <c r="L264" s="5" t="str">
        <f>IF(ISBLANK(Лист1!L264),"",Лист1!L264)</f>
        <v/>
      </c>
      <c r="M264" s="5" t="str">
        <f>IF(ISBLANK(Лист1!M264),"",Лист1!M264)</f>
        <v/>
      </c>
      <c r="N264" s="5" t="str">
        <f>IF(ISBLANK(Лист1!N264),"",Лист1!N264)</f>
        <v/>
      </c>
      <c r="O264" s="5" t="str">
        <f>IF(ISBLANK(Лист1!O264),"",Лист1!O264)</f>
        <v/>
      </c>
      <c r="P264" s="5" t="str">
        <f>IF(ISBLANK(Лист1!P264),"",Лист1!P264)</f>
        <v/>
      </c>
      <c r="Q264" s="5" t="str">
        <f>IF(ISBLANK(Лист1!Q264),"",Лист1!Q264)</f>
        <v/>
      </c>
      <c r="R264" s="5" t="str">
        <f>IF(ISBLANK(Лист1!R264),"",Лист1!R264)</f>
        <v/>
      </c>
      <c r="S264" s="5" t="str">
        <f>IF(ISBLANK(Лист1!S264),"",Лист1!S264)</f>
        <v/>
      </c>
      <c r="T264" s="5" t="str">
        <f>IF(ISBLANK(Лист1!T264),"",Лист1!T264)</f>
        <v/>
      </c>
      <c r="U264" s="5" t="str">
        <f>IF(ISBLANK(Лист1!U264),"",Лист1!U264)</f>
        <v/>
      </c>
      <c r="V264" s="5" t="str">
        <f>IF(ISBLANK(Лист1!V264),"",Лист1!V264)</f>
        <v/>
      </c>
      <c r="W264" s="5" t="str">
        <f>IF(ISBLANK(Лист1!W264),"",Лист1!W264)</f>
        <v/>
      </c>
      <c r="X264" s="5" t="str">
        <f>IF(ISBLANK(Лист1!X264),"",Лист1!X264)</f>
        <v/>
      </c>
      <c r="Y264" s="5" t="str">
        <f>IF(ISERROR(VLOOKUP($X264,Лист2!$A$2:$G$498,1,FALSE)),"",VLOOKUP($X264,Лист2!$A$2:$G$498,1,FALSE))</f>
        <v/>
      </c>
      <c r="Z264" s="5" t="str">
        <f>IF(ISERROR(VLOOKUP($X264,Лист2!$A$2:$G$498,5,FALSE)),"",VLOOKUP($X264,Лист2!$A$2:$G$498,5,FALSE))</f>
        <v/>
      </c>
      <c r="AA264" s="5" t="str">
        <f>IF(ISERROR(VLOOKUP($X264,Лист2!$A$2:$G$498,6,FALSE)),"",VLOOKUP($X264,Лист2!$A$2:$G$498,6,FALSE))</f>
        <v/>
      </c>
      <c r="AB264" s="5" t="str">
        <f>IF(ISERROR(VLOOKUP($X264,Лист2!$A$2:$G$498,7,FALSE)),"",VLOOKUP($X264,Лист2!$A$2:$G$498,7,FALSE))</f>
        <v/>
      </c>
    </row>
    <row r="265" spans="1:28" x14ac:dyDescent="0.25">
      <c r="A265" s="5" t="str">
        <f>IF(ISBLANK(Лист1!A265),"",Лист1!A265)</f>
        <v/>
      </c>
      <c r="B265" s="5" t="str">
        <f>IF(ISBLANK(Лист1!B265),"",Лист1!B265)</f>
        <v/>
      </c>
      <c r="C265" s="5" t="str">
        <f>IF(ISBLANK(Лист1!C265),"",Лист1!C265)</f>
        <v/>
      </c>
      <c r="D265" s="5" t="str">
        <f>IF(ISBLANK(Лист1!D265),"",Лист1!D265)</f>
        <v/>
      </c>
      <c r="E265" s="5" t="str">
        <f>IF(ISBLANK(Лист1!E265),"",Лист1!E265)</f>
        <v/>
      </c>
      <c r="F265" s="5" t="str">
        <f>IF(ISBLANK(Лист1!F265),"",Лист1!F265)</f>
        <v/>
      </c>
      <c r="G265" s="5" t="str">
        <f>IF(ISBLANK(Лист1!G265),"",Лист1!G265)</f>
        <v/>
      </c>
      <c r="H265" s="5" t="str">
        <f>IF(ISBLANK(Лист1!H265),"",Лист1!H265)</f>
        <v/>
      </c>
      <c r="I265" s="5" t="str">
        <f>IF(ISBLANK(Лист1!I265),"",Лист1!I265)</f>
        <v/>
      </c>
      <c r="J265" s="5" t="str">
        <f>IF(ISBLANK(Лист1!J265),"",Лист1!J265)</f>
        <v/>
      </c>
      <c r="K265" s="5" t="str">
        <f>IF(ISBLANK(Лист1!K265),"",Лист1!K265)</f>
        <v/>
      </c>
      <c r="L265" s="5" t="str">
        <f>IF(ISBLANK(Лист1!L265),"",Лист1!L265)</f>
        <v/>
      </c>
      <c r="M265" s="5" t="str">
        <f>IF(ISBLANK(Лист1!M265),"",Лист1!M265)</f>
        <v/>
      </c>
      <c r="N265" s="5" t="str">
        <f>IF(ISBLANK(Лист1!N265),"",Лист1!N265)</f>
        <v/>
      </c>
      <c r="O265" s="5" t="str">
        <f>IF(ISBLANK(Лист1!O265),"",Лист1!O265)</f>
        <v/>
      </c>
      <c r="P265" s="5" t="str">
        <f>IF(ISBLANK(Лист1!P265),"",Лист1!P265)</f>
        <v/>
      </c>
      <c r="Q265" s="5" t="str">
        <f>IF(ISBLANK(Лист1!Q265),"",Лист1!Q265)</f>
        <v/>
      </c>
      <c r="R265" s="5" t="str">
        <f>IF(ISBLANK(Лист1!R265),"",Лист1!R265)</f>
        <v/>
      </c>
      <c r="S265" s="5" t="str">
        <f>IF(ISBLANK(Лист1!S265),"",Лист1!S265)</f>
        <v/>
      </c>
      <c r="T265" s="5" t="str">
        <f>IF(ISBLANK(Лист1!T265),"",Лист1!T265)</f>
        <v/>
      </c>
      <c r="U265" s="5" t="str">
        <f>IF(ISBLANK(Лист1!U265),"",Лист1!U265)</f>
        <v/>
      </c>
      <c r="V265" s="5" t="str">
        <f>IF(ISBLANK(Лист1!V265),"",Лист1!V265)</f>
        <v/>
      </c>
      <c r="W265" s="5" t="str">
        <f>IF(ISBLANK(Лист1!W265),"",Лист1!W265)</f>
        <v/>
      </c>
      <c r="X265" s="5" t="str">
        <f>IF(ISBLANK(Лист1!X265),"",Лист1!X265)</f>
        <v/>
      </c>
      <c r="Y265" s="5" t="str">
        <f>IF(ISERROR(VLOOKUP($X265,Лист2!$A$2:$G$498,1,FALSE)),"",VLOOKUP($X265,Лист2!$A$2:$G$498,1,FALSE))</f>
        <v/>
      </c>
      <c r="Z265" s="5" t="str">
        <f>IF(ISERROR(VLOOKUP($X265,Лист2!$A$2:$G$498,5,FALSE)),"",VLOOKUP($X265,Лист2!$A$2:$G$498,5,FALSE))</f>
        <v/>
      </c>
      <c r="AA265" s="5" t="str">
        <f>IF(ISERROR(VLOOKUP($X265,Лист2!$A$2:$G$498,6,FALSE)),"",VLOOKUP($X265,Лист2!$A$2:$G$498,6,FALSE))</f>
        <v/>
      </c>
      <c r="AB265" s="5" t="str">
        <f>IF(ISERROR(VLOOKUP($X265,Лист2!$A$2:$G$498,7,FALSE)),"",VLOOKUP($X265,Лист2!$A$2:$G$498,7,FALSE))</f>
        <v/>
      </c>
    </row>
    <row r="266" spans="1:28" x14ac:dyDescent="0.25">
      <c r="A266" s="5" t="str">
        <f>IF(ISBLANK(Лист1!A266),"",Лист1!A266)</f>
        <v/>
      </c>
      <c r="B266" s="5" t="str">
        <f>IF(ISBLANK(Лист1!B266),"",Лист1!B266)</f>
        <v/>
      </c>
      <c r="C266" s="5" t="str">
        <f>IF(ISBLANK(Лист1!C266),"",Лист1!C266)</f>
        <v/>
      </c>
      <c r="D266" s="5" t="str">
        <f>IF(ISBLANK(Лист1!D266),"",Лист1!D266)</f>
        <v/>
      </c>
      <c r="E266" s="5" t="str">
        <f>IF(ISBLANK(Лист1!E266),"",Лист1!E266)</f>
        <v/>
      </c>
      <c r="F266" s="5" t="str">
        <f>IF(ISBLANK(Лист1!F266),"",Лист1!F266)</f>
        <v/>
      </c>
      <c r="G266" s="5" t="str">
        <f>IF(ISBLANK(Лист1!G266),"",Лист1!G266)</f>
        <v/>
      </c>
      <c r="H266" s="5" t="str">
        <f>IF(ISBLANK(Лист1!H266),"",Лист1!H266)</f>
        <v/>
      </c>
      <c r="I266" s="5" t="str">
        <f>IF(ISBLANK(Лист1!I266),"",Лист1!I266)</f>
        <v/>
      </c>
      <c r="J266" s="5" t="str">
        <f>IF(ISBLANK(Лист1!J266),"",Лист1!J266)</f>
        <v/>
      </c>
      <c r="K266" s="5" t="str">
        <f>IF(ISBLANK(Лист1!K266),"",Лист1!K266)</f>
        <v/>
      </c>
      <c r="L266" s="5" t="str">
        <f>IF(ISBLANK(Лист1!L266),"",Лист1!L266)</f>
        <v/>
      </c>
      <c r="M266" s="5" t="str">
        <f>IF(ISBLANK(Лист1!M266),"",Лист1!M266)</f>
        <v/>
      </c>
      <c r="N266" s="5" t="str">
        <f>IF(ISBLANK(Лист1!N266),"",Лист1!N266)</f>
        <v/>
      </c>
      <c r="O266" s="5" t="str">
        <f>IF(ISBLANK(Лист1!O266),"",Лист1!O266)</f>
        <v/>
      </c>
      <c r="P266" s="5" t="str">
        <f>IF(ISBLANK(Лист1!P266),"",Лист1!P266)</f>
        <v/>
      </c>
      <c r="Q266" s="5" t="str">
        <f>IF(ISBLANK(Лист1!Q266),"",Лист1!Q266)</f>
        <v/>
      </c>
      <c r="R266" s="5" t="str">
        <f>IF(ISBLANK(Лист1!R266),"",Лист1!R266)</f>
        <v/>
      </c>
      <c r="S266" s="5" t="str">
        <f>IF(ISBLANK(Лист1!S266),"",Лист1!S266)</f>
        <v/>
      </c>
      <c r="T266" s="5" t="str">
        <f>IF(ISBLANK(Лист1!T266),"",Лист1!T266)</f>
        <v/>
      </c>
      <c r="U266" s="5" t="str">
        <f>IF(ISBLANK(Лист1!U266),"",Лист1!U266)</f>
        <v/>
      </c>
      <c r="V266" s="5" t="str">
        <f>IF(ISBLANK(Лист1!V266),"",Лист1!V266)</f>
        <v/>
      </c>
      <c r="W266" s="5" t="str">
        <f>IF(ISBLANK(Лист1!W266),"",Лист1!W266)</f>
        <v/>
      </c>
      <c r="X266" s="5" t="str">
        <f>IF(ISBLANK(Лист1!X266),"",Лист1!X266)</f>
        <v/>
      </c>
      <c r="Y266" s="5" t="str">
        <f>IF(ISERROR(VLOOKUP($X266,Лист2!$A$2:$G$498,1,FALSE)),"",VLOOKUP($X266,Лист2!$A$2:$G$498,1,FALSE))</f>
        <v/>
      </c>
      <c r="Z266" s="5" t="str">
        <f>IF(ISERROR(VLOOKUP($X266,Лист2!$A$2:$G$498,5,FALSE)),"",VLOOKUP($X266,Лист2!$A$2:$G$498,5,FALSE))</f>
        <v/>
      </c>
      <c r="AA266" s="5" t="str">
        <f>IF(ISERROR(VLOOKUP($X266,Лист2!$A$2:$G$498,6,FALSE)),"",VLOOKUP($X266,Лист2!$A$2:$G$498,6,FALSE))</f>
        <v/>
      </c>
      <c r="AB266" s="5" t="str">
        <f>IF(ISERROR(VLOOKUP($X266,Лист2!$A$2:$G$498,7,FALSE)),"",VLOOKUP($X266,Лист2!$A$2:$G$498,7,FALSE))</f>
        <v/>
      </c>
    </row>
    <row r="267" spans="1:28" x14ac:dyDescent="0.25">
      <c r="A267" s="5" t="str">
        <f>IF(ISBLANK(Лист1!A267),"",Лист1!A267)</f>
        <v/>
      </c>
      <c r="B267" s="5" t="str">
        <f>IF(ISBLANK(Лист1!B267),"",Лист1!B267)</f>
        <v/>
      </c>
      <c r="C267" s="5" t="str">
        <f>IF(ISBLANK(Лист1!C267),"",Лист1!C267)</f>
        <v/>
      </c>
      <c r="D267" s="5" t="str">
        <f>IF(ISBLANK(Лист1!D267),"",Лист1!D267)</f>
        <v/>
      </c>
      <c r="E267" s="5" t="str">
        <f>IF(ISBLANK(Лист1!E267),"",Лист1!E267)</f>
        <v/>
      </c>
      <c r="F267" s="5" t="str">
        <f>IF(ISBLANK(Лист1!F267),"",Лист1!F267)</f>
        <v/>
      </c>
      <c r="G267" s="5" t="str">
        <f>IF(ISBLANK(Лист1!G267),"",Лист1!G267)</f>
        <v/>
      </c>
      <c r="H267" s="5" t="str">
        <f>IF(ISBLANK(Лист1!H267),"",Лист1!H267)</f>
        <v/>
      </c>
      <c r="I267" s="5" t="str">
        <f>IF(ISBLANK(Лист1!I267),"",Лист1!I267)</f>
        <v/>
      </c>
      <c r="J267" s="5" t="str">
        <f>IF(ISBLANK(Лист1!J267),"",Лист1!J267)</f>
        <v/>
      </c>
      <c r="K267" s="5" t="str">
        <f>IF(ISBLANK(Лист1!K267),"",Лист1!K267)</f>
        <v/>
      </c>
      <c r="L267" s="5" t="str">
        <f>IF(ISBLANK(Лист1!L267),"",Лист1!L267)</f>
        <v/>
      </c>
      <c r="M267" s="5" t="str">
        <f>IF(ISBLANK(Лист1!M267),"",Лист1!M267)</f>
        <v/>
      </c>
      <c r="N267" s="5" t="str">
        <f>IF(ISBLANK(Лист1!N267),"",Лист1!N267)</f>
        <v/>
      </c>
      <c r="O267" s="5" t="str">
        <f>IF(ISBLANK(Лист1!O267),"",Лист1!O267)</f>
        <v/>
      </c>
      <c r="P267" s="5" t="str">
        <f>IF(ISBLANK(Лист1!P267),"",Лист1!P267)</f>
        <v/>
      </c>
      <c r="Q267" s="5" t="str">
        <f>IF(ISBLANK(Лист1!Q267),"",Лист1!Q267)</f>
        <v/>
      </c>
      <c r="R267" s="5" t="str">
        <f>IF(ISBLANK(Лист1!R267),"",Лист1!R267)</f>
        <v/>
      </c>
      <c r="S267" s="5" t="str">
        <f>IF(ISBLANK(Лист1!S267),"",Лист1!S267)</f>
        <v/>
      </c>
      <c r="T267" s="5" t="str">
        <f>IF(ISBLANK(Лист1!T267),"",Лист1!T267)</f>
        <v/>
      </c>
      <c r="U267" s="5" t="str">
        <f>IF(ISBLANK(Лист1!U267),"",Лист1!U267)</f>
        <v/>
      </c>
      <c r="V267" s="5" t="str">
        <f>IF(ISBLANK(Лист1!V267),"",Лист1!V267)</f>
        <v/>
      </c>
      <c r="W267" s="5" t="str">
        <f>IF(ISBLANK(Лист1!W267),"",Лист1!W267)</f>
        <v/>
      </c>
      <c r="X267" s="5" t="str">
        <f>IF(ISBLANK(Лист1!X267),"",Лист1!X267)</f>
        <v/>
      </c>
      <c r="Y267" s="5" t="str">
        <f>IF(ISERROR(VLOOKUP($X267,Лист2!$A$2:$G$498,1,FALSE)),"",VLOOKUP($X267,Лист2!$A$2:$G$498,1,FALSE))</f>
        <v/>
      </c>
      <c r="Z267" s="5" t="str">
        <f>IF(ISERROR(VLOOKUP($X267,Лист2!$A$2:$G$498,5,FALSE)),"",VLOOKUP($X267,Лист2!$A$2:$G$498,5,FALSE))</f>
        <v/>
      </c>
      <c r="AA267" s="5" t="str">
        <f>IF(ISERROR(VLOOKUP($X267,Лист2!$A$2:$G$498,6,FALSE)),"",VLOOKUP($X267,Лист2!$A$2:$G$498,6,FALSE))</f>
        <v/>
      </c>
      <c r="AB267" s="5" t="str">
        <f>IF(ISERROR(VLOOKUP($X267,Лист2!$A$2:$G$498,7,FALSE)),"",VLOOKUP($X267,Лист2!$A$2:$G$498,7,FALSE))</f>
        <v/>
      </c>
    </row>
    <row r="268" spans="1:28" x14ac:dyDescent="0.25">
      <c r="A268" s="5" t="str">
        <f>IF(ISBLANK(Лист1!A268),"",Лист1!A268)</f>
        <v/>
      </c>
      <c r="B268" s="5" t="str">
        <f>IF(ISBLANK(Лист1!B268),"",Лист1!B268)</f>
        <v/>
      </c>
      <c r="C268" s="5" t="str">
        <f>IF(ISBLANK(Лист1!C268),"",Лист1!C268)</f>
        <v/>
      </c>
      <c r="D268" s="5" t="str">
        <f>IF(ISBLANK(Лист1!D268),"",Лист1!D268)</f>
        <v/>
      </c>
      <c r="E268" s="5" t="str">
        <f>IF(ISBLANK(Лист1!E268),"",Лист1!E268)</f>
        <v/>
      </c>
      <c r="F268" s="5" t="str">
        <f>IF(ISBLANK(Лист1!F268),"",Лист1!F268)</f>
        <v/>
      </c>
      <c r="G268" s="5" t="str">
        <f>IF(ISBLANK(Лист1!G268),"",Лист1!G268)</f>
        <v/>
      </c>
      <c r="H268" s="5" t="str">
        <f>IF(ISBLANK(Лист1!H268),"",Лист1!H268)</f>
        <v/>
      </c>
      <c r="I268" s="5" t="str">
        <f>IF(ISBLANK(Лист1!I268),"",Лист1!I268)</f>
        <v/>
      </c>
      <c r="J268" s="5" t="str">
        <f>IF(ISBLANK(Лист1!J268),"",Лист1!J268)</f>
        <v/>
      </c>
      <c r="K268" s="5" t="str">
        <f>IF(ISBLANK(Лист1!K268),"",Лист1!K268)</f>
        <v/>
      </c>
      <c r="L268" s="5" t="str">
        <f>IF(ISBLANK(Лист1!L268),"",Лист1!L268)</f>
        <v/>
      </c>
      <c r="M268" s="5" t="str">
        <f>IF(ISBLANK(Лист1!M268),"",Лист1!M268)</f>
        <v/>
      </c>
      <c r="N268" s="5" t="str">
        <f>IF(ISBLANK(Лист1!N268),"",Лист1!N268)</f>
        <v/>
      </c>
      <c r="O268" s="5" t="str">
        <f>IF(ISBLANK(Лист1!O268),"",Лист1!O268)</f>
        <v/>
      </c>
      <c r="P268" s="5" t="str">
        <f>IF(ISBLANK(Лист1!P268),"",Лист1!P268)</f>
        <v/>
      </c>
      <c r="Q268" s="5" t="str">
        <f>IF(ISBLANK(Лист1!Q268),"",Лист1!Q268)</f>
        <v/>
      </c>
      <c r="R268" s="5" t="str">
        <f>IF(ISBLANK(Лист1!R268),"",Лист1!R268)</f>
        <v/>
      </c>
      <c r="S268" s="5" t="str">
        <f>IF(ISBLANK(Лист1!S268),"",Лист1!S268)</f>
        <v/>
      </c>
      <c r="T268" s="5" t="str">
        <f>IF(ISBLANK(Лист1!T268),"",Лист1!T268)</f>
        <v/>
      </c>
      <c r="U268" s="5" t="str">
        <f>IF(ISBLANK(Лист1!U268),"",Лист1!U268)</f>
        <v/>
      </c>
      <c r="V268" s="5" t="str">
        <f>IF(ISBLANK(Лист1!V268),"",Лист1!V268)</f>
        <v/>
      </c>
      <c r="W268" s="5" t="str">
        <f>IF(ISBLANK(Лист1!W268),"",Лист1!W268)</f>
        <v/>
      </c>
      <c r="X268" s="5" t="str">
        <f>IF(ISBLANK(Лист1!X268),"",Лист1!X268)</f>
        <v/>
      </c>
      <c r="Y268" s="5" t="str">
        <f>IF(ISERROR(VLOOKUP($X268,Лист2!$A$2:$G$498,1,FALSE)),"",VLOOKUP($X268,Лист2!$A$2:$G$498,1,FALSE))</f>
        <v/>
      </c>
      <c r="Z268" s="5" t="str">
        <f>IF(ISERROR(VLOOKUP($X268,Лист2!$A$2:$G$498,5,FALSE)),"",VLOOKUP($X268,Лист2!$A$2:$G$498,5,FALSE))</f>
        <v/>
      </c>
      <c r="AA268" s="5" t="str">
        <f>IF(ISERROR(VLOOKUP($X268,Лист2!$A$2:$G$498,6,FALSE)),"",VLOOKUP($X268,Лист2!$A$2:$G$498,6,FALSE))</f>
        <v/>
      </c>
      <c r="AB268" s="5" t="str">
        <f>IF(ISERROR(VLOOKUP($X268,Лист2!$A$2:$G$498,7,FALSE)),"",VLOOKUP($X268,Лист2!$A$2:$G$498,7,FALSE))</f>
        <v/>
      </c>
    </row>
    <row r="269" spans="1:28" x14ac:dyDescent="0.25">
      <c r="A269" s="5" t="str">
        <f>IF(ISBLANK(Лист1!A269),"",Лист1!A269)</f>
        <v/>
      </c>
      <c r="B269" s="5" t="str">
        <f>IF(ISBLANK(Лист1!B269),"",Лист1!B269)</f>
        <v/>
      </c>
      <c r="C269" s="5" t="str">
        <f>IF(ISBLANK(Лист1!C269),"",Лист1!C269)</f>
        <v/>
      </c>
      <c r="D269" s="5" t="str">
        <f>IF(ISBLANK(Лист1!D269),"",Лист1!D269)</f>
        <v/>
      </c>
      <c r="E269" s="5" t="str">
        <f>IF(ISBLANK(Лист1!E269),"",Лист1!E269)</f>
        <v/>
      </c>
      <c r="F269" s="5" t="str">
        <f>IF(ISBLANK(Лист1!F269),"",Лист1!F269)</f>
        <v/>
      </c>
      <c r="G269" s="5" t="str">
        <f>IF(ISBLANK(Лист1!G269),"",Лист1!G269)</f>
        <v/>
      </c>
      <c r="H269" s="5" t="str">
        <f>IF(ISBLANK(Лист1!H269),"",Лист1!H269)</f>
        <v/>
      </c>
      <c r="I269" s="5" t="str">
        <f>IF(ISBLANK(Лист1!I269),"",Лист1!I269)</f>
        <v/>
      </c>
      <c r="J269" s="5" t="str">
        <f>IF(ISBLANK(Лист1!J269),"",Лист1!J269)</f>
        <v/>
      </c>
      <c r="K269" s="5" t="str">
        <f>IF(ISBLANK(Лист1!K269),"",Лист1!K269)</f>
        <v/>
      </c>
      <c r="L269" s="5" t="str">
        <f>IF(ISBLANK(Лист1!L269),"",Лист1!L269)</f>
        <v/>
      </c>
      <c r="M269" s="5" t="str">
        <f>IF(ISBLANK(Лист1!M269),"",Лист1!M269)</f>
        <v/>
      </c>
      <c r="N269" s="5" t="str">
        <f>IF(ISBLANK(Лист1!N269),"",Лист1!N269)</f>
        <v/>
      </c>
      <c r="O269" s="5" t="str">
        <f>IF(ISBLANK(Лист1!O269),"",Лист1!O269)</f>
        <v/>
      </c>
      <c r="P269" s="5" t="str">
        <f>IF(ISBLANK(Лист1!P269),"",Лист1!P269)</f>
        <v/>
      </c>
      <c r="Q269" s="5" t="str">
        <f>IF(ISBLANK(Лист1!Q269),"",Лист1!Q269)</f>
        <v/>
      </c>
      <c r="R269" s="5" t="str">
        <f>IF(ISBLANK(Лист1!R269),"",Лист1!R269)</f>
        <v/>
      </c>
      <c r="S269" s="5" t="str">
        <f>IF(ISBLANK(Лист1!S269),"",Лист1!S269)</f>
        <v/>
      </c>
      <c r="T269" s="5" t="str">
        <f>IF(ISBLANK(Лист1!T269),"",Лист1!T269)</f>
        <v/>
      </c>
      <c r="U269" s="5" t="str">
        <f>IF(ISBLANK(Лист1!U269),"",Лист1!U269)</f>
        <v/>
      </c>
      <c r="V269" s="5" t="str">
        <f>IF(ISBLANK(Лист1!V269),"",Лист1!V269)</f>
        <v/>
      </c>
      <c r="W269" s="5" t="str">
        <f>IF(ISBLANK(Лист1!W269),"",Лист1!W269)</f>
        <v/>
      </c>
      <c r="X269" s="5" t="str">
        <f>IF(ISBLANK(Лист1!X269),"",Лист1!X269)</f>
        <v/>
      </c>
      <c r="Y269" s="5" t="str">
        <f>IF(ISERROR(VLOOKUP($X269,Лист2!$A$2:$G$498,1,FALSE)),"",VLOOKUP($X269,Лист2!$A$2:$G$498,1,FALSE))</f>
        <v/>
      </c>
      <c r="Z269" s="5" t="str">
        <f>IF(ISERROR(VLOOKUP($X269,Лист2!$A$2:$G$498,5,FALSE)),"",VLOOKUP($X269,Лист2!$A$2:$G$498,5,FALSE))</f>
        <v/>
      </c>
      <c r="AA269" s="5" t="str">
        <f>IF(ISERROR(VLOOKUP($X269,Лист2!$A$2:$G$498,6,FALSE)),"",VLOOKUP($X269,Лист2!$A$2:$G$498,6,FALSE))</f>
        <v/>
      </c>
      <c r="AB269" s="5" t="str">
        <f>IF(ISERROR(VLOOKUP($X269,Лист2!$A$2:$G$498,7,FALSE)),"",VLOOKUP($X269,Лист2!$A$2:$G$498,7,FALSE))</f>
        <v/>
      </c>
    </row>
    <row r="270" spans="1:28" x14ac:dyDescent="0.25">
      <c r="A270" s="5" t="str">
        <f>IF(ISBLANK(Лист1!A270),"",Лист1!A270)</f>
        <v/>
      </c>
      <c r="B270" s="5" t="str">
        <f>IF(ISBLANK(Лист1!B270),"",Лист1!B270)</f>
        <v/>
      </c>
      <c r="C270" s="5" t="str">
        <f>IF(ISBLANK(Лист1!C270),"",Лист1!C270)</f>
        <v/>
      </c>
      <c r="D270" s="5" t="str">
        <f>IF(ISBLANK(Лист1!D270),"",Лист1!D270)</f>
        <v/>
      </c>
      <c r="E270" s="5" t="str">
        <f>IF(ISBLANK(Лист1!E270),"",Лист1!E270)</f>
        <v/>
      </c>
      <c r="F270" s="5" t="str">
        <f>IF(ISBLANK(Лист1!F270),"",Лист1!F270)</f>
        <v/>
      </c>
      <c r="G270" s="5" t="str">
        <f>IF(ISBLANK(Лист1!G270),"",Лист1!G270)</f>
        <v/>
      </c>
      <c r="H270" s="5" t="str">
        <f>IF(ISBLANK(Лист1!H270),"",Лист1!H270)</f>
        <v/>
      </c>
      <c r="I270" s="5" t="str">
        <f>IF(ISBLANK(Лист1!I270),"",Лист1!I270)</f>
        <v/>
      </c>
      <c r="J270" s="5" t="str">
        <f>IF(ISBLANK(Лист1!J270),"",Лист1!J270)</f>
        <v/>
      </c>
      <c r="K270" s="5" t="str">
        <f>IF(ISBLANK(Лист1!K270),"",Лист1!K270)</f>
        <v/>
      </c>
      <c r="L270" s="5" t="str">
        <f>IF(ISBLANK(Лист1!L270),"",Лист1!L270)</f>
        <v/>
      </c>
      <c r="M270" s="5" t="str">
        <f>IF(ISBLANK(Лист1!M270),"",Лист1!M270)</f>
        <v/>
      </c>
      <c r="N270" s="5" t="str">
        <f>IF(ISBLANK(Лист1!N270),"",Лист1!N270)</f>
        <v/>
      </c>
      <c r="O270" s="5" t="str">
        <f>IF(ISBLANK(Лист1!O270),"",Лист1!O270)</f>
        <v/>
      </c>
      <c r="P270" s="5" t="str">
        <f>IF(ISBLANK(Лист1!P270),"",Лист1!P270)</f>
        <v/>
      </c>
      <c r="Q270" s="5" t="str">
        <f>IF(ISBLANK(Лист1!Q270),"",Лист1!Q270)</f>
        <v/>
      </c>
      <c r="R270" s="5" t="str">
        <f>IF(ISBLANK(Лист1!R270),"",Лист1!R270)</f>
        <v/>
      </c>
      <c r="S270" s="5" t="str">
        <f>IF(ISBLANK(Лист1!S270),"",Лист1!S270)</f>
        <v/>
      </c>
      <c r="T270" s="5" t="str">
        <f>IF(ISBLANK(Лист1!T270),"",Лист1!T270)</f>
        <v/>
      </c>
      <c r="U270" s="5" t="str">
        <f>IF(ISBLANK(Лист1!U270),"",Лист1!U270)</f>
        <v/>
      </c>
      <c r="V270" s="5" t="str">
        <f>IF(ISBLANK(Лист1!V270),"",Лист1!V270)</f>
        <v/>
      </c>
      <c r="W270" s="5" t="str">
        <f>IF(ISBLANK(Лист1!W270),"",Лист1!W270)</f>
        <v/>
      </c>
      <c r="X270" s="5" t="str">
        <f>IF(ISBLANK(Лист1!X270),"",Лист1!X270)</f>
        <v/>
      </c>
      <c r="Y270" s="5" t="str">
        <f>IF(ISERROR(VLOOKUP($X270,Лист2!$A$2:$G$498,1,FALSE)),"",VLOOKUP($X270,Лист2!$A$2:$G$498,1,FALSE))</f>
        <v/>
      </c>
      <c r="Z270" s="5" t="str">
        <f>IF(ISERROR(VLOOKUP($X270,Лист2!$A$2:$G$498,5,FALSE)),"",VLOOKUP($X270,Лист2!$A$2:$G$498,5,FALSE))</f>
        <v/>
      </c>
      <c r="AA270" s="5" t="str">
        <f>IF(ISERROR(VLOOKUP($X270,Лист2!$A$2:$G$498,6,FALSE)),"",VLOOKUP($X270,Лист2!$A$2:$G$498,6,FALSE))</f>
        <v/>
      </c>
      <c r="AB270" s="5" t="str">
        <f>IF(ISERROR(VLOOKUP($X270,Лист2!$A$2:$G$498,7,FALSE)),"",VLOOKUP($X270,Лист2!$A$2:$G$498,7,FALSE))</f>
        <v/>
      </c>
    </row>
    <row r="271" spans="1:28" x14ac:dyDescent="0.25">
      <c r="A271" s="5" t="str">
        <f>IF(ISBLANK(Лист1!A271),"",Лист1!A271)</f>
        <v/>
      </c>
      <c r="B271" s="5" t="str">
        <f>IF(ISBLANK(Лист1!B271),"",Лист1!B271)</f>
        <v/>
      </c>
      <c r="C271" s="5" t="str">
        <f>IF(ISBLANK(Лист1!C271),"",Лист1!C271)</f>
        <v/>
      </c>
      <c r="D271" s="5" t="str">
        <f>IF(ISBLANK(Лист1!D271),"",Лист1!D271)</f>
        <v/>
      </c>
      <c r="E271" s="5" t="str">
        <f>IF(ISBLANK(Лист1!E271),"",Лист1!E271)</f>
        <v/>
      </c>
      <c r="F271" s="5" t="str">
        <f>IF(ISBLANK(Лист1!F271),"",Лист1!F271)</f>
        <v/>
      </c>
      <c r="G271" s="5" t="str">
        <f>IF(ISBLANK(Лист1!G271),"",Лист1!G271)</f>
        <v/>
      </c>
      <c r="H271" s="5" t="str">
        <f>IF(ISBLANK(Лист1!H271),"",Лист1!H271)</f>
        <v/>
      </c>
      <c r="I271" s="5" t="str">
        <f>IF(ISBLANK(Лист1!I271),"",Лист1!I271)</f>
        <v/>
      </c>
      <c r="J271" s="5" t="str">
        <f>IF(ISBLANK(Лист1!J271),"",Лист1!J271)</f>
        <v/>
      </c>
      <c r="K271" s="5" t="str">
        <f>IF(ISBLANK(Лист1!K271),"",Лист1!K271)</f>
        <v/>
      </c>
      <c r="L271" s="5" t="str">
        <f>IF(ISBLANK(Лист1!L271),"",Лист1!L271)</f>
        <v/>
      </c>
      <c r="M271" s="5" t="str">
        <f>IF(ISBLANK(Лист1!M271),"",Лист1!M271)</f>
        <v/>
      </c>
      <c r="N271" s="5" t="str">
        <f>IF(ISBLANK(Лист1!N271),"",Лист1!N271)</f>
        <v/>
      </c>
      <c r="O271" s="5" t="str">
        <f>IF(ISBLANK(Лист1!O271),"",Лист1!O271)</f>
        <v/>
      </c>
      <c r="P271" s="5" t="str">
        <f>IF(ISBLANK(Лист1!P271),"",Лист1!P271)</f>
        <v/>
      </c>
      <c r="Q271" s="5" t="str">
        <f>IF(ISBLANK(Лист1!Q271),"",Лист1!Q271)</f>
        <v/>
      </c>
      <c r="R271" s="5" t="str">
        <f>IF(ISBLANK(Лист1!R271),"",Лист1!R271)</f>
        <v/>
      </c>
      <c r="S271" s="5" t="str">
        <f>IF(ISBLANK(Лист1!S271),"",Лист1!S271)</f>
        <v/>
      </c>
      <c r="T271" s="5" t="str">
        <f>IF(ISBLANK(Лист1!T271),"",Лист1!T271)</f>
        <v/>
      </c>
      <c r="U271" s="5" t="str">
        <f>IF(ISBLANK(Лист1!U271),"",Лист1!U271)</f>
        <v/>
      </c>
      <c r="V271" s="5" t="str">
        <f>IF(ISBLANK(Лист1!V271),"",Лист1!V271)</f>
        <v/>
      </c>
      <c r="W271" s="5" t="str">
        <f>IF(ISBLANK(Лист1!W271),"",Лист1!W271)</f>
        <v/>
      </c>
      <c r="X271" s="5" t="str">
        <f>IF(ISBLANK(Лист1!X271),"",Лист1!X271)</f>
        <v/>
      </c>
      <c r="Y271" s="5" t="str">
        <f>IF(ISERROR(VLOOKUP($X271,Лист2!$A$2:$G$498,1,FALSE)),"",VLOOKUP($X271,Лист2!$A$2:$G$498,1,FALSE))</f>
        <v/>
      </c>
      <c r="Z271" s="5" t="str">
        <f>IF(ISERROR(VLOOKUP($X271,Лист2!$A$2:$G$498,5,FALSE)),"",VLOOKUP($X271,Лист2!$A$2:$G$498,5,FALSE))</f>
        <v/>
      </c>
      <c r="AA271" s="5" t="str">
        <f>IF(ISERROR(VLOOKUP($X271,Лист2!$A$2:$G$498,6,FALSE)),"",VLOOKUP($X271,Лист2!$A$2:$G$498,6,FALSE))</f>
        <v/>
      </c>
      <c r="AB271" s="5" t="str">
        <f>IF(ISERROR(VLOOKUP($X271,Лист2!$A$2:$G$498,7,FALSE)),"",VLOOKUP($X271,Лист2!$A$2:$G$498,7,FALSE))</f>
        <v/>
      </c>
    </row>
    <row r="272" spans="1:28" x14ac:dyDescent="0.25">
      <c r="A272" s="5" t="str">
        <f>IF(ISBLANK(Лист1!A272),"",Лист1!A272)</f>
        <v/>
      </c>
      <c r="B272" s="5" t="str">
        <f>IF(ISBLANK(Лист1!B272),"",Лист1!B272)</f>
        <v/>
      </c>
      <c r="C272" s="5" t="str">
        <f>IF(ISBLANK(Лист1!C272),"",Лист1!C272)</f>
        <v/>
      </c>
      <c r="D272" s="5" t="str">
        <f>IF(ISBLANK(Лист1!D272),"",Лист1!D272)</f>
        <v/>
      </c>
      <c r="E272" s="5" t="str">
        <f>IF(ISBLANK(Лист1!E272),"",Лист1!E272)</f>
        <v/>
      </c>
      <c r="F272" s="5" t="str">
        <f>IF(ISBLANK(Лист1!F272),"",Лист1!F272)</f>
        <v/>
      </c>
      <c r="G272" s="5" t="str">
        <f>IF(ISBLANK(Лист1!G272),"",Лист1!G272)</f>
        <v/>
      </c>
      <c r="H272" s="5" t="str">
        <f>IF(ISBLANK(Лист1!H272),"",Лист1!H272)</f>
        <v/>
      </c>
      <c r="I272" s="5" t="str">
        <f>IF(ISBLANK(Лист1!I272),"",Лист1!I272)</f>
        <v/>
      </c>
      <c r="J272" s="5" t="str">
        <f>IF(ISBLANK(Лист1!J272),"",Лист1!J272)</f>
        <v/>
      </c>
      <c r="K272" s="5" t="str">
        <f>IF(ISBLANK(Лист1!K272),"",Лист1!K272)</f>
        <v/>
      </c>
      <c r="L272" s="5" t="str">
        <f>IF(ISBLANK(Лист1!L272),"",Лист1!L272)</f>
        <v/>
      </c>
      <c r="M272" s="5" t="str">
        <f>IF(ISBLANK(Лист1!M272),"",Лист1!M272)</f>
        <v/>
      </c>
      <c r="N272" s="5" t="str">
        <f>IF(ISBLANK(Лист1!N272),"",Лист1!N272)</f>
        <v/>
      </c>
      <c r="O272" s="5" t="str">
        <f>IF(ISBLANK(Лист1!O272),"",Лист1!O272)</f>
        <v/>
      </c>
      <c r="P272" s="5" t="str">
        <f>IF(ISBLANK(Лист1!P272),"",Лист1!P272)</f>
        <v/>
      </c>
      <c r="Q272" s="5" t="str">
        <f>IF(ISBLANK(Лист1!Q272),"",Лист1!Q272)</f>
        <v/>
      </c>
      <c r="R272" s="5" t="str">
        <f>IF(ISBLANK(Лист1!R272),"",Лист1!R272)</f>
        <v/>
      </c>
      <c r="S272" s="5" t="str">
        <f>IF(ISBLANK(Лист1!S272),"",Лист1!S272)</f>
        <v/>
      </c>
      <c r="T272" s="5" t="str">
        <f>IF(ISBLANK(Лист1!T272),"",Лист1!T272)</f>
        <v/>
      </c>
      <c r="U272" s="5" t="str">
        <f>IF(ISBLANK(Лист1!U272),"",Лист1!U272)</f>
        <v/>
      </c>
      <c r="V272" s="5" t="str">
        <f>IF(ISBLANK(Лист1!V272),"",Лист1!V272)</f>
        <v/>
      </c>
      <c r="W272" s="5" t="str">
        <f>IF(ISBLANK(Лист1!W272),"",Лист1!W272)</f>
        <v/>
      </c>
      <c r="X272" s="5" t="str">
        <f>IF(ISBLANK(Лист1!X272),"",Лист1!X272)</f>
        <v/>
      </c>
      <c r="Y272" s="5" t="str">
        <f>IF(ISERROR(VLOOKUP($X272,Лист2!$A$2:$G$498,1,FALSE)),"",VLOOKUP($X272,Лист2!$A$2:$G$498,1,FALSE))</f>
        <v/>
      </c>
      <c r="Z272" s="5" t="str">
        <f>IF(ISERROR(VLOOKUP($X272,Лист2!$A$2:$G$498,5,FALSE)),"",VLOOKUP($X272,Лист2!$A$2:$G$498,5,FALSE))</f>
        <v/>
      </c>
      <c r="AA272" s="5" t="str">
        <f>IF(ISERROR(VLOOKUP($X272,Лист2!$A$2:$G$498,6,FALSE)),"",VLOOKUP($X272,Лист2!$A$2:$G$498,6,FALSE))</f>
        <v/>
      </c>
      <c r="AB272" s="5" t="str">
        <f>IF(ISERROR(VLOOKUP($X272,Лист2!$A$2:$G$498,7,FALSE)),"",VLOOKUP($X272,Лист2!$A$2:$G$498,7,FALSE))</f>
        <v/>
      </c>
    </row>
    <row r="273" spans="1:28" x14ac:dyDescent="0.25">
      <c r="A273" s="5" t="str">
        <f>IF(ISBLANK(Лист1!A273),"",Лист1!A273)</f>
        <v/>
      </c>
      <c r="B273" s="5" t="str">
        <f>IF(ISBLANK(Лист1!B273),"",Лист1!B273)</f>
        <v/>
      </c>
      <c r="C273" s="5" t="str">
        <f>IF(ISBLANK(Лист1!C273),"",Лист1!C273)</f>
        <v/>
      </c>
      <c r="D273" s="5" t="str">
        <f>IF(ISBLANK(Лист1!D273),"",Лист1!D273)</f>
        <v/>
      </c>
      <c r="E273" s="5" t="str">
        <f>IF(ISBLANK(Лист1!E273),"",Лист1!E273)</f>
        <v/>
      </c>
      <c r="F273" s="5" t="str">
        <f>IF(ISBLANK(Лист1!F273),"",Лист1!F273)</f>
        <v/>
      </c>
      <c r="G273" s="5" t="str">
        <f>IF(ISBLANK(Лист1!G273),"",Лист1!G273)</f>
        <v/>
      </c>
      <c r="H273" s="5" t="str">
        <f>IF(ISBLANK(Лист1!H273),"",Лист1!H273)</f>
        <v/>
      </c>
      <c r="I273" s="5" t="str">
        <f>IF(ISBLANK(Лист1!I273),"",Лист1!I273)</f>
        <v/>
      </c>
      <c r="J273" s="5" t="str">
        <f>IF(ISBLANK(Лист1!J273),"",Лист1!J273)</f>
        <v/>
      </c>
      <c r="K273" s="5" t="str">
        <f>IF(ISBLANK(Лист1!K273),"",Лист1!K273)</f>
        <v/>
      </c>
      <c r="L273" s="5" t="str">
        <f>IF(ISBLANK(Лист1!L273),"",Лист1!L273)</f>
        <v/>
      </c>
      <c r="M273" s="5" t="str">
        <f>IF(ISBLANK(Лист1!M273),"",Лист1!M273)</f>
        <v/>
      </c>
      <c r="N273" s="5" t="str">
        <f>IF(ISBLANK(Лист1!N273),"",Лист1!N273)</f>
        <v/>
      </c>
      <c r="O273" s="5" t="str">
        <f>IF(ISBLANK(Лист1!O273),"",Лист1!O273)</f>
        <v/>
      </c>
      <c r="P273" s="5" t="str">
        <f>IF(ISBLANK(Лист1!P273),"",Лист1!P273)</f>
        <v/>
      </c>
      <c r="Q273" s="5" t="str">
        <f>IF(ISBLANK(Лист1!Q273),"",Лист1!Q273)</f>
        <v/>
      </c>
      <c r="R273" s="5" t="str">
        <f>IF(ISBLANK(Лист1!R273),"",Лист1!R273)</f>
        <v/>
      </c>
      <c r="S273" s="5" t="str">
        <f>IF(ISBLANK(Лист1!S273),"",Лист1!S273)</f>
        <v/>
      </c>
      <c r="T273" s="5" t="str">
        <f>IF(ISBLANK(Лист1!T273),"",Лист1!T273)</f>
        <v/>
      </c>
      <c r="U273" s="5" t="str">
        <f>IF(ISBLANK(Лист1!U273),"",Лист1!U273)</f>
        <v/>
      </c>
      <c r="V273" s="5" t="str">
        <f>IF(ISBLANK(Лист1!V273),"",Лист1!V273)</f>
        <v/>
      </c>
      <c r="W273" s="5" t="str">
        <f>IF(ISBLANK(Лист1!W273),"",Лист1!W273)</f>
        <v/>
      </c>
      <c r="X273" s="5" t="str">
        <f>IF(ISBLANK(Лист1!X273),"",Лист1!X273)</f>
        <v/>
      </c>
      <c r="Y273" s="5" t="str">
        <f>IF(ISERROR(VLOOKUP($X273,Лист2!$A$2:$G$498,1,FALSE)),"",VLOOKUP($X273,Лист2!$A$2:$G$498,1,FALSE))</f>
        <v/>
      </c>
      <c r="Z273" s="5" t="str">
        <f>IF(ISERROR(VLOOKUP($X273,Лист2!$A$2:$G$498,5,FALSE)),"",VLOOKUP($X273,Лист2!$A$2:$G$498,5,FALSE))</f>
        <v/>
      </c>
      <c r="AA273" s="5" t="str">
        <f>IF(ISERROR(VLOOKUP($X273,Лист2!$A$2:$G$498,6,FALSE)),"",VLOOKUP($X273,Лист2!$A$2:$G$498,6,FALSE))</f>
        <v/>
      </c>
      <c r="AB273" s="5" t="str">
        <f>IF(ISERROR(VLOOKUP($X273,Лист2!$A$2:$G$498,7,FALSE)),"",VLOOKUP($X273,Лист2!$A$2:$G$498,7,FALSE))</f>
        <v/>
      </c>
    </row>
    <row r="274" spans="1:28" x14ac:dyDescent="0.25">
      <c r="A274" s="5" t="str">
        <f>IF(ISBLANK(Лист1!A274),"",Лист1!A274)</f>
        <v/>
      </c>
      <c r="B274" s="5" t="str">
        <f>IF(ISBLANK(Лист1!B274),"",Лист1!B274)</f>
        <v/>
      </c>
      <c r="C274" s="5" t="str">
        <f>IF(ISBLANK(Лист1!C274),"",Лист1!C274)</f>
        <v/>
      </c>
      <c r="D274" s="5" t="str">
        <f>IF(ISBLANK(Лист1!D274),"",Лист1!D274)</f>
        <v/>
      </c>
      <c r="E274" s="5" t="str">
        <f>IF(ISBLANK(Лист1!E274),"",Лист1!E274)</f>
        <v/>
      </c>
      <c r="F274" s="5" t="str">
        <f>IF(ISBLANK(Лист1!F274),"",Лист1!F274)</f>
        <v/>
      </c>
      <c r="G274" s="5" t="str">
        <f>IF(ISBLANK(Лист1!G274),"",Лист1!G274)</f>
        <v/>
      </c>
      <c r="H274" s="5" t="str">
        <f>IF(ISBLANK(Лист1!H274),"",Лист1!H274)</f>
        <v/>
      </c>
      <c r="I274" s="5" t="str">
        <f>IF(ISBLANK(Лист1!I274),"",Лист1!I274)</f>
        <v/>
      </c>
      <c r="J274" s="5" t="str">
        <f>IF(ISBLANK(Лист1!J274),"",Лист1!J274)</f>
        <v/>
      </c>
      <c r="K274" s="5" t="str">
        <f>IF(ISBLANK(Лист1!K274),"",Лист1!K274)</f>
        <v/>
      </c>
      <c r="L274" s="5" t="str">
        <f>IF(ISBLANK(Лист1!L274),"",Лист1!L274)</f>
        <v/>
      </c>
      <c r="M274" s="5" t="str">
        <f>IF(ISBLANK(Лист1!M274),"",Лист1!M274)</f>
        <v/>
      </c>
      <c r="N274" s="5" t="str">
        <f>IF(ISBLANK(Лист1!N274),"",Лист1!N274)</f>
        <v/>
      </c>
      <c r="O274" s="5" t="str">
        <f>IF(ISBLANK(Лист1!O274),"",Лист1!O274)</f>
        <v/>
      </c>
      <c r="P274" s="5" t="str">
        <f>IF(ISBLANK(Лист1!P274),"",Лист1!P274)</f>
        <v/>
      </c>
      <c r="Q274" s="5" t="str">
        <f>IF(ISBLANK(Лист1!Q274),"",Лист1!Q274)</f>
        <v/>
      </c>
      <c r="R274" s="5" t="str">
        <f>IF(ISBLANK(Лист1!R274),"",Лист1!R274)</f>
        <v/>
      </c>
      <c r="S274" s="5" t="str">
        <f>IF(ISBLANK(Лист1!S274),"",Лист1!S274)</f>
        <v/>
      </c>
      <c r="T274" s="5" t="str">
        <f>IF(ISBLANK(Лист1!T274),"",Лист1!T274)</f>
        <v/>
      </c>
      <c r="U274" s="5" t="str">
        <f>IF(ISBLANK(Лист1!U274),"",Лист1!U274)</f>
        <v/>
      </c>
      <c r="V274" s="5" t="str">
        <f>IF(ISBLANK(Лист1!V274),"",Лист1!V274)</f>
        <v/>
      </c>
      <c r="W274" s="5" t="str">
        <f>IF(ISBLANK(Лист1!W274),"",Лист1!W274)</f>
        <v/>
      </c>
      <c r="X274" s="5" t="str">
        <f>IF(ISBLANK(Лист1!X274),"",Лист1!X274)</f>
        <v/>
      </c>
      <c r="Y274" s="5" t="str">
        <f>IF(ISERROR(VLOOKUP($X274,Лист2!$A$2:$G$498,1,FALSE)),"",VLOOKUP($X274,Лист2!$A$2:$G$498,1,FALSE))</f>
        <v/>
      </c>
      <c r="Z274" s="5" t="str">
        <f>IF(ISERROR(VLOOKUP($X274,Лист2!$A$2:$G$498,5,FALSE)),"",VLOOKUP($X274,Лист2!$A$2:$G$498,5,FALSE))</f>
        <v/>
      </c>
      <c r="AA274" s="5" t="str">
        <f>IF(ISERROR(VLOOKUP($X274,Лист2!$A$2:$G$498,6,FALSE)),"",VLOOKUP($X274,Лист2!$A$2:$G$498,6,FALSE))</f>
        <v/>
      </c>
      <c r="AB274" s="5" t="str">
        <f>IF(ISERROR(VLOOKUP($X274,Лист2!$A$2:$G$498,7,FALSE)),"",VLOOKUP($X274,Лист2!$A$2:$G$498,7,FALSE))</f>
        <v/>
      </c>
    </row>
    <row r="275" spans="1:28" x14ac:dyDescent="0.25">
      <c r="A275" s="5" t="str">
        <f>IF(ISBLANK(Лист1!A275),"",Лист1!A275)</f>
        <v/>
      </c>
      <c r="B275" s="5" t="str">
        <f>IF(ISBLANK(Лист1!B275),"",Лист1!B275)</f>
        <v/>
      </c>
      <c r="C275" s="5" t="str">
        <f>IF(ISBLANK(Лист1!C275),"",Лист1!C275)</f>
        <v/>
      </c>
      <c r="D275" s="5" t="str">
        <f>IF(ISBLANK(Лист1!D275),"",Лист1!D275)</f>
        <v/>
      </c>
      <c r="E275" s="5" t="str">
        <f>IF(ISBLANK(Лист1!E275),"",Лист1!E275)</f>
        <v/>
      </c>
      <c r="F275" s="5" t="str">
        <f>IF(ISBLANK(Лист1!F275),"",Лист1!F275)</f>
        <v/>
      </c>
      <c r="G275" s="5" t="str">
        <f>IF(ISBLANK(Лист1!G275),"",Лист1!G275)</f>
        <v/>
      </c>
      <c r="H275" s="5" t="str">
        <f>IF(ISBLANK(Лист1!H275),"",Лист1!H275)</f>
        <v/>
      </c>
      <c r="I275" s="5" t="str">
        <f>IF(ISBLANK(Лист1!I275),"",Лист1!I275)</f>
        <v/>
      </c>
      <c r="J275" s="5" t="str">
        <f>IF(ISBLANK(Лист1!J275),"",Лист1!J275)</f>
        <v/>
      </c>
      <c r="K275" s="5" t="str">
        <f>IF(ISBLANK(Лист1!K275),"",Лист1!K275)</f>
        <v/>
      </c>
      <c r="L275" s="5" t="str">
        <f>IF(ISBLANK(Лист1!L275),"",Лист1!L275)</f>
        <v/>
      </c>
      <c r="M275" s="5" t="str">
        <f>IF(ISBLANK(Лист1!M275),"",Лист1!M275)</f>
        <v/>
      </c>
      <c r="N275" s="5" t="str">
        <f>IF(ISBLANK(Лист1!N275),"",Лист1!N275)</f>
        <v/>
      </c>
      <c r="O275" s="5" t="str">
        <f>IF(ISBLANK(Лист1!O275),"",Лист1!O275)</f>
        <v/>
      </c>
      <c r="P275" s="5" t="str">
        <f>IF(ISBLANK(Лист1!P275),"",Лист1!P275)</f>
        <v/>
      </c>
      <c r="Q275" s="5" t="str">
        <f>IF(ISBLANK(Лист1!Q275),"",Лист1!Q275)</f>
        <v/>
      </c>
      <c r="R275" s="5" t="str">
        <f>IF(ISBLANK(Лист1!R275),"",Лист1!R275)</f>
        <v/>
      </c>
      <c r="S275" s="5" t="str">
        <f>IF(ISBLANK(Лист1!S275),"",Лист1!S275)</f>
        <v/>
      </c>
      <c r="T275" s="5" t="str">
        <f>IF(ISBLANK(Лист1!T275),"",Лист1!T275)</f>
        <v/>
      </c>
      <c r="U275" s="5" t="str">
        <f>IF(ISBLANK(Лист1!U275),"",Лист1!U275)</f>
        <v/>
      </c>
      <c r="V275" s="5" t="str">
        <f>IF(ISBLANK(Лист1!V275),"",Лист1!V275)</f>
        <v/>
      </c>
      <c r="W275" s="5" t="str">
        <f>IF(ISBLANK(Лист1!W275),"",Лист1!W275)</f>
        <v/>
      </c>
      <c r="X275" s="5" t="str">
        <f>IF(ISBLANK(Лист1!X275),"",Лист1!X275)</f>
        <v/>
      </c>
      <c r="Y275" s="5" t="str">
        <f>IF(ISERROR(VLOOKUP($X275,Лист2!$A$2:$G$498,1,FALSE)),"",VLOOKUP($X275,Лист2!$A$2:$G$498,1,FALSE))</f>
        <v/>
      </c>
      <c r="Z275" s="5" t="str">
        <f>IF(ISERROR(VLOOKUP($X275,Лист2!$A$2:$G$498,5,FALSE)),"",VLOOKUP($X275,Лист2!$A$2:$G$498,5,FALSE))</f>
        <v/>
      </c>
      <c r="AA275" s="5" t="str">
        <f>IF(ISERROR(VLOOKUP($X275,Лист2!$A$2:$G$498,6,FALSE)),"",VLOOKUP($X275,Лист2!$A$2:$G$498,6,FALSE))</f>
        <v/>
      </c>
      <c r="AB275" s="5" t="str">
        <f>IF(ISERROR(VLOOKUP($X275,Лист2!$A$2:$G$498,7,FALSE)),"",VLOOKUP($X275,Лист2!$A$2:$G$498,7,FALSE))</f>
        <v/>
      </c>
    </row>
    <row r="276" spans="1:28" x14ac:dyDescent="0.25">
      <c r="A276" s="5" t="str">
        <f>IF(ISBLANK(Лист1!A276),"",Лист1!A276)</f>
        <v/>
      </c>
      <c r="B276" s="5" t="str">
        <f>IF(ISBLANK(Лист1!B276),"",Лист1!B276)</f>
        <v/>
      </c>
      <c r="C276" s="5" t="str">
        <f>IF(ISBLANK(Лист1!C276),"",Лист1!C276)</f>
        <v/>
      </c>
      <c r="D276" s="5" t="str">
        <f>IF(ISBLANK(Лист1!D276),"",Лист1!D276)</f>
        <v/>
      </c>
      <c r="E276" s="5" t="str">
        <f>IF(ISBLANK(Лист1!E276),"",Лист1!E276)</f>
        <v/>
      </c>
      <c r="F276" s="5" t="str">
        <f>IF(ISBLANK(Лист1!F276),"",Лист1!F276)</f>
        <v/>
      </c>
      <c r="G276" s="5" t="str">
        <f>IF(ISBLANK(Лист1!G276),"",Лист1!G276)</f>
        <v/>
      </c>
      <c r="H276" s="5" t="str">
        <f>IF(ISBLANK(Лист1!H276),"",Лист1!H276)</f>
        <v/>
      </c>
      <c r="I276" s="5" t="str">
        <f>IF(ISBLANK(Лист1!I276),"",Лист1!I276)</f>
        <v/>
      </c>
      <c r="J276" s="5" t="str">
        <f>IF(ISBLANK(Лист1!J276),"",Лист1!J276)</f>
        <v/>
      </c>
      <c r="K276" s="5" t="str">
        <f>IF(ISBLANK(Лист1!K276),"",Лист1!K276)</f>
        <v/>
      </c>
      <c r="L276" s="5" t="str">
        <f>IF(ISBLANK(Лист1!L276),"",Лист1!L276)</f>
        <v/>
      </c>
      <c r="M276" s="5" t="str">
        <f>IF(ISBLANK(Лист1!M276),"",Лист1!M276)</f>
        <v/>
      </c>
      <c r="N276" s="5" t="str">
        <f>IF(ISBLANK(Лист1!N276),"",Лист1!N276)</f>
        <v/>
      </c>
      <c r="O276" s="5" t="str">
        <f>IF(ISBLANK(Лист1!O276),"",Лист1!O276)</f>
        <v/>
      </c>
      <c r="P276" s="5" t="str">
        <f>IF(ISBLANK(Лист1!P276),"",Лист1!P276)</f>
        <v/>
      </c>
      <c r="Q276" s="5" t="str">
        <f>IF(ISBLANK(Лист1!Q276),"",Лист1!Q276)</f>
        <v/>
      </c>
      <c r="R276" s="5" t="str">
        <f>IF(ISBLANK(Лист1!R276),"",Лист1!R276)</f>
        <v/>
      </c>
      <c r="S276" s="5" t="str">
        <f>IF(ISBLANK(Лист1!S276),"",Лист1!S276)</f>
        <v/>
      </c>
      <c r="T276" s="5" t="str">
        <f>IF(ISBLANK(Лист1!T276),"",Лист1!T276)</f>
        <v/>
      </c>
      <c r="U276" s="5" t="str">
        <f>IF(ISBLANK(Лист1!U276),"",Лист1!U276)</f>
        <v/>
      </c>
      <c r="V276" s="5" t="str">
        <f>IF(ISBLANK(Лист1!V276),"",Лист1!V276)</f>
        <v/>
      </c>
      <c r="W276" s="5" t="str">
        <f>IF(ISBLANK(Лист1!W276),"",Лист1!W276)</f>
        <v/>
      </c>
      <c r="X276" s="5" t="str">
        <f>IF(ISBLANK(Лист1!X276),"",Лист1!X276)</f>
        <v/>
      </c>
      <c r="Y276" s="5" t="str">
        <f>IF(ISERROR(VLOOKUP($X276,Лист2!$A$2:$G$498,1,FALSE)),"",VLOOKUP($X276,Лист2!$A$2:$G$498,1,FALSE))</f>
        <v/>
      </c>
      <c r="Z276" s="5" t="str">
        <f>IF(ISERROR(VLOOKUP($X276,Лист2!$A$2:$G$498,5,FALSE)),"",VLOOKUP($X276,Лист2!$A$2:$G$498,5,FALSE))</f>
        <v/>
      </c>
      <c r="AA276" s="5" t="str">
        <f>IF(ISERROR(VLOOKUP($X276,Лист2!$A$2:$G$498,6,FALSE)),"",VLOOKUP($X276,Лист2!$A$2:$G$498,6,FALSE))</f>
        <v/>
      </c>
      <c r="AB276" s="5" t="str">
        <f>IF(ISERROR(VLOOKUP($X276,Лист2!$A$2:$G$498,7,FALSE)),"",VLOOKUP($X276,Лист2!$A$2:$G$498,7,FALSE))</f>
        <v/>
      </c>
    </row>
    <row r="277" spans="1:28" x14ac:dyDescent="0.25">
      <c r="A277" s="5" t="str">
        <f>IF(ISBLANK(Лист1!A277),"",Лист1!A277)</f>
        <v/>
      </c>
      <c r="B277" s="5" t="str">
        <f>IF(ISBLANK(Лист1!B277),"",Лист1!B277)</f>
        <v/>
      </c>
      <c r="C277" s="5" t="str">
        <f>IF(ISBLANK(Лист1!C277),"",Лист1!C277)</f>
        <v/>
      </c>
      <c r="D277" s="5" t="str">
        <f>IF(ISBLANK(Лист1!D277),"",Лист1!D277)</f>
        <v/>
      </c>
      <c r="E277" s="5" t="str">
        <f>IF(ISBLANK(Лист1!E277),"",Лист1!E277)</f>
        <v/>
      </c>
      <c r="F277" s="5" t="str">
        <f>IF(ISBLANK(Лист1!F277),"",Лист1!F277)</f>
        <v/>
      </c>
      <c r="G277" s="5" t="str">
        <f>IF(ISBLANK(Лист1!G277),"",Лист1!G277)</f>
        <v/>
      </c>
      <c r="H277" s="5" t="str">
        <f>IF(ISBLANK(Лист1!H277),"",Лист1!H277)</f>
        <v/>
      </c>
      <c r="I277" s="5" t="str">
        <f>IF(ISBLANK(Лист1!I277),"",Лист1!I277)</f>
        <v/>
      </c>
      <c r="J277" s="5" t="str">
        <f>IF(ISBLANK(Лист1!J277),"",Лист1!J277)</f>
        <v/>
      </c>
      <c r="K277" s="5" t="str">
        <f>IF(ISBLANK(Лист1!K277),"",Лист1!K277)</f>
        <v/>
      </c>
      <c r="L277" s="5" t="str">
        <f>IF(ISBLANK(Лист1!L277),"",Лист1!L277)</f>
        <v/>
      </c>
      <c r="M277" s="5" t="str">
        <f>IF(ISBLANK(Лист1!M277),"",Лист1!M277)</f>
        <v/>
      </c>
      <c r="N277" s="5" t="str">
        <f>IF(ISBLANK(Лист1!N277),"",Лист1!N277)</f>
        <v/>
      </c>
      <c r="O277" s="5" t="str">
        <f>IF(ISBLANK(Лист1!O277),"",Лист1!O277)</f>
        <v/>
      </c>
      <c r="P277" s="5" t="str">
        <f>IF(ISBLANK(Лист1!P277),"",Лист1!P277)</f>
        <v/>
      </c>
      <c r="Q277" s="5" t="str">
        <f>IF(ISBLANK(Лист1!Q277),"",Лист1!Q277)</f>
        <v/>
      </c>
      <c r="R277" s="5" t="str">
        <f>IF(ISBLANK(Лист1!R277),"",Лист1!R277)</f>
        <v/>
      </c>
      <c r="S277" s="5" t="str">
        <f>IF(ISBLANK(Лист1!S277),"",Лист1!S277)</f>
        <v/>
      </c>
      <c r="T277" s="5" t="str">
        <f>IF(ISBLANK(Лист1!T277),"",Лист1!T277)</f>
        <v/>
      </c>
      <c r="U277" s="5" t="str">
        <f>IF(ISBLANK(Лист1!U277),"",Лист1!U277)</f>
        <v/>
      </c>
      <c r="V277" s="5" t="str">
        <f>IF(ISBLANK(Лист1!V277),"",Лист1!V277)</f>
        <v/>
      </c>
      <c r="W277" s="5" t="str">
        <f>IF(ISBLANK(Лист1!W277),"",Лист1!W277)</f>
        <v/>
      </c>
      <c r="X277" s="5" t="str">
        <f>IF(ISBLANK(Лист1!X277),"",Лист1!X277)</f>
        <v/>
      </c>
      <c r="Y277" s="5" t="str">
        <f>IF(ISERROR(VLOOKUP($X277,Лист2!$A$2:$G$498,1,FALSE)),"",VLOOKUP($X277,Лист2!$A$2:$G$498,1,FALSE))</f>
        <v/>
      </c>
      <c r="Z277" s="5" t="str">
        <f>IF(ISERROR(VLOOKUP($X277,Лист2!$A$2:$G$498,5,FALSE)),"",VLOOKUP($X277,Лист2!$A$2:$G$498,5,FALSE))</f>
        <v/>
      </c>
      <c r="AA277" s="5" t="str">
        <f>IF(ISERROR(VLOOKUP($X277,Лист2!$A$2:$G$498,6,FALSE)),"",VLOOKUP($X277,Лист2!$A$2:$G$498,6,FALSE))</f>
        <v/>
      </c>
      <c r="AB277" s="5" t="str">
        <f>IF(ISERROR(VLOOKUP($X277,Лист2!$A$2:$G$498,7,FALSE)),"",VLOOKUP($X277,Лист2!$A$2:$G$498,7,FALSE))</f>
        <v/>
      </c>
    </row>
    <row r="278" spans="1:28" x14ac:dyDescent="0.25">
      <c r="A278" s="5" t="str">
        <f>IF(ISBLANK(Лист1!A278),"",Лист1!A278)</f>
        <v/>
      </c>
      <c r="B278" s="5" t="str">
        <f>IF(ISBLANK(Лист1!B278),"",Лист1!B278)</f>
        <v/>
      </c>
      <c r="C278" s="5" t="str">
        <f>IF(ISBLANK(Лист1!C278),"",Лист1!C278)</f>
        <v/>
      </c>
      <c r="D278" s="5" t="str">
        <f>IF(ISBLANK(Лист1!D278),"",Лист1!D278)</f>
        <v/>
      </c>
      <c r="E278" s="5" t="str">
        <f>IF(ISBLANK(Лист1!E278),"",Лист1!E278)</f>
        <v/>
      </c>
      <c r="F278" s="5" t="str">
        <f>IF(ISBLANK(Лист1!F278),"",Лист1!F278)</f>
        <v/>
      </c>
      <c r="G278" s="5" t="str">
        <f>IF(ISBLANK(Лист1!G278),"",Лист1!G278)</f>
        <v/>
      </c>
      <c r="H278" s="5" t="str">
        <f>IF(ISBLANK(Лист1!H278),"",Лист1!H278)</f>
        <v/>
      </c>
      <c r="I278" s="5" t="str">
        <f>IF(ISBLANK(Лист1!I278),"",Лист1!I278)</f>
        <v/>
      </c>
      <c r="J278" s="5" t="str">
        <f>IF(ISBLANK(Лист1!J278),"",Лист1!J278)</f>
        <v/>
      </c>
      <c r="K278" s="5" t="str">
        <f>IF(ISBLANK(Лист1!K278),"",Лист1!K278)</f>
        <v/>
      </c>
      <c r="L278" s="5" t="str">
        <f>IF(ISBLANK(Лист1!L278),"",Лист1!L278)</f>
        <v/>
      </c>
      <c r="M278" s="5" t="str">
        <f>IF(ISBLANK(Лист1!M278),"",Лист1!M278)</f>
        <v/>
      </c>
      <c r="N278" s="5" t="str">
        <f>IF(ISBLANK(Лист1!N278),"",Лист1!N278)</f>
        <v/>
      </c>
      <c r="O278" s="5" t="str">
        <f>IF(ISBLANK(Лист1!O278),"",Лист1!O278)</f>
        <v/>
      </c>
      <c r="P278" s="5" t="str">
        <f>IF(ISBLANK(Лист1!P278),"",Лист1!P278)</f>
        <v/>
      </c>
      <c r="Q278" s="5" t="str">
        <f>IF(ISBLANK(Лист1!Q278),"",Лист1!Q278)</f>
        <v/>
      </c>
      <c r="R278" s="5" t="str">
        <f>IF(ISBLANK(Лист1!R278),"",Лист1!R278)</f>
        <v/>
      </c>
      <c r="S278" s="5" t="str">
        <f>IF(ISBLANK(Лист1!S278),"",Лист1!S278)</f>
        <v/>
      </c>
      <c r="T278" s="5" t="str">
        <f>IF(ISBLANK(Лист1!T278),"",Лист1!T278)</f>
        <v/>
      </c>
      <c r="U278" s="5" t="str">
        <f>IF(ISBLANK(Лист1!U278),"",Лист1!U278)</f>
        <v/>
      </c>
      <c r="V278" s="5" t="str">
        <f>IF(ISBLANK(Лист1!V278),"",Лист1!V278)</f>
        <v/>
      </c>
      <c r="W278" s="5" t="str">
        <f>IF(ISBLANK(Лист1!W278),"",Лист1!W278)</f>
        <v/>
      </c>
      <c r="X278" s="5" t="str">
        <f>IF(ISBLANK(Лист1!X278),"",Лист1!X278)</f>
        <v/>
      </c>
      <c r="Y278" s="5" t="str">
        <f>IF(ISERROR(VLOOKUP($X278,Лист2!$A$2:$G$498,1,FALSE)),"",VLOOKUP($X278,Лист2!$A$2:$G$498,1,FALSE))</f>
        <v/>
      </c>
      <c r="Z278" s="5" t="str">
        <f>IF(ISERROR(VLOOKUP($X278,Лист2!$A$2:$G$498,5,FALSE)),"",VLOOKUP($X278,Лист2!$A$2:$G$498,5,FALSE))</f>
        <v/>
      </c>
      <c r="AA278" s="5" t="str">
        <f>IF(ISERROR(VLOOKUP($X278,Лист2!$A$2:$G$498,6,FALSE)),"",VLOOKUP($X278,Лист2!$A$2:$G$498,6,FALSE))</f>
        <v/>
      </c>
      <c r="AB278" s="5" t="str">
        <f>IF(ISERROR(VLOOKUP($X278,Лист2!$A$2:$G$498,7,FALSE)),"",VLOOKUP($X278,Лист2!$A$2:$G$498,7,FALSE))</f>
        <v/>
      </c>
    </row>
    <row r="279" spans="1:28" x14ac:dyDescent="0.25">
      <c r="A279" s="5" t="str">
        <f>IF(ISBLANK(Лист1!A279),"",Лист1!A279)</f>
        <v/>
      </c>
      <c r="B279" s="5" t="str">
        <f>IF(ISBLANK(Лист1!B279),"",Лист1!B279)</f>
        <v/>
      </c>
      <c r="C279" s="5" t="str">
        <f>IF(ISBLANK(Лист1!C279),"",Лист1!C279)</f>
        <v/>
      </c>
      <c r="D279" s="5" t="str">
        <f>IF(ISBLANK(Лист1!D279),"",Лист1!D279)</f>
        <v/>
      </c>
      <c r="E279" s="5" t="str">
        <f>IF(ISBLANK(Лист1!E279),"",Лист1!E279)</f>
        <v/>
      </c>
      <c r="F279" s="5" t="str">
        <f>IF(ISBLANK(Лист1!F279),"",Лист1!F279)</f>
        <v/>
      </c>
      <c r="G279" s="5" t="str">
        <f>IF(ISBLANK(Лист1!G279),"",Лист1!G279)</f>
        <v/>
      </c>
      <c r="H279" s="5" t="str">
        <f>IF(ISBLANK(Лист1!H279),"",Лист1!H279)</f>
        <v/>
      </c>
      <c r="I279" s="5" t="str">
        <f>IF(ISBLANK(Лист1!I279),"",Лист1!I279)</f>
        <v/>
      </c>
      <c r="J279" s="5" t="str">
        <f>IF(ISBLANK(Лист1!J279),"",Лист1!J279)</f>
        <v/>
      </c>
      <c r="K279" s="5" t="str">
        <f>IF(ISBLANK(Лист1!K279),"",Лист1!K279)</f>
        <v/>
      </c>
      <c r="L279" s="5" t="str">
        <f>IF(ISBLANK(Лист1!L279),"",Лист1!L279)</f>
        <v/>
      </c>
      <c r="M279" s="5" t="str">
        <f>IF(ISBLANK(Лист1!M279),"",Лист1!M279)</f>
        <v/>
      </c>
      <c r="N279" s="5" t="str">
        <f>IF(ISBLANK(Лист1!N279),"",Лист1!N279)</f>
        <v/>
      </c>
      <c r="O279" s="5" t="str">
        <f>IF(ISBLANK(Лист1!O279),"",Лист1!O279)</f>
        <v/>
      </c>
      <c r="P279" s="5" t="str">
        <f>IF(ISBLANK(Лист1!P279),"",Лист1!P279)</f>
        <v/>
      </c>
      <c r="Q279" s="5" t="str">
        <f>IF(ISBLANK(Лист1!Q279),"",Лист1!Q279)</f>
        <v/>
      </c>
      <c r="R279" s="5" t="str">
        <f>IF(ISBLANK(Лист1!R279),"",Лист1!R279)</f>
        <v/>
      </c>
      <c r="S279" s="5" t="str">
        <f>IF(ISBLANK(Лист1!S279),"",Лист1!S279)</f>
        <v/>
      </c>
      <c r="T279" s="5" t="str">
        <f>IF(ISBLANK(Лист1!T279),"",Лист1!T279)</f>
        <v/>
      </c>
      <c r="U279" s="5" t="str">
        <f>IF(ISBLANK(Лист1!U279),"",Лист1!U279)</f>
        <v/>
      </c>
      <c r="V279" s="5" t="str">
        <f>IF(ISBLANK(Лист1!V279),"",Лист1!V279)</f>
        <v/>
      </c>
      <c r="W279" s="5" t="str">
        <f>IF(ISBLANK(Лист1!W279),"",Лист1!W279)</f>
        <v/>
      </c>
      <c r="X279" s="5" t="str">
        <f>IF(ISBLANK(Лист1!X279),"",Лист1!X279)</f>
        <v/>
      </c>
      <c r="Y279" s="5" t="str">
        <f>IF(ISERROR(VLOOKUP($X279,Лист2!$A$2:$G$498,1,FALSE)),"",VLOOKUP($X279,Лист2!$A$2:$G$498,1,FALSE))</f>
        <v/>
      </c>
      <c r="Z279" s="5" t="str">
        <f>IF(ISERROR(VLOOKUP($X279,Лист2!$A$2:$G$498,5,FALSE)),"",VLOOKUP($X279,Лист2!$A$2:$G$498,5,FALSE))</f>
        <v/>
      </c>
      <c r="AA279" s="5" t="str">
        <f>IF(ISERROR(VLOOKUP($X279,Лист2!$A$2:$G$498,6,FALSE)),"",VLOOKUP($X279,Лист2!$A$2:$G$498,6,FALSE))</f>
        <v/>
      </c>
      <c r="AB279" s="5" t="str">
        <f>IF(ISERROR(VLOOKUP($X279,Лист2!$A$2:$G$498,7,FALSE)),"",VLOOKUP($X279,Лист2!$A$2:$G$498,7,FALSE))</f>
        <v/>
      </c>
    </row>
    <row r="280" spans="1:28" x14ac:dyDescent="0.25">
      <c r="A280" s="5" t="str">
        <f>IF(ISBLANK(Лист1!A280),"",Лист1!A280)</f>
        <v/>
      </c>
      <c r="B280" s="5" t="str">
        <f>IF(ISBLANK(Лист1!B280),"",Лист1!B280)</f>
        <v/>
      </c>
      <c r="C280" s="5" t="str">
        <f>IF(ISBLANK(Лист1!C280),"",Лист1!C280)</f>
        <v/>
      </c>
      <c r="D280" s="5" t="str">
        <f>IF(ISBLANK(Лист1!D280),"",Лист1!D280)</f>
        <v/>
      </c>
      <c r="E280" s="5" t="str">
        <f>IF(ISBLANK(Лист1!E280),"",Лист1!E280)</f>
        <v/>
      </c>
      <c r="F280" s="5" t="str">
        <f>IF(ISBLANK(Лист1!F280),"",Лист1!F280)</f>
        <v/>
      </c>
      <c r="G280" s="5" t="str">
        <f>IF(ISBLANK(Лист1!G280),"",Лист1!G280)</f>
        <v/>
      </c>
      <c r="H280" s="5" t="str">
        <f>IF(ISBLANK(Лист1!H280),"",Лист1!H280)</f>
        <v/>
      </c>
      <c r="I280" s="5" t="str">
        <f>IF(ISBLANK(Лист1!I280),"",Лист1!I280)</f>
        <v/>
      </c>
      <c r="J280" s="5" t="str">
        <f>IF(ISBLANK(Лист1!J280),"",Лист1!J280)</f>
        <v/>
      </c>
      <c r="K280" s="5" t="str">
        <f>IF(ISBLANK(Лист1!K280),"",Лист1!K280)</f>
        <v/>
      </c>
      <c r="L280" s="5" t="str">
        <f>IF(ISBLANK(Лист1!L280),"",Лист1!L280)</f>
        <v/>
      </c>
      <c r="M280" s="5" t="str">
        <f>IF(ISBLANK(Лист1!M280),"",Лист1!M280)</f>
        <v/>
      </c>
      <c r="N280" s="5" t="str">
        <f>IF(ISBLANK(Лист1!N280),"",Лист1!N280)</f>
        <v/>
      </c>
      <c r="O280" s="5" t="str">
        <f>IF(ISBLANK(Лист1!O280),"",Лист1!O280)</f>
        <v/>
      </c>
      <c r="P280" s="5" t="str">
        <f>IF(ISBLANK(Лист1!P280),"",Лист1!P280)</f>
        <v/>
      </c>
      <c r="Q280" s="5" t="str">
        <f>IF(ISBLANK(Лист1!Q280),"",Лист1!Q280)</f>
        <v/>
      </c>
      <c r="R280" s="5" t="str">
        <f>IF(ISBLANK(Лист1!R280),"",Лист1!R280)</f>
        <v/>
      </c>
      <c r="S280" s="5" t="str">
        <f>IF(ISBLANK(Лист1!S280),"",Лист1!S280)</f>
        <v/>
      </c>
      <c r="T280" s="5" t="str">
        <f>IF(ISBLANK(Лист1!T280),"",Лист1!T280)</f>
        <v/>
      </c>
      <c r="U280" s="5" t="str">
        <f>IF(ISBLANK(Лист1!U280),"",Лист1!U280)</f>
        <v/>
      </c>
      <c r="V280" s="5" t="str">
        <f>IF(ISBLANK(Лист1!V280),"",Лист1!V280)</f>
        <v/>
      </c>
      <c r="W280" s="5" t="str">
        <f>IF(ISBLANK(Лист1!W280),"",Лист1!W280)</f>
        <v/>
      </c>
      <c r="X280" s="5" t="str">
        <f>IF(ISBLANK(Лист1!X280),"",Лист1!X280)</f>
        <v/>
      </c>
      <c r="Y280" s="5" t="str">
        <f>IF(ISERROR(VLOOKUP($X280,Лист2!$A$2:$G$498,1,FALSE)),"",VLOOKUP($X280,Лист2!$A$2:$G$498,1,FALSE))</f>
        <v/>
      </c>
      <c r="Z280" s="5" t="str">
        <f>IF(ISERROR(VLOOKUP($X280,Лист2!$A$2:$G$498,5,FALSE)),"",VLOOKUP($X280,Лист2!$A$2:$G$498,5,FALSE))</f>
        <v/>
      </c>
      <c r="AA280" s="5" t="str">
        <f>IF(ISERROR(VLOOKUP($X280,Лист2!$A$2:$G$498,6,FALSE)),"",VLOOKUP($X280,Лист2!$A$2:$G$498,6,FALSE))</f>
        <v/>
      </c>
      <c r="AB280" s="5" t="str">
        <f>IF(ISERROR(VLOOKUP($X280,Лист2!$A$2:$G$498,7,FALSE)),"",VLOOKUP($X280,Лист2!$A$2:$G$498,7,FALSE))</f>
        <v/>
      </c>
    </row>
    <row r="281" spans="1:28" x14ac:dyDescent="0.25">
      <c r="A281" s="5" t="str">
        <f>IF(ISBLANK(Лист1!A281),"",Лист1!A281)</f>
        <v/>
      </c>
      <c r="B281" s="5" t="str">
        <f>IF(ISBLANK(Лист1!B281),"",Лист1!B281)</f>
        <v/>
      </c>
      <c r="C281" s="5" t="str">
        <f>IF(ISBLANK(Лист1!C281),"",Лист1!C281)</f>
        <v/>
      </c>
      <c r="D281" s="5" t="str">
        <f>IF(ISBLANK(Лист1!D281),"",Лист1!D281)</f>
        <v/>
      </c>
      <c r="E281" s="5" t="str">
        <f>IF(ISBLANK(Лист1!E281),"",Лист1!E281)</f>
        <v/>
      </c>
      <c r="F281" s="5" t="str">
        <f>IF(ISBLANK(Лист1!F281),"",Лист1!F281)</f>
        <v/>
      </c>
      <c r="G281" s="5" t="str">
        <f>IF(ISBLANK(Лист1!G281),"",Лист1!G281)</f>
        <v/>
      </c>
      <c r="H281" s="5" t="str">
        <f>IF(ISBLANK(Лист1!H281),"",Лист1!H281)</f>
        <v/>
      </c>
      <c r="I281" s="5" t="str">
        <f>IF(ISBLANK(Лист1!I281),"",Лист1!I281)</f>
        <v/>
      </c>
      <c r="J281" s="5" t="str">
        <f>IF(ISBLANK(Лист1!J281),"",Лист1!J281)</f>
        <v/>
      </c>
      <c r="K281" s="5" t="str">
        <f>IF(ISBLANK(Лист1!K281),"",Лист1!K281)</f>
        <v/>
      </c>
      <c r="L281" s="5" t="str">
        <f>IF(ISBLANK(Лист1!L281),"",Лист1!L281)</f>
        <v/>
      </c>
      <c r="M281" s="5" t="str">
        <f>IF(ISBLANK(Лист1!M281),"",Лист1!M281)</f>
        <v/>
      </c>
      <c r="N281" s="5" t="str">
        <f>IF(ISBLANK(Лист1!N281),"",Лист1!N281)</f>
        <v/>
      </c>
      <c r="O281" s="5" t="str">
        <f>IF(ISBLANK(Лист1!O281),"",Лист1!O281)</f>
        <v/>
      </c>
      <c r="P281" s="5" t="str">
        <f>IF(ISBLANK(Лист1!P281),"",Лист1!P281)</f>
        <v/>
      </c>
      <c r="Q281" s="5" t="str">
        <f>IF(ISBLANK(Лист1!Q281),"",Лист1!Q281)</f>
        <v/>
      </c>
      <c r="R281" s="5" t="str">
        <f>IF(ISBLANK(Лист1!R281),"",Лист1!R281)</f>
        <v/>
      </c>
      <c r="S281" s="5" t="str">
        <f>IF(ISBLANK(Лист1!S281),"",Лист1!S281)</f>
        <v/>
      </c>
      <c r="T281" s="5" t="str">
        <f>IF(ISBLANK(Лист1!T281),"",Лист1!T281)</f>
        <v/>
      </c>
      <c r="U281" s="5" t="str">
        <f>IF(ISBLANK(Лист1!U281),"",Лист1!U281)</f>
        <v/>
      </c>
      <c r="V281" s="5" t="str">
        <f>IF(ISBLANK(Лист1!V281),"",Лист1!V281)</f>
        <v/>
      </c>
      <c r="W281" s="5" t="str">
        <f>IF(ISBLANK(Лист1!W281),"",Лист1!W281)</f>
        <v/>
      </c>
      <c r="X281" s="5" t="str">
        <f>IF(ISBLANK(Лист1!X281),"",Лист1!X281)</f>
        <v/>
      </c>
      <c r="Y281" s="5" t="str">
        <f>IF(ISERROR(VLOOKUP($X281,Лист2!$A$2:$G$498,1,FALSE)),"",VLOOKUP($X281,Лист2!$A$2:$G$498,1,FALSE))</f>
        <v/>
      </c>
      <c r="Z281" s="5" t="str">
        <f>IF(ISERROR(VLOOKUP($X281,Лист2!$A$2:$G$498,5,FALSE)),"",VLOOKUP($X281,Лист2!$A$2:$G$498,5,FALSE))</f>
        <v/>
      </c>
      <c r="AA281" s="5" t="str">
        <f>IF(ISERROR(VLOOKUP($X281,Лист2!$A$2:$G$498,6,FALSE)),"",VLOOKUP($X281,Лист2!$A$2:$G$498,6,FALSE))</f>
        <v/>
      </c>
      <c r="AB281" s="5" t="str">
        <f>IF(ISERROR(VLOOKUP($X281,Лист2!$A$2:$G$498,7,FALSE)),"",VLOOKUP($X281,Лист2!$A$2:$G$498,7,FALSE))</f>
        <v/>
      </c>
    </row>
    <row r="282" spans="1:28" x14ac:dyDescent="0.25">
      <c r="A282" s="5" t="str">
        <f>IF(ISBLANK(Лист1!A282),"",Лист1!A282)</f>
        <v/>
      </c>
      <c r="B282" s="5" t="str">
        <f>IF(ISBLANK(Лист1!B282),"",Лист1!B282)</f>
        <v/>
      </c>
      <c r="C282" s="5" t="str">
        <f>IF(ISBLANK(Лист1!C282),"",Лист1!C282)</f>
        <v/>
      </c>
      <c r="D282" s="5" t="str">
        <f>IF(ISBLANK(Лист1!D282),"",Лист1!D282)</f>
        <v/>
      </c>
      <c r="E282" s="5" t="str">
        <f>IF(ISBLANK(Лист1!E282),"",Лист1!E282)</f>
        <v/>
      </c>
      <c r="F282" s="5" t="str">
        <f>IF(ISBLANK(Лист1!F282),"",Лист1!F282)</f>
        <v/>
      </c>
      <c r="G282" s="5" t="str">
        <f>IF(ISBLANK(Лист1!G282),"",Лист1!G282)</f>
        <v/>
      </c>
      <c r="H282" s="5" t="str">
        <f>IF(ISBLANK(Лист1!H282),"",Лист1!H282)</f>
        <v/>
      </c>
      <c r="I282" s="5" t="str">
        <f>IF(ISBLANK(Лист1!I282),"",Лист1!I282)</f>
        <v/>
      </c>
      <c r="J282" s="5" t="str">
        <f>IF(ISBLANK(Лист1!J282),"",Лист1!J282)</f>
        <v/>
      </c>
      <c r="K282" s="5" t="str">
        <f>IF(ISBLANK(Лист1!K282),"",Лист1!K282)</f>
        <v/>
      </c>
      <c r="L282" s="5" t="str">
        <f>IF(ISBLANK(Лист1!L282),"",Лист1!L282)</f>
        <v/>
      </c>
      <c r="M282" s="5" t="str">
        <f>IF(ISBLANK(Лист1!M282),"",Лист1!M282)</f>
        <v/>
      </c>
      <c r="N282" s="5" t="str">
        <f>IF(ISBLANK(Лист1!N282),"",Лист1!N282)</f>
        <v/>
      </c>
      <c r="O282" s="5" t="str">
        <f>IF(ISBLANK(Лист1!O282),"",Лист1!O282)</f>
        <v/>
      </c>
      <c r="P282" s="5" t="str">
        <f>IF(ISBLANK(Лист1!P282),"",Лист1!P282)</f>
        <v/>
      </c>
      <c r="Q282" s="5" t="str">
        <f>IF(ISBLANK(Лист1!Q282),"",Лист1!Q282)</f>
        <v/>
      </c>
      <c r="R282" s="5" t="str">
        <f>IF(ISBLANK(Лист1!R282),"",Лист1!R282)</f>
        <v/>
      </c>
      <c r="S282" s="5" t="str">
        <f>IF(ISBLANK(Лист1!S282),"",Лист1!S282)</f>
        <v/>
      </c>
      <c r="T282" s="5" t="str">
        <f>IF(ISBLANK(Лист1!T282),"",Лист1!T282)</f>
        <v/>
      </c>
      <c r="U282" s="5" t="str">
        <f>IF(ISBLANK(Лист1!U282),"",Лист1!U282)</f>
        <v/>
      </c>
      <c r="V282" s="5" t="str">
        <f>IF(ISBLANK(Лист1!V282),"",Лист1!V282)</f>
        <v/>
      </c>
      <c r="W282" s="5" t="str">
        <f>IF(ISBLANK(Лист1!W282),"",Лист1!W282)</f>
        <v/>
      </c>
      <c r="X282" s="5" t="str">
        <f>IF(ISBLANK(Лист1!X282),"",Лист1!X282)</f>
        <v/>
      </c>
      <c r="Y282" s="5" t="str">
        <f>IF(ISERROR(VLOOKUP($X282,Лист2!$A$2:$G$498,1,FALSE)),"",VLOOKUP($X282,Лист2!$A$2:$G$498,1,FALSE))</f>
        <v/>
      </c>
      <c r="Z282" s="5" t="str">
        <f>IF(ISERROR(VLOOKUP($X282,Лист2!$A$2:$G$498,5,FALSE)),"",VLOOKUP($X282,Лист2!$A$2:$G$498,5,FALSE))</f>
        <v/>
      </c>
      <c r="AA282" s="5" t="str">
        <f>IF(ISERROR(VLOOKUP($X282,Лист2!$A$2:$G$498,6,FALSE)),"",VLOOKUP($X282,Лист2!$A$2:$G$498,6,FALSE))</f>
        <v/>
      </c>
      <c r="AB282" s="5" t="str">
        <f>IF(ISERROR(VLOOKUP($X282,Лист2!$A$2:$G$498,7,FALSE)),"",VLOOKUP($X282,Лист2!$A$2:$G$498,7,FALSE))</f>
        <v/>
      </c>
    </row>
    <row r="283" spans="1:28" x14ac:dyDescent="0.25">
      <c r="A283" s="5" t="str">
        <f>IF(ISBLANK(Лист1!A283),"",Лист1!A283)</f>
        <v/>
      </c>
      <c r="B283" s="5" t="str">
        <f>IF(ISBLANK(Лист1!B283),"",Лист1!B283)</f>
        <v/>
      </c>
      <c r="C283" s="5" t="str">
        <f>IF(ISBLANK(Лист1!C283),"",Лист1!C283)</f>
        <v/>
      </c>
      <c r="D283" s="5" t="str">
        <f>IF(ISBLANK(Лист1!D283),"",Лист1!D283)</f>
        <v/>
      </c>
      <c r="E283" s="5" t="str">
        <f>IF(ISBLANK(Лист1!E283),"",Лист1!E283)</f>
        <v/>
      </c>
      <c r="F283" s="5" t="str">
        <f>IF(ISBLANK(Лист1!F283),"",Лист1!F283)</f>
        <v/>
      </c>
      <c r="G283" s="5" t="str">
        <f>IF(ISBLANK(Лист1!G283),"",Лист1!G283)</f>
        <v/>
      </c>
      <c r="H283" s="5" t="str">
        <f>IF(ISBLANK(Лист1!H283),"",Лист1!H283)</f>
        <v/>
      </c>
      <c r="I283" s="5" t="str">
        <f>IF(ISBLANK(Лист1!I283),"",Лист1!I283)</f>
        <v/>
      </c>
      <c r="J283" s="5" t="str">
        <f>IF(ISBLANK(Лист1!J283),"",Лист1!J283)</f>
        <v/>
      </c>
      <c r="K283" s="5" t="str">
        <f>IF(ISBLANK(Лист1!K283),"",Лист1!K283)</f>
        <v/>
      </c>
      <c r="L283" s="5" t="str">
        <f>IF(ISBLANK(Лист1!L283),"",Лист1!L283)</f>
        <v/>
      </c>
      <c r="M283" s="5" t="str">
        <f>IF(ISBLANK(Лист1!M283),"",Лист1!M283)</f>
        <v/>
      </c>
      <c r="N283" s="5" t="str">
        <f>IF(ISBLANK(Лист1!N283),"",Лист1!N283)</f>
        <v/>
      </c>
      <c r="O283" s="5" t="str">
        <f>IF(ISBLANK(Лист1!O283),"",Лист1!O283)</f>
        <v/>
      </c>
      <c r="P283" s="5" t="str">
        <f>IF(ISBLANK(Лист1!P283),"",Лист1!P283)</f>
        <v/>
      </c>
      <c r="Q283" s="5" t="str">
        <f>IF(ISBLANK(Лист1!Q283),"",Лист1!Q283)</f>
        <v/>
      </c>
      <c r="R283" s="5" t="str">
        <f>IF(ISBLANK(Лист1!R283),"",Лист1!R283)</f>
        <v/>
      </c>
      <c r="S283" s="5" t="str">
        <f>IF(ISBLANK(Лист1!S283),"",Лист1!S283)</f>
        <v/>
      </c>
      <c r="T283" s="5" t="str">
        <f>IF(ISBLANK(Лист1!T283),"",Лист1!T283)</f>
        <v/>
      </c>
      <c r="U283" s="5" t="str">
        <f>IF(ISBLANK(Лист1!U283),"",Лист1!U283)</f>
        <v/>
      </c>
      <c r="V283" s="5" t="str">
        <f>IF(ISBLANK(Лист1!V283),"",Лист1!V283)</f>
        <v/>
      </c>
      <c r="W283" s="5" t="str">
        <f>IF(ISBLANK(Лист1!W283),"",Лист1!W283)</f>
        <v/>
      </c>
      <c r="X283" s="5" t="str">
        <f>IF(ISBLANK(Лист1!X283),"",Лист1!X283)</f>
        <v/>
      </c>
      <c r="Y283" s="5" t="str">
        <f>IF(ISERROR(VLOOKUP($X283,Лист2!$A$2:$G$498,1,FALSE)),"",VLOOKUP($X283,Лист2!$A$2:$G$498,1,FALSE))</f>
        <v/>
      </c>
      <c r="Z283" s="5" t="str">
        <f>IF(ISERROR(VLOOKUP($X283,Лист2!$A$2:$G$498,5,FALSE)),"",VLOOKUP($X283,Лист2!$A$2:$G$498,5,FALSE))</f>
        <v/>
      </c>
      <c r="AA283" s="5" t="str">
        <f>IF(ISERROR(VLOOKUP($X283,Лист2!$A$2:$G$498,6,FALSE)),"",VLOOKUP($X283,Лист2!$A$2:$G$498,6,FALSE))</f>
        <v/>
      </c>
      <c r="AB283" s="5" t="str">
        <f>IF(ISERROR(VLOOKUP($X283,Лист2!$A$2:$G$498,7,FALSE)),"",VLOOKUP($X283,Лист2!$A$2:$G$498,7,FALSE))</f>
        <v/>
      </c>
    </row>
    <row r="284" spans="1:28" x14ac:dyDescent="0.25">
      <c r="A284" s="5" t="str">
        <f>IF(ISBLANK(Лист1!A284),"",Лист1!A284)</f>
        <v/>
      </c>
      <c r="B284" s="5" t="str">
        <f>IF(ISBLANK(Лист1!B284),"",Лист1!B284)</f>
        <v/>
      </c>
      <c r="C284" s="5" t="str">
        <f>IF(ISBLANK(Лист1!C284),"",Лист1!C284)</f>
        <v/>
      </c>
      <c r="D284" s="5" t="str">
        <f>IF(ISBLANK(Лист1!D284),"",Лист1!D284)</f>
        <v/>
      </c>
      <c r="E284" s="5" t="str">
        <f>IF(ISBLANK(Лист1!E284),"",Лист1!E284)</f>
        <v/>
      </c>
      <c r="F284" s="5" t="str">
        <f>IF(ISBLANK(Лист1!F284),"",Лист1!F284)</f>
        <v/>
      </c>
      <c r="G284" s="5" t="str">
        <f>IF(ISBLANK(Лист1!G284),"",Лист1!G284)</f>
        <v/>
      </c>
      <c r="H284" s="5" t="str">
        <f>IF(ISBLANK(Лист1!H284),"",Лист1!H284)</f>
        <v/>
      </c>
      <c r="I284" s="5" t="str">
        <f>IF(ISBLANK(Лист1!I284),"",Лист1!I284)</f>
        <v/>
      </c>
      <c r="J284" s="5" t="str">
        <f>IF(ISBLANK(Лист1!J284),"",Лист1!J284)</f>
        <v/>
      </c>
      <c r="K284" s="5" t="str">
        <f>IF(ISBLANK(Лист1!K284),"",Лист1!K284)</f>
        <v/>
      </c>
      <c r="L284" s="5" t="str">
        <f>IF(ISBLANK(Лист1!L284),"",Лист1!L284)</f>
        <v/>
      </c>
      <c r="M284" s="5" t="str">
        <f>IF(ISBLANK(Лист1!M284),"",Лист1!M284)</f>
        <v/>
      </c>
      <c r="N284" s="5" t="str">
        <f>IF(ISBLANK(Лист1!N284),"",Лист1!N284)</f>
        <v/>
      </c>
      <c r="O284" s="5" t="str">
        <f>IF(ISBLANK(Лист1!O284),"",Лист1!O284)</f>
        <v/>
      </c>
      <c r="P284" s="5" t="str">
        <f>IF(ISBLANK(Лист1!P284),"",Лист1!P284)</f>
        <v/>
      </c>
      <c r="Q284" s="5" t="str">
        <f>IF(ISBLANK(Лист1!Q284),"",Лист1!Q284)</f>
        <v/>
      </c>
      <c r="R284" s="5" t="str">
        <f>IF(ISBLANK(Лист1!R284),"",Лист1!R284)</f>
        <v/>
      </c>
      <c r="S284" s="5" t="str">
        <f>IF(ISBLANK(Лист1!S284),"",Лист1!S284)</f>
        <v/>
      </c>
      <c r="T284" s="5" t="str">
        <f>IF(ISBLANK(Лист1!T284),"",Лист1!T284)</f>
        <v/>
      </c>
      <c r="U284" s="5" t="str">
        <f>IF(ISBLANK(Лист1!U284),"",Лист1!U284)</f>
        <v/>
      </c>
      <c r="V284" s="5" t="str">
        <f>IF(ISBLANK(Лист1!V284),"",Лист1!V284)</f>
        <v/>
      </c>
      <c r="W284" s="5" t="str">
        <f>IF(ISBLANK(Лист1!W284),"",Лист1!W284)</f>
        <v/>
      </c>
      <c r="X284" s="5" t="str">
        <f>IF(ISBLANK(Лист1!X284),"",Лист1!X284)</f>
        <v/>
      </c>
      <c r="Y284" s="5" t="str">
        <f>IF(ISERROR(VLOOKUP($X284,Лист2!$A$2:$G$498,1,FALSE)),"",VLOOKUP($X284,Лист2!$A$2:$G$498,1,FALSE))</f>
        <v/>
      </c>
      <c r="Z284" s="5" t="str">
        <f>IF(ISERROR(VLOOKUP($X284,Лист2!$A$2:$G$498,5,FALSE)),"",VLOOKUP($X284,Лист2!$A$2:$G$498,5,FALSE))</f>
        <v/>
      </c>
      <c r="AA284" s="5" t="str">
        <f>IF(ISERROR(VLOOKUP($X284,Лист2!$A$2:$G$498,6,FALSE)),"",VLOOKUP($X284,Лист2!$A$2:$G$498,6,FALSE))</f>
        <v/>
      </c>
      <c r="AB284" s="5" t="str">
        <f>IF(ISERROR(VLOOKUP($X284,Лист2!$A$2:$G$498,7,FALSE)),"",VLOOKUP($X284,Лист2!$A$2:$G$498,7,FALSE))</f>
        <v/>
      </c>
    </row>
    <row r="285" spans="1:28" x14ac:dyDescent="0.25">
      <c r="A285" s="5" t="str">
        <f>IF(ISBLANK(Лист1!A285),"",Лист1!A285)</f>
        <v/>
      </c>
      <c r="B285" s="5" t="str">
        <f>IF(ISBLANK(Лист1!B285),"",Лист1!B285)</f>
        <v/>
      </c>
      <c r="C285" s="5" t="str">
        <f>IF(ISBLANK(Лист1!C285),"",Лист1!C285)</f>
        <v/>
      </c>
      <c r="D285" s="5" t="str">
        <f>IF(ISBLANK(Лист1!D285),"",Лист1!D285)</f>
        <v/>
      </c>
      <c r="E285" s="5" t="str">
        <f>IF(ISBLANK(Лист1!E285),"",Лист1!E285)</f>
        <v/>
      </c>
      <c r="F285" s="5" t="str">
        <f>IF(ISBLANK(Лист1!F285),"",Лист1!F285)</f>
        <v/>
      </c>
      <c r="G285" s="5" t="str">
        <f>IF(ISBLANK(Лист1!G285),"",Лист1!G285)</f>
        <v/>
      </c>
      <c r="H285" s="5" t="str">
        <f>IF(ISBLANK(Лист1!H285),"",Лист1!H285)</f>
        <v/>
      </c>
      <c r="I285" s="5" t="str">
        <f>IF(ISBLANK(Лист1!I285),"",Лист1!I285)</f>
        <v/>
      </c>
      <c r="J285" s="5" t="str">
        <f>IF(ISBLANK(Лист1!J285),"",Лист1!J285)</f>
        <v/>
      </c>
      <c r="K285" s="5" t="str">
        <f>IF(ISBLANK(Лист1!K285),"",Лист1!K285)</f>
        <v/>
      </c>
      <c r="L285" s="5" t="str">
        <f>IF(ISBLANK(Лист1!L285),"",Лист1!L285)</f>
        <v/>
      </c>
      <c r="M285" s="5" t="str">
        <f>IF(ISBLANK(Лист1!M285),"",Лист1!M285)</f>
        <v/>
      </c>
      <c r="N285" s="5" t="str">
        <f>IF(ISBLANK(Лист1!N285),"",Лист1!N285)</f>
        <v/>
      </c>
      <c r="O285" s="5" t="str">
        <f>IF(ISBLANK(Лист1!O285),"",Лист1!O285)</f>
        <v/>
      </c>
      <c r="P285" s="5" t="str">
        <f>IF(ISBLANK(Лист1!P285),"",Лист1!P285)</f>
        <v/>
      </c>
      <c r="Q285" s="5" t="str">
        <f>IF(ISBLANK(Лист1!Q285),"",Лист1!Q285)</f>
        <v/>
      </c>
      <c r="R285" s="5" t="str">
        <f>IF(ISBLANK(Лист1!R285),"",Лист1!R285)</f>
        <v/>
      </c>
      <c r="S285" s="5" t="str">
        <f>IF(ISBLANK(Лист1!S285),"",Лист1!S285)</f>
        <v/>
      </c>
      <c r="T285" s="5" t="str">
        <f>IF(ISBLANK(Лист1!T285),"",Лист1!T285)</f>
        <v/>
      </c>
      <c r="U285" s="5" t="str">
        <f>IF(ISBLANK(Лист1!U285),"",Лист1!U285)</f>
        <v/>
      </c>
      <c r="V285" s="5" t="str">
        <f>IF(ISBLANK(Лист1!V285),"",Лист1!V285)</f>
        <v/>
      </c>
      <c r="W285" s="5" t="str">
        <f>IF(ISBLANK(Лист1!W285),"",Лист1!W285)</f>
        <v/>
      </c>
      <c r="X285" s="5" t="str">
        <f>IF(ISBLANK(Лист1!X285),"",Лист1!X285)</f>
        <v/>
      </c>
      <c r="Y285" s="5" t="str">
        <f>IF(ISERROR(VLOOKUP($X285,Лист2!$A$2:$G$498,1,FALSE)),"",VLOOKUP($X285,Лист2!$A$2:$G$498,1,FALSE))</f>
        <v/>
      </c>
      <c r="Z285" s="5" t="str">
        <f>IF(ISERROR(VLOOKUP($X285,Лист2!$A$2:$G$498,5,FALSE)),"",VLOOKUP($X285,Лист2!$A$2:$G$498,5,FALSE))</f>
        <v/>
      </c>
      <c r="AA285" s="5" t="str">
        <f>IF(ISERROR(VLOOKUP($X285,Лист2!$A$2:$G$498,6,FALSE)),"",VLOOKUP($X285,Лист2!$A$2:$G$498,6,FALSE))</f>
        <v/>
      </c>
      <c r="AB285" s="5" t="str">
        <f>IF(ISERROR(VLOOKUP($X285,Лист2!$A$2:$G$498,7,FALSE)),"",VLOOKUP($X285,Лист2!$A$2:$G$498,7,FALSE))</f>
        <v/>
      </c>
    </row>
    <row r="286" spans="1:28" x14ac:dyDescent="0.25">
      <c r="A286" s="5" t="str">
        <f>IF(ISBLANK(Лист1!A286),"",Лист1!A286)</f>
        <v/>
      </c>
      <c r="B286" s="5" t="str">
        <f>IF(ISBLANK(Лист1!B286),"",Лист1!B286)</f>
        <v/>
      </c>
      <c r="C286" s="5" t="str">
        <f>IF(ISBLANK(Лист1!C286),"",Лист1!C286)</f>
        <v/>
      </c>
      <c r="D286" s="5" t="str">
        <f>IF(ISBLANK(Лист1!D286),"",Лист1!D286)</f>
        <v/>
      </c>
      <c r="E286" s="5" t="str">
        <f>IF(ISBLANK(Лист1!E286),"",Лист1!E286)</f>
        <v/>
      </c>
      <c r="F286" s="5" t="str">
        <f>IF(ISBLANK(Лист1!F286),"",Лист1!F286)</f>
        <v/>
      </c>
      <c r="G286" s="5" t="str">
        <f>IF(ISBLANK(Лист1!G286),"",Лист1!G286)</f>
        <v/>
      </c>
      <c r="H286" s="5" t="str">
        <f>IF(ISBLANK(Лист1!H286),"",Лист1!H286)</f>
        <v/>
      </c>
      <c r="I286" s="5" t="str">
        <f>IF(ISBLANK(Лист1!I286),"",Лист1!I286)</f>
        <v/>
      </c>
      <c r="J286" s="5" t="str">
        <f>IF(ISBLANK(Лист1!J286),"",Лист1!J286)</f>
        <v/>
      </c>
      <c r="K286" s="5" t="str">
        <f>IF(ISBLANK(Лист1!K286),"",Лист1!K286)</f>
        <v/>
      </c>
      <c r="L286" s="5" t="str">
        <f>IF(ISBLANK(Лист1!L286),"",Лист1!L286)</f>
        <v/>
      </c>
      <c r="M286" s="5" t="str">
        <f>IF(ISBLANK(Лист1!M286),"",Лист1!M286)</f>
        <v/>
      </c>
      <c r="N286" s="5" t="str">
        <f>IF(ISBLANK(Лист1!N286),"",Лист1!N286)</f>
        <v/>
      </c>
      <c r="O286" s="5" t="str">
        <f>IF(ISBLANK(Лист1!O286),"",Лист1!O286)</f>
        <v/>
      </c>
      <c r="P286" s="5" t="str">
        <f>IF(ISBLANK(Лист1!P286),"",Лист1!P286)</f>
        <v/>
      </c>
      <c r="Q286" s="5" t="str">
        <f>IF(ISBLANK(Лист1!Q286),"",Лист1!Q286)</f>
        <v/>
      </c>
      <c r="R286" s="5" t="str">
        <f>IF(ISBLANK(Лист1!R286),"",Лист1!R286)</f>
        <v/>
      </c>
      <c r="S286" s="5" t="str">
        <f>IF(ISBLANK(Лист1!S286),"",Лист1!S286)</f>
        <v/>
      </c>
      <c r="T286" s="5" t="str">
        <f>IF(ISBLANK(Лист1!T286),"",Лист1!T286)</f>
        <v/>
      </c>
      <c r="U286" s="5" t="str">
        <f>IF(ISBLANK(Лист1!U286),"",Лист1!U286)</f>
        <v/>
      </c>
      <c r="V286" s="5" t="str">
        <f>IF(ISBLANK(Лист1!V286),"",Лист1!V286)</f>
        <v/>
      </c>
      <c r="W286" s="5" t="str">
        <f>IF(ISBLANK(Лист1!W286),"",Лист1!W286)</f>
        <v/>
      </c>
      <c r="X286" s="5" t="str">
        <f>IF(ISBLANK(Лист1!X286),"",Лист1!X286)</f>
        <v/>
      </c>
      <c r="Y286" s="5" t="str">
        <f>IF(ISERROR(VLOOKUP($X286,Лист2!$A$2:$G$498,1,FALSE)),"",VLOOKUP($X286,Лист2!$A$2:$G$498,1,FALSE))</f>
        <v/>
      </c>
      <c r="Z286" s="5" t="str">
        <f>IF(ISERROR(VLOOKUP($X286,Лист2!$A$2:$G$498,5,FALSE)),"",VLOOKUP($X286,Лист2!$A$2:$G$498,5,FALSE))</f>
        <v/>
      </c>
      <c r="AA286" s="5" t="str">
        <f>IF(ISERROR(VLOOKUP($X286,Лист2!$A$2:$G$498,6,FALSE)),"",VLOOKUP($X286,Лист2!$A$2:$G$498,6,FALSE))</f>
        <v/>
      </c>
      <c r="AB286" s="5" t="str">
        <f>IF(ISERROR(VLOOKUP($X286,Лист2!$A$2:$G$498,7,FALSE)),"",VLOOKUP($X286,Лист2!$A$2:$G$498,7,FALSE))</f>
        <v/>
      </c>
    </row>
    <row r="287" spans="1:28" x14ac:dyDescent="0.25">
      <c r="A287" s="5" t="str">
        <f>IF(ISBLANK(Лист1!A287),"",Лист1!A287)</f>
        <v/>
      </c>
      <c r="B287" s="5" t="str">
        <f>IF(ISBLANK(Лист1!B287),"",Лист1!B287)</f>
        <v/>
      </c>
      <c r="C287" s="5" t="str">
        <f>IF(ISBLANK(Лист1!C287),"",Лист1!C287)</f>
        <v/>
      </c>
      <c r="D287" s="5" t="str">
        <f>IF(ISBLANK(Лист1!D287),"",Лист1!D287)</f>
        <v/>
      </c>
      <c r="E287" s="5" t="str">
        <f>IF(ISBLANK(Лист1!E287),"",Лист1!E287)</f>
        <v/>
      </c>
      <c r="F287" s="5" t="str">
        <f>IF(ISBLANK(Лист1!F287),"",Лист1!F287)</f>
        <v/>
      </c>
      <c r="G287" s="5" t="str">
        <f>IF(ISBLANK(Лист1!G287),"",Лист1!G287)</f>
        <v/>
      </c>
      <c r="H287" s="5" t="str">
        <f>IF(ISBLANK(Лист1!H287),"",Лист1!H287)</f>
        <v/>
      </c>
      <c r="I287" s="5" t="str">
        <f>IF(ISBLANK(Лист1!I287),"",Лист1!I287)</f>
        <v/>
      </c>
      <c r="J287" s="5" t="str">
        <f>IF(ISBLANK(Лист1!J287),"",Лист1!J287)</f>
        <v/>
      </c>
      <c r="K287" s="5" t="str">
        <f>IF(ISBLANK(Лист1!K287),"",Лист1!K287)</f>
        <v/>
      </c>
      <c r="L287" s="5" t="str">
        <f>IF(ISBLANK(Лист1!L287),"",Лист1!L287)</f>
        <v/>
      </c>
      <c r="M287" s="5" t="str">
        <f>IF(ISBLANK(Лист1!M287),"",Лист1!M287)</f>
        <v/>
      </c>
      <c r="N287" s="5" t="str">
        <f>IF(ISBLANK(Лист1!N287),"",Лист1!N287)</f>
        <v/>
      </c>
      <c r="O287" s="5" t="str">
        <f>IF(ISBLANK(Лист1!O287),"",Лист1!O287)</f>
        <v/>
      </c>
      <c r="P287" s="5" t="str">
        <f>IF(ISBLANK(Лист1!P287),"",Лист1!P287)</f>
        <v/>
      </c>
      <c r="Q287" s="5" t="str">
        <f>IF(ISBLANK(Лист1!Q287),"",Лист1!Q287)</f>
        <v/>
      </c>
      <c r="R287" s="5" t="str">
        <f>IF(ISBLANK(Лист1!R287),"",Лист1!R287)</f>
        <v/>
      </c>
      <c r="S287" s="5" t="str">
        <f>IF(ISBLANK(Лист1!S287),"",Лист1!S287)</f>
        <v/>
      </c>
      <c r="T287" s="5" t="str">
        <f>IF(ISBLANK(Лист1!T287),"",Лист1!T287)</f>
        <v/>
      </c>
      <c r="U287" s="5" t="str">
        <f>IF(ISBLANK(Лист1!U287),"",Лист1!U287)</f>
        <v/>
      </c>
      <c r="V287" s="5" t="str">
        <f>IF(ISBLANK(Лист1!V287),"",Лист1!V287)</f>
        <v/>
      </c>
      <c r="W287" s="5" t="str">
        <f>IF(ISBLANK(Лист1!W287),"",Лист1!W287)</f>
        <v/>
      </c>
      <c r="X287" s="5" t="str">
        <f>IF(ISBLANK(Лист1!X287),"",Лист1!X287)</f>
        <v/>
      </c>
      <c r="Y287" s="5" t="str">
        <f>IF(ISERROR(VLOOKUP($X287,Лист2!$A$2:$G$498,1,FALSE)),"",VLOOKUP($X287,Лист2!$A$2:$G$498,1,FALSE))</f>
        <v/>
      </c>
      <c r="Z287" s="5" t="str">
        <f>IF(ISERROR(VLOOKUP($X287,Лист2!$A$2:$G$498,5,FALSE)),"",VLOOKUP($X287,Лист2!$A$2:$G$498,5,FALSE))</f>
        <v/>
      </c>
      <c r="AA287" s="5" t="str">
        <f>IF(ISERROR(VLOOKUP($X287,Лист2!$A$2:$G$498,6,FALSE)),"",VLOOKUP($X287,Лист2!$A$2:$G$498,6,FALSE))</f>
        <v/>
      </c>
      <c r="AB287" s="5" t="str">
        <f>IF(ISERROR(VLOOKUP($X287,Лист2!$A$2:$G$498,7,FALSE)),"",VLOOKUP($X287,Лист2!$A$2:$G$498,7,FALSE))</f>
        <v/>
      </c>
    </row>
    <row r="288" spans="1:28" x14ac:dyDescent="0.25">
      <c r="A288" s="5" t="str">
        <f>IF(ISBLANK(Лист1!A288),"",Лист1!A288)</f>
        <v/>
      </c>
      <c r="B288" s="5" t="str">
        <f>IF(ISBLANK(Лист1!B288),"",Лист1!B288)</f>
        <v/>
      </c>
      <c r="C288" s="5" t="str">
        <f>IF(ISBLANK(Лист1!C288),"",Лист1!C288)</f>
        <v/>
      </c>
      <c r="D288" s="5" t="str">
        <f>IF(ISBLANK(Лист1!D288),"",Лист1!D288)</f>
        <v/>
      </c>
      <c r="E288" s="5" t="str">
        <f>IF(ISBLANK(Лист1!E288),"",Лист1!E288)</f>
        <v/>
      </c>
      <c r="F288" s="5" t="str">
        <f>IF(ISBLANK(Лист1!F288),"",Лист1!F288)</f>
        <v/>
      </c>
      <c r="G288" s="5" t="str">
        <f>IF(ISBLANK(Лист1!G288),"",Лист1!G288)</f>
        <v/>
      </c>
      <c r="H288" s="5" t="str">
        <f>IF(ISBLANK(Лист1!H288),"",Лист1!H288)</f>
        <v/>
      </c>
      <c r="I288" s="5" t="str">
        <f>IF(ISBLANK(Лист1!I288),"",Лист1!I288)</f>
        <v/>
      </c>
      <c r="J288" s="5" t="str">
        <f>IF(ISBLANK(Лист1!J288),"",Лист1!J288)</f>
        <v/>
      </c>
      <c r="K288" s="5" t="str">
        <f>IF(ISBLANK(Лист1!K288),"",Лист1!K288)</f>
        <v/>
      </c>
      <c r="L288" s="5" t="str">
        <f>IF(ISBLANK(Лист1!L288),"",Лист1!L288)</f>
        <v/>
      </c>
      <c r="M288" s="5" t="str">
        <f>IF(ISBLANK(Лист1!M288),"",Лист1!M288)</f>
        <v/>
      </c>
      <c r="N288" s="5" t="str">
        <f>IF(ISBLANK(Лист1!N288),"",Лист1!N288)</f>
        <v/>
      </c>
      <c r="O288" s="5" t="str">
        <f>IF(ISBLANK(Лист1!O288),"",Лист1!O288)</f>
        <v/>
      </c>
      <c r="P288" s="5" t="str">
        <f>IF(ISBLANK(Лист1!P288),"",Лист1!P288)</f>
        <v/>
      </c>
      <c r="Q288" s="5" t="str">
        <f>IF(ISBLANK(Лист1!Q288),"",Лист1!Q288)</f>
        <v/>
      </c>
      <c r="R288" s="5" t="str">
        <f>IF(ISBLANK(Лист1!R288),"",Лист1!R288)</f>
        <v/>
      </c>
      <c r="S288" s="5" t="str">
        <f>IF(ISBLANK(Лист1!S288),"",Лист1!S288)</f>
        <v/>
      </c>
      <c r="T288" s="5" t="str">
        <f>IF(ISBLANK(Лист1!T288),"",Лист1!T288)</f>
        <v/>
      </c>
      <c r="U288" s="5" t="str">
        <f>IF(ISBLANK(Лист1!U288),"",Лист1!U288)</f>
        <v/>
      </c>
      <c r="V288" s="5" t="str">
        <f>IF(ISBLANK(Лист1!V288),"",Лист1!V288)</f>
        <v/>
      </c>
      <c r="W288" s="5" t="str">
        <f>IF(ISBLANK(Лист1!W288),"",Лист1!W288)</f>
        <v/>
      </c>
      <c r="X288" s="5" t="str">
        <f>IF(ISBLANK(Лист1!X288),"",Лист1!X288)</f>
        <v/>
      </c>
      <c r="Y288" s="5" t="str">
        <f>IF(ISERROR(VLOOKUP($X288,Лист2!$A$2:$G$498,1,FALSE)),"",VLOOKUP($X288,Лист2!$A$2:$G$498,1,FALSE))</f>
        <v/>
      </c>
      <c r="Z288" s="5" t="str">
        <f>IF(ISERROR(VLOOKUP($X288,Лист2!$A$2:$G$498,5,FALSE)),"",VLOOKUP($X288,Лист2!$A$2:$G$498,5,FALSE))</f>
        <v/>
      </c>
      <c r="AA288" s="5" t="str">
        <f>IF(ISERROR(VLOOKUP($X288,Лист2!$A$2:$G$498,6,FALSE)),"",VLOOKUP($X288,Лист2!$A$2:$G$498,6,FALSE))</f>
        <v/>
      </c>
      <c r="AB288" s="5" t="str">
        <f>IF(ISERROR(VLOOKUP($X288,Лист2!$A$2:$G$498,7,FALSE)),"",VLOOKUP($X288,Лист2!$A$2:$G$498,7,FALSE))</f>
        <v/>
      </c>
    </row>
    <row r="289" spans="1:28" x14ac:dyDescent="0.25">
      <c r="A289" s="5" t="str">
        <f>IF(ISBLANK(Лист1!A289),"",Лист1!A289)</f>
        <v/>
      </c>
      <c r="B289" s="5" t="str">
        <f>IF(ISBLANK(Лист1!B289),"",Лист1!B289)</f>
        <v/>
      </c>
      <c r="C289" s="5" t="str">
        <f>IF(ISBLANK(Лист1!C289),"",Лист1!C289)</f>
        <v/>
      </c>
      <c r="D289" s="5" t="str">
        <f>IF(ISBLANK(Лист1!D289),"",Лист1!D289)</f>
        <v/>
      </c>
      <c r="E289" s="5" t="str">
        <f>IF(ISBLANK(Лист1!E289),"",Лист1!E289)</f>
        <v/>
      </c>
      <c r="F289" s="5" t="str">
        <f>IF(ISBLANK(Лист1!F289),"",Лист1!F289)</f>
        <v/>
      </c>
      <c r="G289" s="5" t="str">
        <f>IF(ISBLANK(Лист1!G289),"",Лист1!G289)</f>
        <v/>
      </c>
      <c r="H289" s="5" t="str">
        <f>IF(ISBLANK(Лист1!H289),"",Лист1!H289)</f>
        <v/>
      </c>
      <c r="I289" s="5" t="str">
        <f>IF(ISBLANK(Лист1!I289),"",Лист1!I289)</f>
        <v/>
      </c>
      <c r="J289" s="5" t="str">
        <f>IF(ISBLANK(Лист1!J289),"",Лист1!J289)</f>
        <v/>
      </c>
      <c r="K289" s="5" t="str">
        <f>IF(ISBLANK(Лист1!K289),"",Лист1!K289)</f>
        <v/>
      </c>
      <c r="L289" s="5" t="str">
        <f>IF(ISBLANK(Лист1!L289),"",Лист1!L289)</f>
        <v/>
      </c>
      <c r="M289" s="5" t="str">
        <f>IF(ISBLANK(Лист1!M289),"",Лист1!M289)</f>
        <v/>
      </c>
      <c r="N289" s="5" t="str">
        <f>IF(ISBLANK(Лист1!N289),"",Лист1!N289)</f>
        <v/>
      </c>
      <c r="O289" s="5" t="str">
        <f>IF(ISBLANK(Лист1!O289),"",Лист1!O289)</f>
        <v/>
      </c>
      <c r="P289" s="5" t="str">
        <f>IF(ISBLANK(Лист1!P289),"",Лист1!P289)</f>
        <v/>
      </c>
      <c r="Q289" s="5" t="str">
        <f>IF(ISBLANK(Лист1!Q289),"",Лист1!Q289)</f>
        <v/>
      </c>
      <c r="R289" s="5" t="str">
        <f>IF(ISBLANK(Лист1!R289),"",Лист1!R289)</f>
        <v/>
      </c>
      <c r="S289" s="5" t="str">
        <f>IF(ISBLANK(Лист1!S289),"",Лист1!S289)</f>
        <v/>
      </c>
      <c r="T289" s="5" t="str">
        <f>IF(ISBLANK(Лист1!T289),"",Лист1!T289)</f>
        <v/>
      </c>
      <c r="U289" s="5" t="str">
        <f>IF(ISBLANK(Лист1!U289),"",Лист1!U289)</f>
        <v/>
      </c>
      <c r="V289" s="5" t="str">
        <f>IF(ISBLANK(Лист1!V289),"",Лист1!V289)</f>
        <v/>
      </c>
      <c r="W289" s="5" t="str">
        <f>IF(ISBLANK(Лист1!W289),"",Лист1!W289)</f>
        <v/>
      </c>
      <c r="X289" s="5" t="str">
        <f>IF(ISBLANK(Лист1!X289),"",Лист1!X289)</f>
        <v/>
      </c>
      <c r="Y289" s="5" t="str">
        <f>IF(ISERROR(VLOOKUP($X289,Лист2!$A$2:$G$498,1,FALSE)),"",VLOOKUP($X289,Лист2!$A$2:$G$498,1,FALSE))</f>
        <v/>
      </c>
      <c r="Z289" s="5" t="str">
        <f>IF(ISERROR(VLOOKUP($X289,Лист2!$A$2:$G$498,5,FALSE)),"",VLOOKUP($X289,Лист2!$A$2:$G$498,5,FALSE))</f>
        <v/>
      </c>
      <c r="AA289" s="5" t="str">
        <f>IF(ISERROR(VLOOKUP($X289,Лист2!$A$2:$G$498,6,FALSE)),"",VLOOKUP($X289,Лист2!$A$2:$G$498,6,FALSE))</f>
        <v/>
      </c>
      <c r="AB289" s="5" t="str">
        <f>IF(ISERROR(VLOOKUP($X289,Лист2!$A$2:$G$498,7,FALSE)),"",VLOOKUP($X289,Лист2!$A$2:$G$498,7,FALSE))</f>
        <v/>
      </c>
    </row>
    <row r="290" spans="1:28" x14ac:dyDescent="0.25">
      <c r="A290" s="5" t="str">
        <f>IF(ISBLANK(Лист1!A290),"",Лист1!A290)</f>
        <v/>
      </c>
      <c r="B290" s="5" t="str">
        <f>IF(ISBLANK(Лист1!B290),"",Лист1!B290)</f>
        <v/>
      </c>
      <c r="C290" s="5" t="str">
        <f>IF(ISBLANK(Лист1!C290),"",Лист1!C290)</f>
        <v/>
      </c>
      <c r="D290" s="5" t="str">
        <f>IF(ISBLANK(Лист1!D290),"",Лист1!D290)</f>
        <v/>
      </c>
      <c r="E290" s="5" t="str">
        <f>IF(ISBLANK(Лист1!E290),"",Лист1!E290)</f>
        <v/>
      </c>
      <c r="F290" s="5" t="str">
        <f>IF(ISBLANK(Лист1!F290),"",Лист1!F290)</f>
        <v/>
      </c>
      <c r="G290" s="5" t="str">
        <f>IF(ISBLANK(Лист1!G290),"",Лист1!G290)</f>
        <v/>
      </c>
      <c r="H290" s="5" t="str">
        <f>IF(ISBLANK(Лист1!H290),"",Лист1!H290)</f>
        <v/>
      </c>
      <c r="I290" s="5" t="str">
        <f>IF(ISBLANK(Лист1!I290),"",Лист1!I290)</f>
        <v/>
      </c>
      <c r="J290" s="5" t="str">
        <f>IF(ISBLANK(Лист1!J290),"",Лист1!J290)</f>
        <v/>
      </c>
      <c r="K290" s="5" t="str">
        <f>IF(ISBLANK(Лист1!K290),"",Лист1!K290)</f>
        <v/>
      </c>
      <c r="L290" s="5" t="str">
        <f>IF(ISBLANK(Лист1!L290),"",Лист1!L290)</f>
        <v/>
      </c>
      <c r="M290" s="5" t="str">
        <f>IF(ISBLANK(Лист1!M290),"",Лист1!M290)</f>
        <v/>
      </c>
      <c r="N290" s="5" t="str">
        <f>IF(ISBLANK(Лист1!N290),"",Лист1!N290)</f>
        <v/>
      </c>
      <c r="O290" s="5" t="str">
        <f>IF(ISBLANK(Лист1!O290),"",Лист1!O290)</f>
        <v/>
      </c>
      <c r="P290" s="5" t="str">
        <f>IF(ISBLANK(Лист1!P290),"",Лист1!P290)</f>
        <v/>
      </c>
      <c r="Q290" s="5" t="str">
        <f>IF(ISBLANK(Лист1!Q290),"",Лист1!Q290)</f>
        <v/>
      </c>
      <c r="R290" s="5" t="str">
        <f>IF(ISBLANK(Лист1!R290),"",Лист1!R290)</f>
        <v/>
      </c>
      <c r="S290" s="5" t="str">
        <f>IF(ISBLANK(Лист1!S290),"",Лист1!S290)</f>
        <v/>
      </c>
      <c r="T290" s="5" t="str">
        <f>IF(ISBLANK(Лист1!T290),"",Лист1!T290)</f>
        <v/>
      </c>
      <c r="U290" s="5" t="str">
        <f>IF(ISBLANK(Лист1!U290),"",Лист1!U290)</f>
        <v/>
      </c>
      <c r="V290" s="5" t="str">
        <f>IF(ISBLANK(Лист1!V290),"",Лист1!V290)</f>
        <v/>
      </c>
      <c r="W290" s="5" t="str">
        <f>IF(ISBLANK(Лист1!W290),"",Лист1!W290)</f>
        <v/>
      </c>
      <c r="X290" s="5" t="str">
        <f>IF(ISBLANK(Лист1!X290),"",Лист1!X290)</f>
        <v/>
      </c>
      <c r="Y290" s="5" t="str">
        <f>IF(ISERROR(VLOOKUP($X290,Лист2!$A$2:$G$498,1,FALSE)),"",VLOOKUP($X290,Лист2!$A$2:$G$498,1,FALSE))</f>
        <v/>
      </c>
      <c r="Z290" s="5" t="str">
        <f>IF(ISERROR(VLOOKUP($X290,Лист2!$A$2:$G$498,5,FALSE)),"",VLOOKUP($X290,Лист2!$A$2:$G$498,5,FALSE))</f>
        <v/>
      </c>
      <c r="AA290" s="5" t="str">
        <f>IF(ISERROR(VLOOKUP($X290,Лист2!$A$2:$G$498,6,FALSE)),"",VLOOKUP($X290,Лист2!$A$2:$G$498,6,FALSE))</f>
        <v/>
      </c>
      <c r="AB290" s="5" t="str">
        <f>IF(ISERROR(VLOOKUP($X290,Лист2!$A$2:$G$498,7,FALSE)),"",VLOOKUP($X290,Лист2!$A$2:$G$498,7,FALSE))</f>
        <v/>
      </c>
    </row>
    <row r="291" spans="1:28" x14ac:dyDescent="0.25">
      <c r="A291" s="5" t="str">
        <f>IF(ISBLANK(Лист1!A291),"",Лист1!A291)</f>
        <v/>
      </c>
      <c r="B291" s="5" t="str">
        <f>IF(ISBLANK(Лист1!B291),"",Лист1!B291)</f>
        <v/>
      </c>
      <c r="C291" s="5" t="str">
        <f>IF(ISBLANK(Лист1!C291),"",Лист1!C291)</f>
        <v/>
      </c>
      <c r="D291" s="5" t="str">
        <f>IF(ISBLANK(Лист1!D291),"",Лист1!D291)</f>
        <v/>
      </c>
      <c r="E291" s="5" t="str">
        <f>IF(ISBLANK(Лист1!E291),"",Лист1!E291)</f>
        <v/>
      </c>
      <c r="F291" s="5" t="str">
        <f>IF(ISBLANK(Лист1!F291),"",Лист1!F291)</f>
        <v/>
      </c>
      <c r="G291" s="5" t="str">
        <f>IF(ISBLANK(Лист1!G291),"",Лист1!G291)</f>
        <v/>
      </c>
      <c r="H291" s="5" t="str">
        <f>IF(ISBLANK(Лист1!H291),"",Лист1!H291)</f>
        <v/>
      </c>
      <c r="I291" s="5" t="str">
        <f>IF(ISBLANK(Лист1!I291),"",Лист1!I291)</f>
        <v/>
      </c>
      <c r="J291" s="5" t="str">
        <f>IF(ISBLANK(Лист1!J291),"",Лист1!J291)</f>
        <v/>
      </c>
      <c r="K291" s="5" t="str">
        <f>IF(ISBLANK(Лист1!K291),"",Лист1!K291)</f>
        <v/>
      </c>
      <c r="L291" s="5" t="str">
        <f>IF(ISBLANK(Лист1!L291),"",Лист1!L291)</f>
        <v/>
      </c>
      <c r="M291" s="5" t="str">
        <f>IF(ISBLANK(Лист1!M291),"",Лист1!M291)</f>
        <v/>
      </c>
      <c r="N291" s="5" t="str">
        <f>IF(ISBLANK(Лист1!N291),"",Лист1!N291)</f>
        <v/>
      </c>
      <c r="O291" s="5" t="str">
        <f>IF(ISBLANK(Лист1!O291),"",Лист1!O291)</f>
        <v/>
      </c>
      <c r="P291" s="5" t="str">
        <f>IF(ISBLANK(Лист1!P291),"",Лист1!P291)</f>
        <v/>
      </c>
      <c r="Q291" s="5" t="str">
        <f>IF(ISBLANK(Лист1!Q291),"",Лист1!Q291)</f>
        <v/>
      </c>
      <c r="R291" s="5" t="str">
        <f>IF(ISBLANK(Лист1!R291),"",Лист1!R291)</f>
        <v/>
      </c>
      <c r="S291" s="5" t="str">
        <f>IF(ISBLANK(Лист1!S291),"",Лист1!S291)</f>
        <v/>
      </c>
      <c r="T291" s="5" t="str">
        <f>IF(ISBLANK(Лист1!T291),"",Лист1!T291)</f>
        <v/>
      </c>
      <c r="U291" s="5" t="str">
        <f>IF(ISBLANK(Лист1!U291),"",Лист1!U291)</f>
        <v/>
      </c>
      <c r="V291" s="5" t="str">
        <f>IF(ISBLANK(Лист1!V291),"",Лист1!V291)</f>
        <v/>
      </c>
      <c r="W291" s="5" t="str">
        <f>IF(ISBLANK(Лист1!W291),"",Лист1!W291)</f>
        <v/>
      </c>
      <c r="X291" s="5" t="str">
        <f>IF(ISBLANK(Лист1!X291),"",Лист1!X291)</f>
        <v/>
      </c>
      <c r="Y291" s="5" t="str">
        <f>IF(ISERROR(VLOOKUP($X291,Лист2!$A$2:$G$498,1,FALSE)),"",VLOOKUP($X291,Лист2!$A$2:$G$498,1,FALSE))</f>
        <v/>
      </c>
      <c r="Z291" s="5" t="str">
        <f>IF(ISERROR(VLOOKUP($X291,Лист2!$A$2:$G$498,5,FALSE)),"",VLOOKUP($X291,Лист2!$A$2:$G$498,5,FALSE))</f>
        <v/>
      </c>
      <c r="AA291" s="5" t="str">
        <f>IF(ISERROR(VLOOKUP($X291,Лист2!$A$2:$G$498,6,FALSE)),"",VLOOKUP($X291,Лист2!$A$2:$G$498,6,FALSE))</f>
        <v/>
      </c>
      <c r="AB291" s="5" t="str">
        <f>IF(ISERROR(VLOOKUP($X291,Лист2!$A$2:$G$498,7,FALSE)),"",VLOOKUP($X291,Лист2!$A$2:$G$498,7,FALSE))</f>
        <v/>
      </c>
    </row>
    <row r="292" spans="1:28" x14ac:dyDescent="0.25">
      <c r="A292" s="5" t="str">
        <f>IF(ISBLANK(Лист1!A292),"",Лист1!A292)</f>
        <v/>
      </c>
      <c r="B292" s="5" t="str">
        <f>IF(ISBLANK(Лист1!B292),"",Лист1!B292)</f>
        <v/>
      </c>
      <c r="C292" s="5" t="str">
        <f>IF(ISBLANK(Лист1!C292),"",Лист1!C292)</f>
        <v/>
      </c>
      <c r="D292" s="5" t="str">
        <f>IF(ISBLANK(Лист1!D292),"",Лист1!D292)</f>
        <v/>
      </c>
      <c r="E292" s="5" t="str">
        <f>IF(ISBLANK(Лист1!E292),"",Лист1!E292)</f>
        <v/>
      </c>
      <c r="F292" s="5" t="str">
        <f>IF(ISBLANK(Лист1!F292),"",Лист1!F292)</f>
        <v/>
      </c>
      <c r="G292" s="5" t="str">
        <f>IF(ISBLANK(Лист1!G292),"",Лист1!G292)</f>
        <v/>
      </c>
      <c r="H292" s="5" t="str">
        <f>IF(ISBLANK(Лист1!H292),"",Лист1!H292)</f>
        <v/>
      </c>
      <c r="I292" s="5" t="str">
        <f>IF(ISBLANK(Лист1!I292),"",Лист1!I292)</f>
        <v/>
      </c>
      <c r="J292" s="5" t="str">
        <f>IF(ISBLANK(Лист1!J292),"",Лист1!J292)</f>
        <v/>
      </c>
      <c r="K292" s="5" t="str">
        <f>IF(ISBLANK(Лист1!K292),"",Лист1!K292)</f>
        <v/>
      </c>
      <c r="L292" s="5" t="str">
        <f>IF(ISBLANK(Лист1!L292),"",Лист1!L292)</f>
        <v/>
      </c>
      <c r="M292" s="5" t="str">
        <f>IF(ISBLANK(Лист1!M292),"",Лист1!M292)</f>
        <v/>
      </c>
      <c r="N292" s="5" t="str">
        <f>IF(ISBLANK(Лист1!N292),"",Лист1!N292)</f>
        <v/>
      </c>
      <c r="O292" s="5" t="str">
        <f>IF(ISBLANK(Лист1!O292),"",Лист1!O292)</f>
        <v/>
      </c>
      <c r="P292" s="5" t="str">
        <f>IF(ISBLANK(Лист1!P292),"",Лист1!P292)</f>
        <v/>
      </c>
      <c r="Q292" s="5" t="str">
        <f>IF(ISBLANK(Лист1!Q292),"",Лист1!Q292)</f>
        <v/>
      </c>
      <c r="R292" s="5" t="str">
        <f>IF(ISBLANK(Лист1!R292),"",Лист1!R292)</f>
        <v/>
      </c>
      <c r="S292" s="5" t="str">
        <f>IF(ISBLANK(Лист1!S292),"",Лист1!S292)</f>
        <v/>
      </c>
      <c r="T292" s="5" t="str">
        <f>IF(ISBLANK(Лист1!T292),"",Лист1!T292)</f>
        <v/>
      </c>
      <c r="U292" s="5" t="str">
        <f>IF(ISBLANK(Лист1!U292),"",Лист1!U292)</f>
        <v/>
      </c>
      <c r="V292" s="5" t="str">
        <f>IF(ISBLANK(Лист1!V292),"",Лист1!V292)</f>
        <v/>
      </c>
      <c r="W292" s="5" t="str">
        <f>IF(ISBLANK(Лист1!W292),"",Лист1!W292)</f>
        <v/>
      </c>
      <c r="X292" s="5" t="str">
        <f>IF(ISBLANK(Лист1!X292),"",Лист1!X292)</f>
        <v/>
      </c>
      <c r="Y292" s="5" t="str">
        <f>IF(ISERROR(VLOOKUP($X292,Лист2!$A$2:$G$498,1,FALSE)),"",VLOOKUP($X292,Лист2!$A$2:$G$498,1,FALSE))</f>
        <v/>
      </c>
      <c r="Z292" s="5" t="str">
        <f>IF(ISERROR(VLOOKUP($X292,Лист2!$A$2:$G$498,5,FALSE)),"",VLOOKUP($X292,Лист2!$A$2:$G$498,5,FALSE))</f>
        <v/>
      </c>
      <c r="AA292" s="5" t="str">
        <f>IF(ISERROR(VLOOKUP($X292,Лист2!$A$2:$G$498,6,FALSE)),"",VLOOKUP($X292,Лист2!$A$2:$G$498,6,FALSE))</f>
        <v/>
      </c>
      <c r="AB292" s="5" t="str">
        <f>IF(ISERROR(VLOOKUP($X292,Лист2!$A$2:$G$498,7,FALSE)),"",VLOOKUP($X292,Лист2!$A$2:$G$498,7,FALSE))</f>
        <v/>
      </c>
    </row>
    <row r="293" spans="1:28" x14ac:dyDescent="0.25">
      <c r="A293" s="5" t="str">
        <f>IF(ISBLANK(Лист1!A293),"",Лист1!A293)</f>
        <v/>
      </c>
      <c r="B293" s="5" t="str">
        <f>IF(ISBLANK(Лист1!B293),"",Лист1!B293)</f>
        <v/>
      </c>
      <c r="C293" s="5" t="str">
        <f>IF(ISBLANK(Лист1!C293),"",Лист1!C293)</f>
        <v/>
      </c>
      <c r="D293" s="5" t="str">
        <f>IF(ISBLANK(Лист1!D293),"",Лист1!D293)</f>
        <v/>
      </c>
      <c r="E293" s="5" t="str">
        <f>IF(ISBLANK(Лист1!E293),"",Лист1!E293)</f>
        <v/>
      </c>
      <c r="F293" s="5" t="str">
        <f>IF(ISBLANK(Лист1!F293),"",Лист1!F293)</f>
        <v/>
      </c>
      <c r="G293" s="5" t="str">
        <f>IF(ISBLANK(Лист1!G293),"",Лист1!G293)</f>
        <v/>
      </c>
      <c r="H293" s="5" t="str">
        <f>IF(ISBLANK(Лист1!H293),"",Лист1!H293)</f>
        <v/>
      </c>
      <c r="I293" s="5" t="str">
        <f>IF(ISBLANK(Лист1!I293),"",Лист1!I293)</f>
        <v/>
      </c>
      <c r="J293" s="5" t="str">
        <f>IF(ISBLANK(Лист1!J293),"",Лист1!J293)</f>
        <v/>
      </c>
      <c r="K293" s="5" t="str">
        <f>IF(ISBLANK(Лист1!K293),"",Лист1!K293)</f>
        <v/>
      </c>
      <c r="L293" s="5" t="str">
        <f>IF(ISBLANK(Лист1!L293),"",Лист1!L293)</f>
        <v/>
      </c>
      <c r="M293" s="5" t="str">
        <f>IF(ISBLANK(Лист1!M293),"",Лист1!M293)</f>
        <v/>
      </c>
      <c r="N293" s="5" t="str">
        <f>IF(ISBLANK(Лист1!N293),"",Лист1!N293)</f>
        <v/>
      </c>
      <c r="O293" s="5" t="str">
        <f>IF(ISBLANK(Лист1!O293),"",Лист1!O293)</f>
        <v/>
      </c>
      <c r="P293" s="5" t="str">
        <f>IF(ISBLANK(Лист1!P293),"",Лист1!P293)</f>
        <v/>
      </c>
      <c r="Q293" s="5" t="str">
        <f>IF(ISBLANK(Лист1!Q293),"",Лист1!Q293)</f>
        <v/>
      </c>
      <c r="R293" s="5" t="str">
        <f>IF(ISBLANK(Лист1!R293),"",Лист1!R293)</f>
        <v/>
      </c>
      <c r="S293" s="5" t="str">
        <f>IF(ISBLANK(Лист1!S293),"",Лист1!S293)</f>
        <v/>
      </c>
      <c r="T293" s="5" t="str">
        <f>IF(ISBLANK(Лист1!T293),"",Лист1!T293)</f>
        <v/>
      </c>
      <c r="U293" s="5" t="str">
        <f>IF(ISBLANK(Лист1!U293),"",Лист1!U293)</f>
        <v/>
      </c>
      <c r="V293" s="5" t="str">
        <f>IF(ISBLANK(Лист1!V293),"",Лист1!V293)</f>
        <v/>
      </c>
      <c r="W293" s="5" t="str">
        <f>IF(ISBLANK(Лист1!W293),"",Лист1!W293)</f>
        <v/>
      </c>
      <c r="X293" s="5" t="str">
        <f>IF(ISBLANK(Лист1!X293),"",Лист1!X293)</f>
        <v/>
      </c>
      <c r="Y293" s="5" t="str">
        <f>IF(ISERROR(VLOOKUP($X293,Лист2!$A$2:$G$498,1,FALSE)),"",VLOOKUP($X293,Лист2!$A$2:$G$498,1,FALSE))</f>
        <v/>
      </c>
      <c r="Z293" s="5" t="str">
        <f>IF(ISERROR(VLOOKUP($X293,Лист2!$A$2:$G$498,5,FALSE)),"",VLOOKUP($X293,Лист2!$A$2:$G$498,5,FALSE))</f>
        <v/>
      </c>
      <c r="AA293" s="5" t="str">
        <f>IF(ISERROR(VLOOKUP($X293,Лист2!$A$2:$G$498,6,FALSE)),"",VLOOKUP($X293,Лист2!$A$2:$G$498,6,FALSE))</f>
        <v/>
      </c>
      <c r="AB293" s="5" t="str">
        <f>IF(ISERROR(VLOOKUP($X293,Лист2!$A$2:$G$498,7,FALSE)),"",VLOOKUP($X293,Лист2!$A$2:$G$498,7,FALSE))</f>
        <v/>
      </c>
    </row>
    <row r="294" spans="1:28" x14ac:dyDescent="0.25">
      <c r="A294" s="5" t="str">
        <f>IF(ISBLANK(Лист1!A294),"",Лист1!A294)</f>
        <v/>
      </c>
      <c r="B294" s="5" t="str">
        <f>IF(ISBLANK(Лист1!B294),"",Лист1!B294)</f>
        <v/>
      </c>
      <c r="C294" s="5" t="str">
        <f>IF(ISBLANK(Лист1!C294),"",Лист1!C294)</f>
        <v/>
      </c>
      <c r="D294" s="5" t="str">
        <f>IF(ISBLANK(Лист1!D294),"",Лист1!D294)</f>
        <v/>
      </c>
      <c r="E294" s="5" t="str">
        <f>IF(ISBLANK(Лист1!E294),"",Лист1!E294)</f>
        <v/>
      </c>
      <c r="F294" s="5" t="str">
        <f>IF(ISBLANK(Лист1!F294),"",Лист1!F294)</f>
        <v/>
      </c>
      <c r="G294" s="5" t="str">
        <f>IF(ISBLANK(Лист1!G294),"",Лист1!G294)</f>
        <v/>
      </c>
      <c r="H294" s="5" t="str">
        <f>IF(ISBLANK(Лист1!H294),"",Лист1!H294)</f>
        <v/>
      </c>
      <c r="I294" s="5" t="str">
        <f>IF(ISBLANK(Лист1!I294),"",Лист1!I294)</f>
        <v/>
      </c>
      <c r="J294" s="5" t="str">
        <f>IF(ISBLANK(Лист1!J294),"",Лист1!J294)</f>
        <v/>
      </c>
      <c r="K294" s="5" t="str">
        <f>IF(ISBLANK(Лист1!K294),"",Лист1!K294)</f>
        <v/>
      </c>
      <c r="L294" s="5" t="str">
        <f>IF(ISBLANK(Лист1!L294),"",Лист1!L294)</f>
        <v/>
      </c>
      <c r="M294" s="5" t="str">
        <f>IF(ISBLANK(Лист1!M294),"",Лист1!M294)</f>
        <v/>
      </c>
      <c r="N294" s="5" t="str">
        <f>IF(ISBLANK(Лист1!N294),"",Лист1!N294)</f>
        <v/>
      </c>
      <c r="O294" s="5" t="str">
        <f>IF(ISBLANK(Лист1!O294),"",Лист1!O294)</f>
        <v/>
      </c>
      <c r="P294" s="5" t="str">
        <f>IF(ISBLANK(Лист1!P294),"",Лист1!P294)</f>
        <v/>
      </c>
      <c r="Q294" s="5" t="str">
        <f>IF(ISBLANK(Лист1!Q294),"",Лист1!Q294)</f>
        <v/>
      </c>
      <c r="R294" s="5" t="str">
        <f>IF(ISBLANK(Лист1!R294),"",Лист1!R294)</f>
        <v/>
      </c>
      <c r="S294" s="5" t="str">
        <f>IF(ISBLANK(Лист1!S294),"",Лист1!S294)</f>
        <v/>
      </c>
      <c r="T294" s="5" t="str">
        <f>IF(ISBLANK(Лист1!T294),"",Лист1!T294)</f>
        <v/>
      </c>
      <c r="U294" s="5" t="str">
        <f>IF(ISBLANK(Лист1!U294),"",Лист1!U294)</f>
        <v/>
      </c>
      <c r="V294" s="5" t="str">
        <f>IF(ISBLANK(Лист1!V294),"",Лист1!V294)</f>
        <v/>
      </c>
      <c r="W294" s="5" t="str">
        <f>IF(ISBLANK(Лист1!W294),"",Лист1!W294)</f>
        <v/>
      </c>
      <c r="X294" s="5" t="str">
        <f>IF(ISBLANK(Лист1!X294),"",Лист1!X294)</f>
        <v/>
      </c>
      <c r="Y294" s="5" t="str">
        <f>IF(ISERROR(VLOOKUP($X294,Лист2!$A$2:$G$498,1,FALSE)),"",VLOOKUP($X294,Лист2!$A$2:$G$498,1,FALSE))</f>
        <v/>
      </c>
      <c r="Z294" s="5" t="str">
        <f>IF(ISERROR(VLOOKUP($X294,Лист2!$A$2:$G$498,5,FALSE)),"",VLOOKUP($X294,Лист2!$A$2:$G$498,5,FALSE))</f>
        <v/>
      </c>
      <c r="AA294" s="5" t="str">
        <f>IF(ISERROR(VLOOKUP($X294,Лист2!$A$2:$G$498,6,FALSE)),"",VLOOKUP($X294,Лист2!$A$2:$G$498,6,FALSE))</f>
        <v/>
      </c>
      <c r="AB294" s="5" t="str">
        <f>IF(ISERROR(VLOOKUP($X294,Лист2!$A$2:$G$498,7,FALSE)),"",VLOOKUP($X294,Лист2!$A$2:$G$498,7,FALSE))</f>
        <v/>
      </c>
    </row>
    <row r="295" spans="1:28" x14ac:dyDescent="0.25">
      <c r="A295" s="5" t="str">
        <f>IF(ISBLANK(Лист1!A295),"",Лист1!A295)</f>
        <v/>
      </c>
      <c r="B295" s="5" t="str">
        <f>IF(ISBLANK(Лист1!B295),"",Лист1!B295)</f>
        <v/>
      </c>
      <c r="C295" s="5" t="str">
        <f>IF(ISBLANK(Лист1!C295),"",Лист1!C295)</f>
        <v/>
      </c>
      <c r="D295" s="5" t="str">
        <f>IF(ISBLANK(Лист1!D295),"",Лист1!D295)</f>
        <v/>
      </c>
      <c r="E295" s="5" t="str">
        <f>IF(ISBLANK(Лист1!E295),"",Лист1!E295)</f>
        <v/>
      </c>
      <c r="F295" s="5" t="str">
        <f>IF(ISBLANK(Лист1!F295),"",Лист1!F295)</f>
        <v/>
      </c>
      <c r="G295" s="5" t="str">
        <f>IF(ISBLANK(Лист1!G295),"",Лист1!G295)</f>
        <v/>
      </c>
      <c r="H295" s="5" t="str">
        <f>IF(ISBLANK(Лист1!H295),"",Лист1!H295)</f>
        <v/>
      </c>
      <c r="I295" s="5" t="str">
        <f>IF(ISBLANK(Лист1!I295),"",Лист1!I295)</f>
        <v/>
      </c>
      <c r="J295" s="5" t="str">
        <f>IF(ISBLANK(Лист1!J295),"",Лист1!J295)</f>
        <v/>
      </c>
      <c r="K295" s="5" t="str">
        <f>IF(ISBLANK(Лист1!K295),"",Лист1!K295)</f>
        <v/>
      </c>
      <c r="L295" s="5" t="str">
        <f>IF(ISBLANK(Лист1!L295),"",Лист1!L295)</f>
        <v/>
      </c>
      <c r="M295" s="5" t="str">
        <f>IF(ISBLANK(Лист1!M295),"",Лист1!M295)</f>
        <v/>
      </c>
      <c r="N295" s="5" t="str">
        <f>IF(ISBLANK(Лист1!N295),"",Лист1!N295)</f>
        <v/>
      </c>
      <c r="O295" s="5" t="str">
        <f>IF(ISBLANK(Лист1!O295),"",Лист1!O295)</f>
        <v/>
      </c>
      <c r="P295" s="5" t="str">
        <f>IF(ISBLANK(Лист1!P295),"",Лист1!P295)</f>
        <v/>
      </c>
      <c r="Q295" s="5" t="str">
        <f>IF(ISBLANK(Лист1!Q295),"",Лист1!Q295)</f>
        <v/>
      </c>
      <c r="R295" s="5" t="str">
        <f>IF(ISBLANK(Лист1!R295),"",Лист1!R295)</f>
        <v/>
      </c>
      <c r="S295" s="5" t="str">
        <f>IF(ISBLANK(Лист1!S295),"",Лист1!S295)</f>
        <v/>
      </c>
      <c r="T295" s="5" t="str">
        <f>IF(ISBLANK(Лист1!T295),"",Лист1!T295)</f>
        <v/>
      </c>
      <c r="U295" s="5" t="str">
        <f>IF(ISBLANK(Лист1!U295),"",Лист1!U295)</f>
        <v/>
      </c>
      <c r="V295" s="5" t="str">
        <f>IF(ISBLANK(Лист1!V295),"",Лист1!V295)</f>
        <v/>
      </c>
      <c r="W295" s="5" t="str">
        <f>IF(ISBLANK(Лист1!W295),"",Лист1!W295)</f>
        <v/>
      </c>
      <c r="X295" s="5" t="str">
        <f>IF(ISBLANK(Лист1!X295),"",Лист1!X295)</f>
        <v/>
      </c>
      <c r="Y295" s="5" t="str">
        <f>IF(ISERROR(VLOOKUP($X295,Лист2!$A$2:$G$498,1,FALSE)),"",VLOOKUP($X295,Лист2!$A$2:$G$498,1,FALSE))</f>
        <v/>
      </c>
      <c r="Z295" s="5" t="str">
        <f>IF(ISERROR(VLOOKUP($X295,Лист2!$A$2:$G$498,5,FALSE)),"",VLOOKUP($X295,Лист2!$A$2:$G$498,5,FALSE))</f>
        <v/>
      </c>
      <c r="AA295" s="5" t="str">
        <f>IF(ISERROR(VLOOKUP($X295,Лист2!$A$2:$G$498,6,FALSE)),"",VLOOKUP($X295,Лист2!$A$2:$G$498,6,FALSE))</f>
        <v/>
      </c>
      <c r="AB295" s="5" t="str">
        <f>IF(ISERROR(VLOOKUP($X295,Лист2!$A$2:$G$498,7,FALSE)),"",VLOOKUP($X295,Лист2!$A$2:$G$498,7,FALSE))</f>
        <v/>
      </c>
    </row>
    <row r="296" spans="1:28" x14ac:dyDescent="0.25">
      <c r="A296" s="5" t="str">
        <f>IF(ISBLANK(Лист1!A296),"",Лист1!A296)</f>
        <v/>
      </c>
      <c r="B296" s="5" t="str">
        <f>IF(ISBLANK(Лист1!B296),"",Лист1!B296)</f>
        <v/>
      </c>
      <c r="C296" s="5" t="str">
        <f>IF(ISBLANK(Лист1!C296),"",Лист1!C296)</f>
        <v/>
      </c>
      <c r="D296" s="5" t="str">
        <f>IF(ISBLANK(Лист1!D296),"",Лист1!D296)</f>
        <v/>
      </c>
      <c r="E296" s="5" t="str">
        <f>IF(ISBLANK(Лист1!E296),"",Лист1!E296)</f>
        <v/>
      </c>
      <c r="F296" s="5" t="str">
        <f>IF(ISBLANK(Лист1!F296),"",Лист1!F296)</f>
        <v/>
      </c>
      <c r="G296" s="5" t="str">
        <f>IF(ISBLANK(Лист1!G296),"",Лист1!G296)</f>
        <v/>
      </c>
      <c r="H296" s="5" t="str">
        <f>IF(ISBLANK(Лист1!H296),"",Лист1!H296)</f>
        <v/>
      </c>
      <c r="I296" s="5" t="str">
        <f>IF(ISBLANK(Лист1!I296),"",Лист1!I296)</f>
        <v/>
      </c>
      <c r="J296" s="5" t="str">
        <f>IF(ISBLANK(Лист1!J296),"",Лист1!J296)</f>
        <v/>
      </c>
      <c r="K296" s="5" t="str">
        <f>IF(ISBLANK(Лист1!K296),"",Лист1!K296)</f>
        <v/>
      </c>
      <c r="L296" s="5" t="str">
        <f>IF(ISBLANK(Лист1!L296),"",Лист1!L296)</f>
        <v/>
      </c>
      <c r="M296" s="5" t="str">
        <f>IF(ISBLANK(Лист1!M296),"",Лист1!M296)</f>
        <v/>
      </c>
      <c r="N296" s="5" t="str">
        <f>IF(ISBLANK(Лист1!N296),"",Лист1!N296)</f>
        <v/>
      </c>
      <c r="O296" s="5" t="str">
        <f>IF(ISBLANK(Лист1!O296),"",Лист1!O296)</f>
        <v/>
      </c>
      <c r="P296" s="5" t="str">
        <f>IF(ISBLANK(Лист1!P296),"",Лист1!P296)</f>
        <v/>
      </c>
      <c r="Q296" s="5" t="str">
        <f>IF(ISBLANK(Лист1!Q296),"",Лист1!Q296)</f>
        <v/>
      </c>
      <c r="R296" s="5" t="str">
        <f>IF(ISBLANK(Лист1!R296),"",Лист1!R296)</f>
        <v/>
      </c>
      <c r="S296" s="5" t="str">
        <f>IF(ISBLANK(Лист1!S296),"",Лист1!S296)</f>
        <v/>
      </c>
      <c r="T296" s="5" t="str">
        <f>IF(ISBLANK(Лист1!T296),"",Лист1!T296)</f>
        <v/>
      </c>
      <c r="U296" s="5" t="str">
        <f>IF(ISBLANK(Лист1!U296),"",Лист1!U296)</f>
        <v/>
      </c>
      <c r="V296" s="5" t="str">
        <f>IF(ISBLANK(Лист1!V296),"",Лист1!V296)</f>
        <v/>
      </c>
      <c r="W296" s="5" t="str">
        <f>IF(ISBLANK(Лист1!W296),"",Лист1!W296)</f>
        <v/>
      </c>
      <c r="X296" s="5" t="str">
        <f>IF(ISBLANK(Лист1!X296),"",Лист1!X296)</f>
        <v/>
      </c>
      <c r="Y296" s="5" t="str">
        <f>IF(ISERROR(VLOOKUP($X296,Лист2!$A$2:$G$498,1,FALSE)),"",VLOOKUP($X296,Лист2!$A$2:$G$498,1,FALSE))</f>
        <v/>
      </c>
      <c r="Z296" s="5" t="str">
        <f>IF(ISERROR(VLOOKUP($X296,Лист2!$A$2:$G$498,5,FALSE)),"",VLOOKUP($X296,Лист2!$A$2:$G$498,5,FALSE))</f>
        <v/>
      </c>
      <c r="AA296" s="5" t="str">
        <f>IF(ISERROR(VLOOKUP($X296,Лист2!$A$2:$G$498,6,FALSE)),"",VLOOKUP($X296,Лист2!$A$2:$G$498,6,FALSE))</f>
        <v/>
      </c>
      <c r="AB296" s="5" t="str">
        <f>IF(ISERROR(VLOOKUP($X296,Лист2!$A$2:$G$498,7,FALSE)),"",VLOOKUP($X296,Лист2!$A$2:$G$498,7,FALSE))</f>
        <v/>
      </c>
    </row>
    <row r="297" spans="1:28" x14ac:dyDescent="0.25">
      <c r="A297" s="5" t="str">
        <f>IF(ISBLANK(Лист1!A297),"",Лист1!A297)</f>
        <v/>
      </c>
      <c r="B297" s="5" t="str">
        <f>IF(ISBLANK(Лист1!B297),"",Лист1!B297)</f>
        <v/>
      </c>
      <c r="C297" s="5" t="str">
        <f>IF(ISBLANK(Лист1!C297),"",Лист1!C297)</f>
        <v/>
      </c>
      <c r="D297" s="5" t="str">
        <f>IF(ISBLANK(Лист1!D297),"",Лист1!D297)</f>
        <v/>
      </c>
      <c r="E297" s="5" t="str">
        <f>IF(ISBLANK(Лист1!E297),"",Лист1!E297)</f>
        <v/>
      </c>
      <c r="F297" s="5" t="str">
        <f>IF(ISBLANK(Лист1!F297),"",Лист1!F297)</f>
        <v/>
      </c>
      <c r="G297" s="5" t="str">
        <f>IF(ISBLANK(Лист1!G297),"",Лист1!G297)</f>
        <v/>
      </c>
      <c r="H297" s="5" t="str">
        <f>IF(ISBLANK(Лист1!H297),"",Лист1!H297)</f>
        <v/>
      </c>
      <c r="I297" s="5" t="str">
        <f>IF(ISBLANK(Лист1!I297),"",Лист1!I297)</f>
        <v/>
      </c>
      <c r="J297" s="5" t="str">
        <f>IF(ISBLANK(Лист1!J297),"",Лист1!J297)</f>
        <v/>
      </c>
      <c r="K297" s="5" t="str">
        <f>IF(ISBLANK(Лист1!K297),"",Лист1!K297)</f>
        <v/>
      </c>
      <c r="L297" s="5" t="str">
        <f>IF(ISBLANK(Лист1!L297),"",Лист1!L297)</f>
        <v/>
      </c>
      <c r="M297" s="5" t="str">
        <f>IF(ISBLANK(Лист1!M297),"",Лист1!M297)</f>
        <v/>
      </c>
      <c r="N297" s="5" t="str">
        <f>IF(ISBLANK(Лист1!N297),"",Лист1!N297)</f>
        <v/>
      </c>
      <c r="O297" s="5" t="str">
        <f>IF(ISBLANK(Лист1!O297),"",Лист1!O297)</f>
        <v/>
      </c>
      <c r="P297" s="5" t="str">
        <f>IF(ISBLANK(Лист1!P297),"",Лист1!P297)</f>
        <v/>
      </c>
      <c r="Q297" s="5" t="str">
        <f>IF(ISBLANK(Лист1!Q297),"",Лист1!Q297)</f>
        <v/>
      </c>
      <c r="R297" s="5" t="str">
        <f>IF(ISBLANK(Лист1!R297),"",Лист1!R297)</f>
        <v/>
      </c>
      <c r="S297" s="5" t="str">
        <f>IF(ISBLANK(Лист1!S297),"",Лист1!S297)</f>
        <v/>
      </c>
      <c r="T297" s="5" t="str">
        <f>IF(ISBLANK(Лист1!T297),"",Лист1!T297)</f>
        <v/>
      </c>
      <c r="U297" s="5" t="str">
        <f>IF(ISBLANK(Лист1!U297),"",Лист1!U297)</f>
        <v/>
      </c>
      <c r="V297" s="5" t="str">
        <f>IF(ISBLANK(Лист1!V297),"",Лист1!V297)</f>
        <v/>
      </c>
      <c r="W297" s="5" t="str">
        <f>IF(ISBLANK(Лист1!W297),"",Лист1!W297)</f>
        <v/>
      </c>
      <c r="X297" s="5" t="str">
        <f>IF(ISBLANK(Лист1!X297),"",Лист1!X297)</f>
        <v/>
      </c>
      <c r="Y297" s="5" t="str">
        <f>IF(ISERROR(VLOOKUP($X297,Лист2!$A$2:$G$498,1,FALSE)),"",VLOOKUP($X297,Лист2!$A$2:$G$498,1,FALSE))</f>
        <v/>
      </c>
      <c r="Z297" s="5" t="str">
        <f>IF(ISERROR(VLOOKUP($X297,Лист2!$A$2:$G$498,5,FALSE)),"",VLOOKUP($X297,Лист2!$A$2:$G$498,5,FALSE))</f>
        <v/>
      </c>
      <c r="AA297" s="5" t="str">
        <f>IF(ISERROR(VLOOKUP($X297,Лист2!$A$2:$G$498,6,FALSE)),"",VLOOKUP($X297,Лист2!$A$2:$G$498,6,FALSE))</f>
        <v/>
      </c>
      <c r="AB297" s="5" t="str">
        <f>IF(ISERROR(VLOOKUP($X297,Лист2!$A$2:$G$498,7,FALSE)),"",VLOOKUP($X297,Лист2!$A$2:$G$498,7,FALSE))</f>
        <v/>
      </c>
    </row>
    <row r="298" spans="1:28" x14ac:dyDescent="0.25">
      <c r="A298" s="5" t="str">
        <f>IF(ISBLANK(Лист1!A298),"",Лист1!A298)</f>
        <v/>
      </c>
      <c r="B298" s="5" t="str">
        <f>IF(ISBLANK(Лист1!B298),"",Лист1!B298)</f>
        <v/>
      </c>
      <c r="C298" s="5" t="str">
        <f>IF(ISBLANK(Лист1!C298),"",Лист1!C298)</f>
        <v/>
      </c>
      <c r="D298" s="5" t="str">
        <f>IF(ISBLANK(Лист1!D298),"",Лист1!D298)</f>
        <v/>
      </c>
      <c r="E298" s="5" t="str">
        <f>IF(ISBLANK(Лист1!E298),"",Лист1!E298)</f>
        <v/>
      </c>
      <c r="F298" s="5" t="str">
        <f>IF(ISBLANK(Лист1!F298),"",Лист1!F298)</f>
        <v/>
      </c>
      <c r="G298" s="5" t="str">
        <f>IF(ISBLANK(Лист1!G298),"",Лист1!G298)</f>
        <v/>
      </c>
      <c r="H298" s="5" t="str">
        <f>IF(ISBLANK(Лист1!H298),"",Лист1!H298)</f>
        <v/>
      </c>
      <c r="I298" s="5" t="str">
        <f>IF(ISBLANK(Лист1!I298),"",Лист1!I298)</f>
        <v/>
      </c>
      <c r="J298" s="5" t="str">
        <f>IF(ISBLANK(Лист1!J298),"",Лист1!J298)</f>
        <v/>
      </c>
      <c r="K298" s="5" t="str">
        <f>IF(ISBLANK(Лист1!K298),"",Лист1!K298)</f>
        <v/>
      </c>
      <c r="L298" s="5" t="str">
        <f>IF(ISBLANK(Лист1!L298),"",Лист1!L298)</f>
        <v/>
      </c>
      <c r="M298" s="5" t="str">
        <f>IF(ISBLANK(Лист1!M298),"",Лист1!M298)</f>
        <v/>
      </c>
      <c r="N298" s="5" t="str">
        <f>IF(ISBLANK(Лист1!N298),"",Лист1!N298)</f>
        <v/>
      </c>
      <c r="O298" s="5" t="str">
        <f>IF(ISBLANK(Лист1!O298),"",Лист1!O298)</f>
        <v/>
      </c>
      <c r="P298" s="5" t="str">
        <f>IF(ISBLANK(Лист1!P298),"",Лист1!P298)</f>
        <v/>
      </c>
      <c r="Q298" s="5" t="str">
        <f>IF(ISBLANK(Лист1!Q298),"",Лист1!Q298)</f>
        <v/>
      </c>
      <c r="R298" s="5" t="str">
        <f>IF(ISBLANK(Лист1!R298),"",Лист1!R298)</f>
        <v/>
      </c>
      <c r="S298" s="5" t="str">
        <f>IF(ISBLANK(Лист1!S298),"",Лист1!S298)</f>
        <v/>
      </c>
      <c r="T298" s="5" t="str">
        <f>IF(ISBLANK(Лист1!T298),"",Лист1!T298)</f>
        <v/>
      </c>
      <c r="U298" s="5" t="str">
        <f>IF(ISBLANK(Лист1!U298),"",Лист1!U298)</f>
        <v/>
      </c>
      <c r="V298" s="5" t="str">
        <f>IF(ISBLANK(Лист1!V298),"",Лист1!V298)</f>
        <v/>
      </c>
      <c r="W298" s="5" t="str">
        <f>IF(ISBLANK(Лист1!W298),"",Лист1!W298)</f>
        <v/>
      </c>
      <c r="X298" s="5" t="str">
        <f>IF(ISBLANK(Лист1!X298),"",Лист1!X298)</f>
        <v/>
      </c>
      <c r="Y298" s="5" t="str">
        <f>IF(ISERROR(VLOOKUP($X298,Лист2!$A$2:$G$498,1,FALSE)),"",VLOOKUP($X298,Лист2!$A$2:$G$498,1,FALSE))</f>
        <v/>
      </c>
      <c r="Z298" s="5" t="str">
        <f>IF(ISERROR(VLOOKUP($X298,Лист2!$A$2:$G$498,5,FALSE)),"",VLOOKUP($X298,Лист2!$A$2:$G$498,5,FALSE))</f>
        <v/>
      </c>
      <c r="AA298" s="5" t="str">
        <f>IF(ISERROR(VLOOKUP($X298,Лист2!$A$2:$G$498,6,FALSE)),"",VLOOKUP($X298,Лист2!$A$2:$G$498,6,FALSE))</f>
        <v/>
      </c>
      <c r="AB298" s="5" t="str">
        <f>IF(ISERROR(VLOOKUP($X298,Лист2!$A$2:$G$498,7,FALSE)),"",VLOOKUP($X298,Лист2!$A$2:$G$498,7,FALSE))</f>
        <v/>
      </c>
    </row>
    <row r="299" spans="1:28" x14ac:dyDescent="0.25">
      <c r="A299" s="5" t="str">
        <f>IF(ISBLANK(Лист1!A299),"",Лист1!A299)</f>
        <v/>
      </c>
      <c r="B299" s="5" t="str">
        <f>IF(ISBLANK(Лист1!B299),"",Лист1!B299)</f>
        <v/>
      </c>
      <c r="C299" s="5" t="str">
        <f>IF(ISBLANK(Лист1!C299),"",Лист1!C299)</f>
        <v/>
      </c>
      <c r="D299" s="5" t="str">
        <f>IF(ISBLANK(Лист1!D299),"",Лист1!D299)</f>
        <v/>
      </c>
      <c r="E299" s="5" t="str">
        <f>IF(ISBLANK(Лист1!E299),"",Лист1!E299)</f>
        <v/>
      </c>
      <c r="F299" s="5" t="str">
        <f>IF(ISBLANK(Лист1!F299),"",Лист1!F299)</f>
        <v/>
      </c>
      <c r="G299" s="5" t="str">
        <f>IF(ISBLANK(Лист1!G299),"",Лист1!G299)</f>
        <v/>
      </c>
      <c r="H299" s="5" t="str">
        <f>IF(ISBLANK(Лист1!H299),"",Лист1!H299)</f>
        <v/>
      </c>
      <c r="I299" s="5" t="str">
        <f>IF(ISBLANK(Лист1!I299),"",Лист1!I299)</f>
        <v/>
      </c>
      <c r="J299" s="5" t="str">
        <f>IF(ISBLANK(Лист1!J299),"",Лист1!J299)</f>
        <v/>
      </c>
      <c r="K299" s="5" t="str">
        <f>IF(ISBLANK(Лист1!K299),"",Лист1!K299)</f>
        <v/>
      </c>
      <c r="L299" s="5" t="str">
        <f>IF(ISBLANK(Лист1!L299),"",Лист1!L299)</f>
        <v/>
      </c>
      <c r="M299" s="5" t="str">
        <f>IF(ISBLANK(Лист1!M299),"",Лист1!M299)</f>
        <v/>
      </c>
      <c r="N299" s="5" t="str">
        <f>IF(ISBLANK(Лист1!N299),"",Лист1!N299)</f>
        <v/>
      </c>
      <c r="O299" s="5" t="str">
        <f>IF(ISBLANK(Лист1!O299),"",Лист1!O299)</f>
        <v/>
      </c>
      <c r="P299" s="5" t="str">
        <f>IF(ISBLANK(Лист1!P299),"",Лист1!P299)</f>
        <v/>
      </c>
      <c r="Q299" s="5" t="str">
        <f>IF(ISBLANK(Лист1!Q299),"",Лист1!Q299)</f>
        <v/>
      </c>
      <c r="R299" s="5" t="str">
        <f>IF(ISBLANK(Лист1!R299),"",Лист1!R299)</f>
        <v/>
      </c>
      <c r="S299" s="5" t="str">
        <f>IF(ISBLANK(Лист1!S299),"",Лист1!S299)</f>
        <v/>
      </c>
      <c r="T299" s="5" t="str">
        <f>IF(ISBLANK(Лист1!T299),"",Лист1!T299)</f>
        <v/>
      </c>
      <c r="U299" s="5" t="str">
        <f>IF(ISBLANK(Лист1!U299),"",Лист1!U299)</f>
        <v/>
      </c>
      <c r="V299" s="5" t="str">
        <f>IF(ISBLANK(Лист1!V299),"",Лист1!V299)</f>
        <v/>
      </c>
      <c r="W299" s="5" t="str">
        <f>IF(ISBLANK(Лист1!W299),"",Лист1!W299)</f>
        <v/>
      </c>
      <c r="X299" s="5" t="str">
        <f>IF(ISBLANK(Лист1!X299),"",Лист1!X299)</f>
        <v/>
      </c>
      <c r="Y299" s="5" t="str">
        <f>IF(ISERROR(VLOOKUP($X299,Лист2!$A$2:$G$498,1,FALSE)),"",VLOOKUP($X299,Лист2!$A$2:$G$498,1,FALSE))</f>
        <v/>
      </c>
      <c r="Z299" s="5" t="str">
        <f>IF(ISERROR(VLOOKUP($X299,Лист2!$A$2:$G$498,5,FALSE)),"",VLOOKUP($X299,Лист2!$A$2:$G$498,5,FALSE))</f>
        <v/>
      </c>
      <c r="AA299" s="5" t="str">
        <f>IF(ISERROR(VLOOKUP($X299,Лист2!$A$2:$G$498,6,FALSE)),"",VLOOKUP($X299,Лист2!$A$2:$G$498,6,FALSE))</f>
        <v/>
      </c>
      <c r="AB299" s="5" t="str">
        <f>IF(ISERROR(VLOOKUP($X299,Лист2!$A$2:$G$498,7,FALSE)),"",VLOOKUP($X299,Лист2!$A$2:$G$498,7,FALSE))</f>
        <v/>
      </c>
    </row>
    <row r="300" spans="1:28" x14ac:dyDescent="0.25">
      <c r="A300" s="5" t="str">
        <f>IF(ISBLANK(Лист1!A300),"",Лист1!A300)</f>
        <v/>
      </c>
      <c r="B300" s="5" t="str">
        <f>IF(ISBLANK(Лист1!B300),"",Лист1!B300)</f>
        <v/>
      </c>
      <c r="C300" s="5" t="str">
        <f>IF(ISBLANK(Лист1!C300),"",Лист1!C300)</f>
        <v/>
      </c>
      <c r="D300" s="5" t="str">
        <f>IF(ISBLANK(Лист1!D300),"",Лист1!D300)</f>
        <v/>
      </c>
      <c r="E300" s="5" t="str">
        <f>IF(ISBLANK(Лист1!E300),"",Лист1!E300)</f>
        <v/>
      </c>
      <c r="F300" s="5" t="str">
        <f>IF(ISBLANK(Лист1!F300),"",Лист1!F300)</f>
        <v/>
      </c>
      <c r="G300" s="5" t="str">
        <f>IF(ISBLANK(Лист1!G300),"",Лист1!G300)</f>
        <v/>
      </c>
      <c r="H300" s="5" t="str">
        <f>IF(ISBLANK(Лист1!H300),"",Лист1!H300)</f>
        <v/>
      </c>
      <c r="I300" s="5" t="str">
        <f>IF(ISBLANK(Лист1!I300),"",Лист1!I300)</f>
        <v/>
      </c>
      <c r="J300" s="5" t="str">
        <f>IF(ISBLANK(Лист1!J300),"",Лист1!J300)</f>
        <v/>
      </c>
      <c r="K300" s="5" t="str">
        <f>IF(ISBLANK(Лист1!K300),"",Лист1!K300)</f>
        <v/>
      </c>
      <c r="L300" s="5" t="str">
        <f>IF(ISBLANK(Лист1!L300),"",Лист1!L300)</f>
        <v/>
      </c>
      <c r="M300" s="5" t="str">
        <f>IF(ISBLANK(Лист1!M300),"",Лист1!M300)</f>
        <v/>
      </c>
      <c r="N300" s="5" t="str">
        <f>IF(ISBLANK(Лист1!N300),"",Лист1!N300)</f>
        <v/>
      </c>
      <c r="O300" s="5" t="str">
        <f>IF(ISBLANK(Лист1!O300),"",Лист1!O300)</f>
        <v/>
      </c>
      <c r="P300" s="5" t="str">
        <f>IF(ISBLANK(Лист1!P300),"",Лист1!P300)</f>
        <v/>
      </c>
      <c r="Q300" s="5" t="str">
        <f>IF(ISBLANK(Лист1!Q300),"",Лист1!Q300)</f>
        <v/>
      </c>
      <c r="R300" s="5" t="str">
        <f>IF(ISBLANK(Лист1!R300),"",Лист1!R300)</f>
        <v/>
      </c>
      <c r="S300" s="5" t="str">
        <f>IF(ISBLANK(Лист1!S300),"",Лист1!S300)</f>
        <v/>
      </c>
      <c r="T300" s="5" t="str">
        <f>IF(ISBLANK(Лист1!T300),"",Лист1!T300)</f>
        <v/>
      </c>
      <c r="U300" s="5" t="str">
        <f>IF(ISBLANK(Лист1!U300),"",Лист1!U300)</f>
        <v/>
      </c>
      <c r="V300" s="5" t="str">
        <f>IF(ISBLANK(Лист1!V300),"",Лист1!V300)</f>
        <v/>
      </c>
      <c r="W300" s="5" t="str">
        <f>IF(ISBLANK(Лист1!W300),"",Лист1!W300)</f>
        <v/>
      </c>
      <c r="X300" s="5" t="str">
        <f>IF(ISBLANK(Лист1!X300),"",Лист1!X300)</f>
        <v/>
      </c>
      <c r="Y300" s="5" t="str">
        <f>IF(ISERROR(VLOOKUP($X300,Лист2!$A$2:$G$498,1,FALSE)),"",VLOOKUP($X300,Лист2!$A$2:$G$498,1,FALSE))</f>
        <v/>
      </c>
      <c r="Z300" s="5" t="str">
        <f>IF(ISERROR(VLOOKUP($X300,Лист2!$A$2:$G$498,5,FALSE)),"",VLOOKUP($X300,Лист2!$A$2:$G$498,5,FALSE))</f>
        <v/>
      </c>
      <c r="AA300" s="5" t="str">
        <f>IF(ISERROR(VLOOKUP($X300,Лист2!$A$2:$G$498,6,FALSE)),"",VLOOKUP($X300,Лист2!$A$2:$G$498,6,FALSE))</f>
        <v/>
      </c>
      <c r="AB300" s="5" t="str">
        <f>IF(ISERROR(VLOOKUP($X300,Лист2!$A$2:$G$498,7,FALSE)),"",VLOOKUP($X300,Лист2!$A$2:$G$498,7,FALSE))</f>
        <v/>
      </c>
    </row>
    <row r="301" spans="1:28" x14ac:dyDescent="0.25">
      <c r="A301" s="5" t="str">
        <f>IF(ISBLANK(Лист1!A301),"",Лист1!A301)</f>
        <v/>
      </c>
      <c r="B301" s="5" t="str">
        <f>IF(ISBLANK(Лист1!B301),"",Лист1!B301)</f>
        <v/>
      </c>
      <c r="C301" s="5" t="str">
        <f>IF(ISBLANK(Лист1!C301),"",Лист1!C301)</f>
        <v/>
      </c>
      <c r="D301" s="5" t="str">
        <f>IF(ISBLANK(Лист1!D301),"",Лист1!D301)</f>
        <v/>
      </c>
      <c r="E301" s="5" t="str">
        <f>IF(ISBLANK(Лист1!E301),"",Лист1!E301)</f>
        <v/>
      </c>
      <c r="F301" s="5" t="str">
        <f>IF(ISBLANK(Лист1!F301),"",Лист1!F301)</f>
        <v/>
      </c>
      <c r="G301" s="5" t="str">
        <f>IF(ISBLANK(Лист1!G301),"",Лист1!G301)</f>
        <v/>
      </c>
      <c r="H301" s="5" t="str">
        <f>IF(ISBLANK(Лист1!H301),"",Лист1!H301)</f>
        <v/>
      </c>
      <c r="I301" s="5" t="str">
        <f>IF(ISBLANK(Лист1!I301),"",Лист1!I301)</f>
        <v/>
      </c>
      <c r="J301" s="5" t="str">
        <f>IF(ISBLANK(Лист1!J301),"",Лист1!J301)</f>
        <v/>
      </c>
      <c r="K301" s="5" t="str">
        <f>IF(ISBLANK(Лист1!K301),"",Лист1!K301)</f>
        <v/>
      </c>
      <c r="L301" s="5" t="str">
        <f>IF(ISBLANK(Лист1!L301),"",Лист1!L301)</f>
        <v/>
      </c>
      <c r="M301" s="5" t="str">
        <f>IF(ISBLANK(Лист1!M301),"",Лист1!M301)</f>
        <v/>
      </c>
      <c r="N301" s="5" t="str">
        <f>IF(ISBLANK(Лист1!N301),"",Лист1!N301)</f>
        <v/>
      </c>
      <c r="O301" s="5" t="str">
        <f>IF(ISBLANK(Лист1!O301),"",Лист1!O301)</f>
        <v/>
      </c>
      <c r="P301" s="5" t="str">
        <f>IF(ISBLANK(Лист1!P301),"",Лист1!P301)</f>
        <v/>
      </c>
      <c r="Q301" s="5" t="str">
        <f>IF(ISBLANK(Лист1!Q301),"",Лист1!Q301)</f>
        <v/>
      </c>
      <c r="R301" s="5" t="str">
        <f>IF(ISBLANK(Лист1!R301),"",Лист1!R301)</f>
        <v/>
      </c>
      <c r="S301" s="5" t="str">
        <f>IF(ISBLANK(Лист1!S301),"",Лист1!S301)</f>
        <v/>
      </c>
      <c r="T301" s="5" t="str">
        <f>IF(ISBLANK(Лист1!T301),"",Лист1!T301)</f>
        <v/>
      </c>
      <c r="U301" s="5" t="str">
        <f>IF(ISBLANK(Лист1!U301),"",Лист1!U301)</f>
        <v/>
      </c>
      <c r="V301" s="5" t="str">
        <f>IF(ISBLANK(Лист1!V301),"",Лист1!V301)</f>
        <v/>
      </c>
      <c r="W301" s="5" t="str">
        <f>IF(ISBLANK(Лист1!W301),"",Лист1!W301)</f>
        <v/>
      </c>
      <c r="X301" s="5" t="str">
        <f>IF(ISBLANK(Лист1!X301),"",Лист1!X301)</f>
        <v/>
      </c>
      <c r="Y301" s="5" t="str">
        <f>IF(ISERROR(VLOOKUP($X301,Лист2!$A$2:$G$498,1,FALSE)),"",VLOOKUP($X301,Лист2!$A$2:$G$498,1,FALSE))</f>
        <v/>
      </c>
      <c r="Z301" s="5" t="str">
        <f>IF(ISERROR(VLOOKUP($X301,Лист2!$A$2:$G$498,5,FALSE)),"",VLOOKUP($X301,Лист2!$A$2:$G$498,5,FALSE))</f>
        <v/>
      </c>
      <c r="AA301" s="5" t="str">
        <f>IF(ISERROR(VLOOKUP($X301,Лист2!$A$2:$G$498,6,FALSE)),"",VLOOKUP($X301,Лист2!$A$2:$G$498,6,FALSE))</f>
        <v/>
      </c>
      <c r="AB301" s="5" t="str">
        <f>IF(ISERROR(VLOOKUP($X301,Лист2!$A$2:$G$498,7,FALSE)),"",VLOOKUP($X301,Лист2!$A$2:$G$498,7,FALSE))</f>
        <v/>
      </c>
    </row>
    <row r="302" spans="1:28" x14ac:dyDescent="0.25">
      <c r="A302" s="5" t="str">
        <f>IF(ISBLANK(Лист1!A302),"",Лист1!A302)</f>
        <v/>
      </c>
      <c r="B302" s="5" t="str">
        <f>IF(ISBLANK(Лист1!B302),"",Лист1!B302)</f>
        <v/>
      </c>
      <c r="C302" s="5" t="str">
        <f>IF(ISBLANK(Лист1!C302),"",Лист1!C302)</f>
        <v/>
      </c>
      <c r="D302" s="5" t="str">
        <f>IF(ISBLANK(Лист1!D302),"",Лист1!D302)</f>
        <v/>
      </c>
      <c r="E302" s="5" t="str">
        <f>IF(ISBLANK(Лист1!E302),"",Лист1!E302)</f>
        <v/>
      </c>
      <c r="F302" s="5" t="str">
        <f>IF(ISBLANK(Лист1!F302),"",Лист1!F302)</f>
        <v/>
      </c>
      <c r="G302" s="5" t="str">
        <f>IF(ISBLANK(Лист1!G302),"",Лист1!G302)</f>
        <v/>
      </c>
      <c r="H302" s="5" t="str">
        <f>IF(ISBLANK(Лист1!H302),"",Лист1!H302)</f>
        <v/>
      </c>
      <c r="I302" s="5" t="str">
        <f>IF(ISBLANK(Лист1!I302),"",Лист1!I302)</f>
        <v/>
      </c>
      <c r="J302" s="5" t="str">
        <f>IF(ISBLANK(Лист1!J302),"",Лист1!J302)</f>
        <v/>
      </c>
      <c r="K302" s="5" t="str">
        <f>IF(ISBLANK(Лист1!K302),"",Лист1!K302)</f>
        <v/>
      </c>
      <c r="L302" s="5" t="str">
        <f>IF(ISBLANK(Лист1!L302),"",Лист1!L302)</f>
        <v/>
      </c>
      <c r="M302" s="5" t="str">
        <f>IF(ISBLANK(Лист1!M302),"",Лист1!M302)</f>
        <v/>
      </c>
      <c r="N302" s="5" t="str">
        <f>IF(ISBLANK(Лист1!N302),"",Лист1!N302)</f>
        <v/>
      </c>
      <c r="O302" s="5" t="str">
        <f>IF(ISBLANK(Лист1!O302),"",Лист1!O302)</f>
        <v/>
      </c>
      <c r="P302" s="5" t="str">
        <f>IF(ISBLANK(Лист1!P302),"",Лист1!P302)</f>
        <v/>
      </c>
      <c r="Q302" s="5" t="str">
        <f>IF(ISBLANK(Лист1!Q302),"",Лист1!Q302)</f>
        <v/>
      </c>
      <c r="R302" s="5" t="str">
        <f>IF(ISBLANK(Лист1!R302),"",Лист1!R302)</f>
        <v/>
      </c>
      <c r="S302" s="5" t="str">
        <f>IF(ISBLANK(Лист1!S302),"",Лист1!S302)</f>
        <v/>
      </c>
      <c r="T302" s="5" t="str">
        <f>IF(ISBLANK(Лист1!T302),"",Лист1!T302)</f>
        <v/>
      </c>
      <c r="U302" s="5" t="str">
        <f>IF(ISBLANK(Лист1!U302),"",Лист1!U302)</f>
        <v/>
      </c>
      <c r="V302" s="5" t="str">
        <f>IF(ISBLANK(Лист1!V302),"",Лист1!V302)</f>
        <v/>
      </c>
      <c r="W302" s="5" t="str">
        <f>IF(ISBLANK(Лист1!W302),"",Лист1!W302)</f>
        <v/>
      </c>
      <c r="X302" s="5" t="str">
        <f>IF(ISBLANK(Лист1!X302),"",Лист1!X302)</f>
        <v/>
      </c>
      <c r="Y302" s="5" t="str">
        <f>IF(ISERROR(VLOOKUP($X302,Лист2!$A$2:$G$498,1,FALSE)),"",VLOOKUP($X302,Лист2!$A$2:$G$498,1,FALSE))</f>
        <v/>
      </c>
      <c r="Z302" s="5" t="str">
        <f>IF(ISERROR(VLOOKUP($X302,Лист2!$A$2:$G$498,5,FALSE)),"",VLOOKUP($X302,Лист2!$A$2:$G$498,5,FALSE))</f>
        <v/>
      </c>
      <c r="AA302" s="5" t="str">
        <f>IF(ISERROR(VLOOKUP($X302,Лист2!$A$2:$G$498,6,FALSE)),"",VLOOKUP($X302,Лист2!$A$2:$G$498,6,FALSE))</f>
        <v/>
      </c>
      <c r="AB302" s="5" t="str">
        <f>IF(ISERROR(VLOOKUP($X302,Лист2!$A$2:$G$498,7,FALSE)),"",VLOOKUP($X302,Лист2!$A$2:$G$498,7,FALSE))</f>
        <v/>
      </c>
    </row>
    <row r="303" spans="1:28" x14ac:dyDescent="0.25">
      <c r="A303" s="5" t="str">
        <f>IF(ISBLANK(Лист1!A303),"",Лист1!A303)</f>
        <v/>
      </c>
      <c r="B303" s="5" t="str">
        <f>IF(ISBLANK(Лист1!B303),"",Лист1!B303)</f>
        <v/>
      </c>
      <c r="C303" s="5" t="str">
        <f>IF(ISBLANK(Лист1!C303),"",Лист1!C303)</f>
        <v/>
      </c>
      <c r="D303" s="5" t="str">
        <f>IF(ISBLANK(Лист1!D303),"",Лист1!D303)</f>
        <v/>
      </c>
      <c r="E303" s="5" t="str">
        <f>IF(ISBLANK(Лист1!E303),"",Лист1!E303)</f>
        <v/>
      </c>
      <c r="F303" s="5" t="str">
        <f>IF(ISBLANK(Лист1!F303),"",Лист1!F303)</f>
        <v/>
      </c>
      <c r="G303" s="5" t="str">
        <f>IF(ISBLANK(Лист1!G303),"",Лист1!G303)</f>
        <v/>
      </c>
      <c r="H303" s="5" t="str">
        <f>IF(ISBLANK(Лист1!H303),"",Лист1!H303)</f>
        <v/>
      </c>
      <c r="I303" s="5" t="str">
        <f>IF(ISBLANK(Лист1!I303),"",Лист1!I303)</f>
        <v/>
      </c>
      <c r="J303" s="5" t="str">
        <f>IF(ISBLANK(Лист1!J303),"",Лист1!J303)</f>
        <v/>
      </c>
      <c r="K303" s="5" t="str">
        <f>IF(ISBLANK(Лист1!K303),"",Лист1!K303)</f>
        <v/>
      </c>
      <c r="L303" s="5" t="str">
        <f>IF(ISBLANK(Лист1!L303),"",Лист1!L303)</f>
        <v/>
      </c>
      <c r="M303" s="5" t="str">
        <f>IF(ISBLANK(Лист1!M303),"",Лист1!M303)</f>
        <v/>
      </c>
      <c r="N303" s="5" t="str">
        <f>IF(ISBLANK(Лист1!N303),"",Лист1!N303)</f>
        <v/>
      </c>
      <c r="O303" s="5" t="str">
        <f>IF(ISBLANK(Лист1!O303),"",Лист1!O303)</f>
        <v/>
      </c>
      <c r="P303" s="5" t="str">
        <f>IF(ISBLANK(Лист1!P303),"",Лист1!P303)</f>
        <v/>
      </c>
      <c r="Q303" s="5" t="str">
        <f>IF(ISBLANK(Лист1!Q303),"",Лист1!Q303)</f>
        <v/>
      </c>
      <c r="R303" s="5" t="str">
        <f>IF(ISBLANK(Лист1!R303),"",Лист1!R303)</f>
        <v/>
      </c>
      <c r="S303" s="5" t="str">
        <f>IF(ISBLANK(Лист1!S303),"",Лист1!S303)</f>
        <v/>
      </c>
      <c r="T303" s="5" t="str">
        <f>IF(ISBLANK(Лист1!T303),"",Лист1!T303)</f>
        <v/>
      </c>
      <c r="U303" s="5" t="str">
        <f>IF(ISBLANK(Лист1!U303),"",Лист1!U303)</f>
        <v/>
      </c>
      <c r="V303" s="5" t="str">
        <f>IF(ISBLANK(Лист1!V303),"",Лист1!V303)</f>
        <v/>
      </c>
      <c r="W303" s="5" t="str">
        <f>IF(ISBLANK(Лист1!W303),"",Лист1!W303)</f>
        <v/>
      </c>
      <c r="X303" s="5" t="str">
        <f>IF(ISBLANK(Лист1!X303),"",Лист1!X303)</f>
        <v/>
      </c>
      <c r="Y303" s="5" t="str">
        <f>IF(ISERROR(VLOOKUP($X303,Лист2!$A$2:$G$498,1,FALSE)),"",VLOOKUP($X303,Лист2!$A$2:$G$498,1,FALSE))</f>
        <v/>
      </c>
      <c r="Z303" s="5" t="str">
        <f>IF(ISERROR(VLOOKUP($X303,Лист2!$A$2:$G$498,5,FALSE)),"",VLOOKUP($X303,Лист2!$A$2:$G$498,5,FALSE))</f>
        <v/>
      </c>
      <c r="AA303" s="5" t="str">
        <f>IF(ISERROR(VLOOKUP($X303,Лист2!$A$2:$G$498,6,FALSE)),"",VLOOKUP($X303,Лист2!$A$2:$G$498,6,FALSE))</f>
        <v/>
      </c>
      <c r="AB303" s="5" t="str">
        <f>IF(ISERROR(VLOOKUP($X303,Лист2!$A$2:$G$498,7,FALSE)),"",VLOOKUP($X303,Лист2!$A$2:$G$498,7,FALSE))</f>
        <v/>
      </c>
    </row>
    <row r="304" spans="1:28" x14ac:dyDescent="0.25">
      <c r="A304" s="5" t="str">
        <f>IF(ISBLANK(Лист1!A304),"",Лист1!A304)</f>
        <v/>
      </c>
      <c r="B304" s="5" t="str">
        <f>IF(ISBLANK(Лист1!B304),"",Лист1!B304)</f>
        <v/>
      </c>
      <c r="C304" s="5" t="str">
        <f>IF(ISBLANK(Лист1!C304),"",Лист1!C304)</f>
        <v/>
      </c>
      <c r="D304" s="5" t="str">
        <f>IF(ISBLANK(Лист1!D304),"",Лист1!D304)</f>
        <v/>
      </c>
      <c r="E304" s="5" t="str">
        <f>IF(ISBLANK(Лист1!E304),"",Лист1!E304)</f>
        <v/>
      </c>
      <c r="F304" s="5" t="str">
        <f>IF(ISBLANK(Лист1!F304),"",Лист1!F304)</f>
        <v/>
      </c>
      <c r="G304" s="5" t="str">
        <f>IF(ISBLANK(Лист1!G304),"",Лист1!G304)</f>
        <v/>
      </c>
      <c r="H304" s="5" t="str">
        <f>IF(ISBLANK(Лист1!H304),"",Лист1!H304)</f>
        <v/>
      </c>
      <c r="I304" s="5" t="str">
        <f>IF(ISBLANK(Лист1!I304),"",Лист1!I304)</f>
        <v/>
      </c>
      <c r="J304" s="5" t="str">
        <f>IF(ISBLANK(Лист1!J304),"",Лист1!J304)</f>
        <v/>
      </c>
      <c r="K304" s="5" t="str">
        <f>IF(ISBLANK(Лист1!K304),"",Лист1!K304)</f>
        <v/>
      </c>
      <c r="L304" s="5" t="str">
        <f>IF(ISBLANK(Лист1!L304),"",Лист1!L304)</f>
        <v/>
      </c>
      <c r="M304" s="5" t="str">
        <f>IF(ISBLANK(Лист1!M304),"",Лист1!M304)</f>
        <v/>
      </c>
      <c r="N304" s="5" t="str">
        <f>IF(ISBLANK(Лист1!N304),"",Лист1!N304)</f>
        <v/>
      </c>
      <c r="O304" s="5" t="str">
        <f>IF(ISBLANK(Лист1!O304),"",Лист1!O304)</f>
        <v/>
      </c>
      <c r="P304" s="5" t="str">
        <f>IF(ISBLANK(Лист1!P304),"",Лист1!P304)</f>
        <v/>
      </c>
      <c r="Q304" s="5" t="str">
        <f>IF(ISBLANK(Лист1!Q304),"",Лист1!Q304)</f>
        <v/>
      </c>
      <c r="R304" s="5" t="str">
        <f>IF(ISBLANK(Лист1!R304),"",Лист1!R304)</f>
        <v/>
      </c>
      <c r="S304" s="5" t="str">
        <f>IF(ISBLANK(Лист1!S304),"",Лист1!S304)</f>
        <v/>
      </c>
      <c r="T304" s="5" t="str">
        <f>IF(ISBLANK(Лист1!T304),"",Лист1!T304)</f>
        <v/>
      </c>
      <c r="U304" s="5" t="str">
        <f>IF(ISBLANK(Лист1!U304),"",Лист1!U304)</f>
        <v/>
      </c>
      <c r="V304" s="5" t="str">
        <f>IF(ISBLANK(Лист1!V304),"",Лист1!V304)</f>
        <v/>
      </c>
      <c r="W304" s="5" t="str">
        <f>IF(ISBLANK(Лист1!W304),"",Лист1!W304)</f>
        <v/>
      </c>
      <c r="X304" s="5" t="str">
        <f>IF(ISBLANK(Лист1!X304),"",Лист1!X304)</f>
        <v/>
      </c>
      <c r="Y304" s="5" t="str">
        <f>IF(ISERROR(VLOOKUP($X304,Лист2!$A$2:$G$498,1,FALSE)),"",VLOOKUP($X304,Лист2!$A$2:$G$498,1,FALSE))</f>
        <v/>
      </c>
      <c r="Z304" s="5" t="str">
        <f>IF(ISERROR(VLOOKUP($X304,Лист2!$A$2:$G$498,5,FALSE)),"",VLOOKUP($X304,Лист2!$A$2:$G$498,5,FALSE))</f>
        <v/>
      </c>
      <c r="AA304" s="5" t="str">
        <f>IF(ISERROR(VLOOKUP($X304,Лист2!$A$2:$G$498,6,FALSE)),"",VLOOKUP($X304,Лист2!$A$2:$G$498,6,FALSE))</f>
        <v/>
      </c>
      <c r="AB304" s="5" t="str">
        <f>IF(ISERROR(VLOOKUP($X304,Лист2!$A$2:$G$498,7,FALSE)),"",VLOOKUP($X304,Лист2!$A$2:$G$498,7,FALSE))</f>
        <v/>
      </c>
    </row>
    <row r="305" spans="1:28" x14ac:dyDescent="0.25">
      <c r="A305" s="5" t="str">
        <f>IF(ISBLANK(Лист1!A305),"",Лист1!A305)</f>
        <v/>
      </c>
      <c r="B305" s="5" t="str">
        <f>IF(ISBLANK(Лист1!B305),"",Лист1!B305)</f>
        <v/>
      </c>
      <c r="C305" s="5" t="str">
        <f>IF(ISBLANK(Лист1!C305),"",Лист1!C305)</f>
        <v/>
      </c>
      <c r="D305" s="5" t="str">
        <f>IF(ISBLANK(Лист1!D305),"",Лист1!D305)</f>
        <v/>
      </c>
      <c r="E305" s="5" t="str">
        <f>IF(ISBLANK(Лист1!E305),"",Лист1!E305)</f>
        <v/>
      </c>
      <c r="F305" s="5" t="str">
        <f>IF(ISBLANK(Лист1!F305),"",Лист1!F305)</f>
        <v/>
      </c>
      <c r="G305" s="5" t="str">
        <f>IF(ISBLANK(Лист1!G305),"",Лист1!G305)</f>
        <v/>
      </c>
      <c r="H305" s="5" t="str">
        <f>IF(ISBLANK(Лист1!H305),"",Лист1!H305)</f>
        <v/>
      </c>
      <c r="I305" s="5" t="str">
        <f>IF(ISBLANK(Лист1!I305),"",Лист1!I305)</f>
        <v/>
      </c>
      <c r="J305" s="5" t="str">
        <f>IF(ISBLANK(Лист1!J305),"",Лист1!J305)</f>
        <v/>
      </c>
      <c r="K305" s="5" t="str">
        <f>IF(ISBLANK(Лист1!K305),"",Лист1!K305)</f>
        <v/>
      </c>
      <c r="L305" s="5" t="str">
        <f>IF(ISBLANK(Лист1!L305),"",Лист1!L305)</f>
        <v/>
      </c>
      <c r="M305" s="5" t="str">
        <f>IF(ISBLANK(Лист1!M305),"",Лист1!M305)</f>
        <v/>
      </c>
      <c r="N305" s="5" t="str">
        <f>IF(ISBLANK(Лист1!N305),"",Лист1!N305)</f>
        <v/>
      </c>
      <c r="O305" s="5" t="str">
        <f>IF(ISBLANK(Лист1!O305),"",Лист1!O305)</f>
        <v/>
      </c>
      <c r="P305" s="5" t="str">
        <f>IF(ISBLANK(Лист1!P305),"",Лист1!P305)</f>
        <v/>
      </c>
      <c r="Q305" s="5" t="str">
        <f>IF(ISBLANK(Лист1!Q305),"",Лист1!Q305)</f>
        <v/>
      </c>
      <c r="R305" s="5" t="str">
        <f>IF(ISBLANK(Лист1!R305),"",Лист1!R305)</f>
        <v/>
      </c>
      <c r="S305" s="5" t="str">
        <f>IF(ISBLANK(Лист1!S305),"",Лист1!S305)</f>
        <v/>
      </c>
      <c r="T305" s="5" t="str">
        <f>IF(ISBLANK(Лист1!T305),"",Лист1!T305)</f>
        <v/>
      </c>
      <c r="U305" s="5" t="str">
        <f>IF(ISBLANK(Лист1!U305),"",Лист1!U305)</f>
        <v/>
      </c>
      <c r="V305" s="5" t="str">
        <f>IF(ISBLANK(Лист1!V305),"",Лист1!V305)</f>
        <v/>
      </c>
      <c r="W305" s="5" t="str">
        <f>IF(ISBLANK(Лист1!W305),"",Лист1!W305)</f>
        <v/>
      </c>
      <c r="X305" s="5" t="str">
        <f>IF(ISBLANK(Лист1!X305),"",Лист1!X305)</f>
        <v/>
      </c>
      <c r="Y305" s="5" t="str">
        <f>IF(ISERROR(VLOOKUP($X305,Лист2!$A$2:$G$498,1,FALSE)),"",VLOOKUP($X305,Лист2!$A$2:$G$498,1,FALSE))</f>
        <v/>
      </c>
      <c r="Z305" s="5" t="str">
        <f>IF(ISERROR(VLOOKUP($X305,Лист2!$A$2:$G$498,5,FALSE)),"",VLOOKUP($X305,Лист2!$A$2:$G$498,5,FALSE))</f>
        <v/>
      </c>
      <c r="AA305" s="5" t="str">
        <f>IF(ISERROR(VLOOKUP($X305,Лист2!$A$2:$G$498,6,FALSE)),"",VLOOKUP($X305,Лист2!$A$2:$G$498,6,FALSE))</f>
        <v/>
      </c>
      <c r="AB305" s="5" t="str">
        <f>IF(ISERROR(VLOOKUP($X305,Лист2!$A$2:$G$498,7,FALSE)),"",VLOOKUP($X305,Лист2!$A$2:$G$498,7,FALSE))</f>
        <v/>
      </c>
    </row>
    <row r="306" spans="1:28" x14ac:dyDescent="0.25">
      <c r="A306" s="5" t="str">
        <f>IF(ISBLANK(Лист1!A306),"",Лист1!A306)</f>
        <v/>
      </c>
      <c r="B306" s="5" t="str">
        <f>IF(ISBLANK(Лист1!B306),"",Лист1!B306)</f>
        <v/>
      </c>
      <c r="C306" s="5" t="str">
        <f>IF(ISBLANK(Лист1!C306),"",Лист1!C306)</f>
        <v/>
      </c>
      <c r="D306" s="5" t="str">
        <f>IF(ISBLANK(Лист1!D306),"",Лист1!D306)</f>
        <v/>
      </c>
      <c r="E306" s="5" t="str">
        <f>IF(ISBLANK(Лист1!E306),"",Лист1!E306)</f>
        <v/>
      </c>
      <c r="F306" s="5" t="str">
        <f>IF(ISBLANK(Лист1!F306),"",Лист1!F306)</f>
        <v/>
      </c>
      <c r="G306" s="5" t="str">
        <f>IF(ISBLANK(Лист1!G306),"",Лист1!G306)</f>
        <v/>
      </c>
      <c r="H306" s="5" t="str">
        <f>IF(ISBLANK(Лист1!H306),"",Лист1!H306)</f>
        <v/>
      </c>
      <c r="I306" s="5" t="str">
        <f>IF(ISBLANK(Лист1!I306),"",Лист1!I306)</f>
        <v/>
      </c>
      <c r="J306" s="5" t="str">
        <f>IF(ISBLANK(Лист1!J306),"",Лист1!J306)</f>
        <v/>
      </c>
      <c r="K306" s="5" t="str">
        <f>IF(ISBLANK(Лист1!K306),"",Лист1!K306)</f>
        <v/>
      </c>
      <c r="L306" s="5" t="str">
        <f>IF(ISBLANK(Лист1!L306),"",Лист1!L306)</f>
        <v/>
      </c>
      <c r="M306" s="5" t="str">
        <f>IF(ISBLANK(Лист1!M306),"",Лист1!M306)</f>
        <v/>
      </c>
      <c r="N306" s="5" t="str">
        <f>IF(ISBLANK(Лист1!N306),"",Лист1!N306)</f>
        <v/>
      </c>
      <c r="O306" s="5" t="str">
        <f>IF(ISBLANK(Лист1!O306),"",Лист1!O306)</f>
        <v/>
      </c>
      <c r="P306" s="5" t="str">
        <f>IF(ISBLANK(Лист1!P306),"",Лист1!P306)</f>
        <v/>
      </c>
      <c r="Q306" s="5" t="str">
        <f>IF(ISBLANK(Лист1!Q306),"",Лист1!Q306)</f>
        <v/>
      </c>
      <c r="R306" s="5" t="str">
        <f>IF(ISBLANK(Лист1!R306),"",Лист1!R306)</f>
        <v/>
      </c>
      <c r="S306" s="5" t="str">
        <f>IF(ISBLANK(Лист1!S306),"",Лист1!S306)</f>
        <v/>
      </c>
      <c r="T306" s="5" t="str">
        <f>IF(ISBLANK(Лист1!T306),"",Лист1!T306)</f>
        <v/>
      </c>
      <c r="U306" s="5" t="str">
        <f>IF(ISBLANK(Лист1!U306),"",Лист1!U306)</f>
        <v/>
      </c>
      <c r="V306" s="5" t="str">
        <f>IF(ISBLANK(Лист1!V306),"",Лист1!V306)</f>
        <v/>
      </c>
      <c r="W306" s="5" t="str">
        <f>IF(ISBLANK(Лист1!W306),"",Лист1!W306)</f>
        <v/>
      </c>
      <c r="X306" s="5" t="str">
        <f>IF(ISBLANK(Лист1!X306),"",Лист1!X306)</f>
        <v/>
      </c>
      <c r="Y306" s="5" t="str">
        <f>IF(ISERROR(VLOOKUP($X306,Лист2!$A$2:$G$498,1,FALSE)),"",VLOOKUP($X306,Лист2!$A$2:$G$498,1,FALSE))</f>
        <v/>
      </c>
      <c r="Z306" s="5" t="str">
        <f>IF(ISERROR(VLOOKUP($X306,Лист2!$A$2:$G$498,5,FALSE)),"",VLOOKUP($X306,Лист2!$A$2:$G$498,5,FALSE))</f>
        <v/>
      </c>
      <c r="AA306" s="5" t="str">
        <f>IF(ISERROR(VLOOKUP($X306,Лист2!$A$2:$G$498,6,FALSE)),"",VLOOKUP($X306,Лист2!$A$2:$G$498,6,FALSE))</f>
        <v/>
      </c>
      <c r="AB306" s="5" t="str">
        <f>IF(ISERROR(VLOOKUP($X306,Лист2!$A$2:$G$498,7,FALSE)),"",VLOOKUP($X306,Лист2!$A$2:$G$498,7,FALSE))</f>
        <v/>
      </c>
    </row>
    <row r="307" spans="1:28" x14ac:dyDescent="0.25">
      <c r="A307" s="5" t="str">
        <f>IF(ISBLANK(Лист1!A307),"",Лист1!A307)</f>
        <v/>
      </c>
      <c r="B307" s="5" t="str">
        <f>IF(ISBLANK(Лист1!B307),"",Лист1!B307)</f>
        <v/>
      </c>
      <c r="C307" s="5" t="str">
        <f>IF(ISBLANK(Лист1!C307),"",Лист1!C307)</f>
        <v/>
      </c>
      <c r="D307" s="5" t="str">
        <f>IF(ISBLANK(Лист1!D307),"",Лист1!D307)</f>
        <v/>
      </c>
      <c r="E307" s="5" t="str">
        <f>IF(ISBLANK(Лист1!E307),"",Лист1!E307)</f>
        <v/>
      </c>
      <c r="F307" s="5" t="str">
        <f>IF(ISBLANK(Лист1!F307),"",Лист1!F307)</f>
        <v/>
      </c>
      <c r="G307" s="5" t="str">
        <f>IF(ISBLANK(Лист1!G307),"",Лист1!G307)</f>
        <v/>
      </c>
      <c r="H307" s="5" t="str">
        <f>IF(ISBLANK(Лист1!H307),"",Лист1!H307)</f>
        <v/>
      </c>
      <c r="I307" s="5" t="str">
        <f>IF(ISBLANK(Лист1!I307),"",Лист1!I307)</f>
        <v/>
      </c>
      <c r="J307" s="5" t="str">
        <f>IF(ISBLANK(Лист1!J307),"",Лист1!J307)</f>
        <v/>
      </c>
      <c r="K307" s="5" t="str">
        <f>IF(ISBLANK(Лист1!K307),"",Лист1!K307)</f>
        <v/>
      </c>
      <c r="L307" s="5" t="str">
        <f>IF(ISBLANK(Лист1!L307),"",Лист1!L307)</f>
        <v/>
      </c>
      <c r="M307" s="5" t="str">
        <f>IF(ISBLANK(Лист1!M307),"",Лист1!M307)</f>
        <v/>
      </c>
      <c r="N307" s="5" t="str">
        <f>IF(ISBLANK(Лист1!N307),"",Лист1!N307)</f>
        <v/>
      </c>
      <c r="O307" s="5" t="str">
        <f>IF(ISBLANK(Лист1!O307),"",Лист1!O307)</f>
        <v/>
      </c>
      <c r="P307" s="5" t="str">
        <f>IF(ISBLANK(Лист1!P307),"",Лист1!P307)</f>
        <v/>
      </c>
      <c r="Q307" s="5" t="str">
        <f>IF(ISBLANK(Лист1!Q307),"",Лист1!Q307)</f>
        <v/>
      </c>
      <c r="R307" s="5" t="str">
        <f>IF(ISBLANK(Лист1!R307),"",Лист1!R307)</f>
        <v/>
      </c>
      <c r="S307" s="5" t="str">
        <f>IF(ISBLANK(Лист1!S307),"",Лист1!S307)</f>
        <v/>
      </c>
      <c r="T307" s="5" t="str">
        <f>IF(ISBLANK(Лист1!T307),"",Лист1!T307)</f>
        <v/>
      </c>
      <c r="U307" s="5" t="str">
        <f>IF(ISBLANK(Лист1!U307),"",Лист1!U307)</f>
        <v/>
      </c>
      <c r="V307" s="5" t="str">
        <f>IF(ISBLANK(Лист1!V307),"",Лист1!V307)</f>
        <v/>
      </c>
      <c r="W307" s="5" t="str">
        <f>IF(ISBLANK(Лист1!W307),"",Лист1!W307)</f>
        <v/>
      </c>
      <c r="X307" s="5" t="str">
        <f>IF(ISBLANK(Лист1!X307),"",Лист1!X307)</f>
        <v/>
      </c>
      <c r="Y307" s="5" t="str">
        <f>IF(ISERROR(VLOOKUP($X307,Лист2!$A$2:$G$498,1,FALSE)),"",VLOOKUP($X307,Лист2!$A$2:$G$498,1,FALSE))</f>
        <v/>
      </c>
      <c r="Z307" s="5" t="str">
        <f>IF(ISERROR(VLOOKUP($X307,Лист2!$A$2:$G$498,5,FALSE)),"",VLOOKUP($X307,Лист2!$A$2:$G$498,5,FALSE))</f>
        <v/>
      </c>
      <c r="AA307" s="5" t="str">
        <f>IF(ISERROR(VLOOKUP($X307,Лист2!$A$2:$G$498,6,FALSE)),"",VLOOKUP($X307,Лист2!$A$2:$G$498,6,FALSE))</f>
        <v/>
      </c>
      <c r="AB307" s="5" t="str">
        <f>IF(ISERROR(VLOOKUP($X307,Лист2!$A$2:$G$498,7,FALSE)),"",VLOOKUP($X307,Лист2!$A$2:$G$498,7,FALSE))</f>
        <v/>
      </c>
    </row>
    <row r="308" spans="1:28" x14ac:dyDescent="0.25">
      <c r="A308" s="5" t="str">
        <f>IF(ISBLANK(Лист1!A308),"",Лист1!A308)</f>
        <v/>
      </c>
      <c r="B308" s="5" t="str">
        <f>IF(ISBLANK(Лист1!B308),"",Лист1!B308)</f>
        <v/>
      </c>
      <c r="C308" s="5" t="str">
        <f>IF(ISBLANK(Лист1!C308),"",Лист1!C308)</f>
        <v/>
      </c>
      <c r="D308" s="5" t="str">
        <f>IF(ISBLANK(Лист1!D308),"",Лист1!D308)</f>
        <v/>
      </c>
      <c r="E308" s="5" t="str">
        <f>IF(ISBLANK(Лист1!E308),"",Лист1!E308)</f>
        <v/>
      </c>
      <c r="F308" s="5" t="str">
        <f>IF(ISBLANK(Лист1!F308),"",Лист1!F308)</f>
        <v/>
      </c>
      <c r="G308" s="5" t="str">
        <f>IF(ISBLANK(Лист1!G308),"",Лист1!G308)</f>
        <v/>
      </c>
      <c r="H308" s="5" t="str">
        <f>IF(ISBLANK(Лист1!H308),"",Лист1!H308)</f>
        <v/>
      </c>
      <c r="I308" s="5" t="str">
        <f>IF(ISBLANK(Лист1!I308),"",Лист1!I308)</f>
        <v/>
      </c>
      <c r="J308" s="5" t="str">
        <f>IF(ISBLANK(Лист1!J308),"",Лист1!J308)</f>
        <v/>
      </c>
      <c r="K308" s="5" t="str">
        <f>IF(ISBLANK(Лист1!K308),"",Лист1!K308)</f>
        <v/>
      </c>
      <c r="L308" s="5" t="str">
        <f>IF(ISBLANK(Лист1!L308),"",Лист1!L308)</f>
        <v/>
      </c>
      <c r="M308" s="5" t="str">
        <f>IF(ISBLANK(Лист1!M308),"",Лист1!M308)</f>
        <v/>
      </c>
      <c r="N308" s="5" t="str">
        <f>IF(ISBLANK(Лист1!N308),"",Лист1!N308)</f>
        <v/>
      </c>
      <c r="O308" s="5" t="str">
        <f>IF(ISBLANK(Лист1!O308),"",Лист1!O308)</f>
        <v/>
      </c>
      <c r="P308" s="5" t="str">
        <f>IF(ISBLANK(Лист1!P308),"",Лист1!P308)</f>
        <v/>
      </c>
      <c r="Q308" s="5" t="str">
        <f>IF(ISBLANK(Лист1!Q308),"",Лист1!Q308)</f>
        <v/>
      </c>
      <c r="R308" s="5" t="str">
        <f>IF(ISBLANK(Лист1!R308),"",Лист1!R308)</f>
        <v/>
      </c>
      <c r="S308" s="5" t="str">
        <f>IF(ISBLANK(Лист1!S308),"",Лист1!S308)</f>
        <v/>
      </c>
      <c r="T308" s="5" t="str">
        <f>IF(ISBLANK(Лист1!T308),"",Лист1!T308)</f>
        <v/>
      </c>
      <c r="U308" s="5" t="str">
        <f>IF(ISBLANK(Лист1!U308),"",Лист1!U308)</f>
        <v/>
      </c>
      <c r="V308" s="5" t="str">
        <f>IF(ISBLANK(Лист1!V308),"",Лист1!V308)</f>
        <v/>
      </c>
      <c r="W308" s="5" t="str">
        <f>IF(ISBLANK(Лист1!W308),"",Лист1!W308)</f>
        <v/>
      </c>
      <c r="X308" s="5" t="str">
        <f>IF(ISBLANK(Лист1!X308),"",Лист1!X308)</f>
        <v/>
      </c>
      <c r="Y308" s="5" t="str">
        <f>IF(ISERROR(VLOOKUP($X308,Лист2!$A$2:$G$498,1,FALSE)),"",VLOOKUP($X308,Лист2!$A$2:$G$498,1,FALSE))</f>
        <v/>
      </c>
      <c r="Z308" s="5" t="str">
        <f>IF(ISERROR(VLOOKUP($X308,Лист2!$A$2:$G$498,5,FALSE)),"",VLOOKUP($X308,Лист2!$A$2:$G$498,5,FALSE))</f>
        <v/>
      </c>
      <c r="AA308" s="5" t="str">
        <f>IF(ISERROR(VLOOKUP($X308,Лист2!$A$2:$G$498,6,FALSE)),"",VLOOKUP($X308,Лист2!$A$2:$G$498,6,FALSE))</f>
        <v/>
      </c>
      <c r="AB308" s="5" t="str">
        <f>IF(ISERROR(VLOOKUP($X308,Лист2!$A$2:$G$498,7,FALSE)),"",VLOOKUP($X308,Лист2!$A$2:$G$498,7,FALSE))</f>
        <v/>
      </c>
    </row>
    <row r="309" spans="1:28" x14ac:dyDescent="0.25">
      <c r="A309" s="5" t="str">
        <f>IF(ISBLANK(Лист1!A309),"",Лист1!A309)</f>
        <v/>
      </c>
      <c r="B309" s="5" t="str">
        <f>IF(ISBLANK(Лист1!B309),"",Лист1!B309)</f>
        <v/>
      </c>
      <c r="C309" s="5" t="str">
        <f>IF(ISBLANK(Лист1!C309),"",Лист1!C309)</f>
        <v/>
      </c>
      <c r="D309" s="5" t="str">
        <f>IF(ISBLANK(Лист1!D309),"",Лист1!D309)</f>
        <v/>
      </c>
      <c r="E309" s="5" t="str">
        <f>IF(ISBLANK(Лист1!E309),"",Лист1!E309)</f>
        <v/>
      </c>
      <c r="F309" s="5" t="str">
        <f>IF(ISBLANK(Лист1!F309),"",Лист1!F309)</f>
        <v/>
      </c>
      <c r="G309" s="5" t="str">
        <f>IF(ISBLANK(Лист1!G309),"",Лист1!G309)</f>
        <v/>
      </c>
      <c r="H309" s="5" t="str">
        <f>IF(ISBLANK(Лист1!H309),"",Лист1!H309)</f>
        <v/>
      </c>
      <c r="I309" s="5" t="str">
        <f>IF(ISBLANK(Лист1!I309),"",Лист1!I309)</f>
        <v/>
      </c>
      <c r="J309" s="5" t="str">
        <f>IF(ISBLANK(Лист1!J309),"",Лист1!J309)</f>
        <v/>
      </c>
      <c r="K309" s="5" t="str">
        <f>IF(ISBLANK(Лист1!K309),"",Лист1!K309)</f>
        <v/>
      </c>
      <c r="L309" s="5" t="str">
        <f>IF(ISBLANK(Лист1!L309),"",Лист1!L309)</f>
        <v/>
      </c>
      <c r="M309" s="5" t="str">
        <f>IF(ISBLANK(Лист1!M309),"",Лист1!M309)</f>
        <v/>
      </c>
      <c r="N309" s="5" t="str">
        <f>IF(ISBLANK(Лист1!N309),"",Лист1!N309)</f>
        <v/>
      </c>
      <c r="O309" s="5" t="str">
        <f>IF(ISBLANK(Лист1!O309),"",Лист1!O309)</f>
        <v/>
      </c>
      <c r="P309" s="5" t="str">
        <f>IF(ISBLANK(Лист1!P309),"",Лист1!P309)</f>
        <v/>
      </c>
      <c r="Q309" s="5" t="str">
        <f>IF(ISBLANK(Лист1!Q309),"",Лист1!Q309)</f>
        <v/>
      </c>
      <c r="R309" s="5" t="str">
        <f>IF(ISBLANK(Лист1!R309),"",Лист1!R309)</f>
        <v/>
      </c>
      <c r="S309" s="5" t="str">
        <f>IF(ISBLANK(Лист1!S309),"",Лист1!S309)</f>
        <v/>
      </c>
      <c r="T309" s="5" t="str">
        <f>IF(ISBLANK(Лист1!T309),"",Лист1!T309)</f>
        <v/>
      </c>
      <c r="U309" s="5" t="str">
        <f>IF(ISBLANK(Лист1!U309),"",Лист1!U309)</f>
        <v/>
      </c>
      <c r="V309" s="5" t="str">
        <f>IF(ISBLANK(Лист1!V309),"",Лист1!V309)</f>
        <v/>
      </c>
      <c r="W309" s="5" t="str">
        <f>IF(ISBLANK(Лист1!W309),"",Лист1!W309)</f>
        <v/>
      </c>
      <c r="X309" s="5" t="str">
        <f>IF(ISBLANK(Лист1!X309),"",Лист1!X309)</f>
        <v/>
      </c>
      <c r="Y309" s="5" t="str">
        <f>IF(ISERROR(VLOOKUP($X309,Лист2!$A$2:$G$498,1,FALSE)),"",VLOOKUP($X309,Лист2!$A$2:$G$498,1,FALSE))</f>
        <v/>
      </c>
      <c r="Z309" s="5" t="str">
        <f>IF(ISERROR(VLOOKUP($X309,Лист2!$A$2:$G$498,5,FALSE)),"",VLOOKUP($X309,Лист2!$A$2:$G$498,5,FALSE))</f>
        <v/>
      </c>
      <c r="AA309" s="5" t="str">
        <f>IF(ISERROR(VLOOKUP($X309,Лист2!$A$2:$G$498,6,FALSE)),"",VLOOKUP($X309,Лист2!$A$2:$G$498,6,FALSE))</f>
        <v/>
      </c>
      <c r="AB309" s="5" t="str">
        <f>IF(ISERROR(VLOOKUP($X309,Лист2!$A$2:$G$498,7,FALSE)),"",VLOOKUP($X309,Лист2!$A$2:$G$498,7,FALSE))</f>
        <v/>
      </c>
    </row>
    <row r="310" spans="1:28" x14ac:dyDescent="0.25">
      <c r="A310" s="5" t="str">
        <f>IF(ISBLANK(Лист1!A310),"",Лист1!A310)</f>
        <v/>
      </c>
      <c r="B310" s="5" t="str">
        <f>IF(ISBLANK(Лист1!B310),"",Лист1!B310)</f>
        <v/>
      </c>
      <c r="C310" s="5" t="str">
        <f>IF(ISBLANK(Лист1!C310),"",Лист1!C310)</f>
        <v/>
      </c>
      <c r="D310" s="5" t="str">
        <f>IF(ISBLANK(Лист1!D310),"",Лист1!D310)</f>
        <v/>
      </c>
      <c r="E310" s="5" t="str">
        <f>IF(ISBLANK(Лист1!E310),"",Лист1!E310)</f>
        <v/>
      </c>
      <c r="F310" s="5" t="str">
        <f>IF(ISBLANK(Лист1!F310),"",Лист1!F310)</f>
        <v/>
      </c>
      <c r="G310" s="5" t="str">
        <f>IF(ISBLANK(Лист1!G310),"",Лист1!G310)</f>
        <v/>
      </c>
      <c r="H310" s="5" t="str">
        <f>IF(ISBLANK(Лист1!H310),"",Лист1!H310)</f>
        <v/>
      </c>
      <c r="I310" s="5" t="str">
        <f>IF(ISBLANK(Лист1!I310),"",Лист1!I310)</f>
        <v/>
      </c>
      <c r="J310" s="5" t="str">
        <f>IF(ISBLANK(Лист1!J310),"",Лист1!J310)</f>
        <v/>
      </c>
      <c r="K310" s="5" t="str">
        <f>IF(ISBLANK(Лист1!K310),"",Лист1!K310)</f>
        <v/>
      </c>
      <c r="L310" s="5" t="str">
        <f>IF(ISBLANK(Лист1!L310),"",Лист1!L310)</f>
        <v/>
      </c>
      <c r="M310" s="5" t="str">
        <f>IF(ISBLANK(Лист1!M310),"",Лист1!M310)</f>
        <v/>
      </c>
      <c r="N310" s="5" t="str">
        <f>IF(ISBLANK(Лист1!N310),"",Лист1!N310)</f>
        <v/>
      </c>
      <c r="O310" s="5" t="str">
        <f>IF(ISBLANK(Лист1!O310),"",Лист1!O310)</f>
        <v/>
      </c>
      <c r="P310" s="5" t="str">
        <f>IF(ISBLANK(Лист1!P310),"",Лист1!P310)</f>
        <v/>
      </c>
      <c r="Q310" s="5" t="str">
        <f>IF(ISBLANK(Лист1!Q310),"",Лист1!Q310)</f>
        <v/>
      </c>
      <c r="R310" s="5" t="str">
        <f>IF(ISBLANK(Лист1!R310),"",Лист1!R310)</f>
        <v/>
      </c>
      <c r="S310" s="5" t="str">
        <f>IF(ISBLANK(Лист1!S310),"",Лист1!S310)</f>
        <v/>
      </c>
      <c r="T310" s="5" t="str">
        <f>IF(ISBLANK(Лист1!T310),"",Лист1!T310)</f>
        <v/>
      </c>
      <c r="U310" s="5" t="str">
        <f>IF(ISBLANK(Лист1!U310),"",Лист1!U310)</f>
        <v/>
      </c>
      <c r="V310" s="5" t="str">
        <f>IF(ISBLANK(Лист1!V310),"",Лист1!V310)</f>
        <v/>
      </c>
      <c r="W310" s="5" t="str">
        <f>IF(ISBLANK(Лист1!W310),"",Лист1!W310)</f>
        <v/>
      </c>
      <c r="X310" s="5" t="str">
        <f>IF(ISBLANK(Лист1!X310),"",Лист1!X310)</f>
        <v/>
      </c>
      <c r="Y310" s="5" t="str">
        <f>IF(ISERROR(VLOOKUP($X310,Лист2!$A$2:$G$498,1,FALSE)),"",VLOOKUP($X310,Лист2!$A$2:$G$498,1,FALSE))</f>
        <v/>
      </c>
      <c r="Z310" s="5" t="str">
        <f>IF(ISERROR(VLOOKUP($X310,Лист2!$A$2:$G$498,5,FALSE)),"",VLOOKUP($X310,Лист2!$A$2:$G$498,5,FALSE))</f>
        <v/>
      </c>
      <c r="AA310" s="5" t="str">
        <f>IF(ISERROR(VLOOKUP($X310,Лист2!$A$2:$G$498,6,FALSE)),"",VLOOKUP($X310,Лист2!$A$2:$G$498,6,FALSE))</f>
        <v/>
      </c>
      <c r="AB310" s="5" t="str">
        <f>IF(ISERROR(VLOOKUP($X310,Лист2!$A$2:$G$498,7,FALSE)),"",VLOOKUP($X310,Лист2!$A$2:$G$498,7,FALSE))</f>
        <v/>
      </c>
    </row>
    <row r="311" spans="1:28" x14ac:dyDescent="0.25">
      <c r="A311" s="5" t="str">
        <f>IF(ISBLANK(Лист1!A311),"",Лист1!A311)</f>
        <v/>
      </c>
      <c r="B311" s="5" t="str">
        <f>IF(ISBLANK(Лист1!B311),"",Лист1!B311)</f>
        <v/>
      </c>
      <c r="C311" s="5" t="str">
        <f>IF(ISBLANK(Лист1!C311),"",Лист1!C311)</f>
        <v/>
      </c>
      <c r="D311" s="5" t="str">
        <f>IF(ISBLANK(Лист1!D311),"",Лист1!D311)</f>
        <v/>
      </c>
      <c r="E311" s="5" t="str">
        <f>IF(ISBLANK(Лист1!E311),"",Лист1!E311)</f>
        <v/>
      </c>
      <c r="F311" s="5" t="str">
        <f>IF(ISBLANK(Лист1!F311),"",Лист1!F311)</f>
        <v/>
      </c>
      <c r="G311" s="5" t="str">
        <f>IF(ISBLANK(Лист1!G311),"",Лист1!G311)</f>
        <v/>
      </c>
      <c r="H311" s="5" t="str">
        <f>IF(ISBLANK(Лист1!H311),"",Лист1!H311)</f>
        <v/>
      </c>
      <c r="I311" s="5" t="str">
        <f>IF(ISBLANK(Лист1!I311),"",Лист1!I311)</f>
        <v/>
      </c>
      <c r="J311" s="5" t="str">
        <f>IF(ISBLANK(Лист1!J311),"",Лист1!J311)</f>
        <v/>
      </c>
      <c r="K311" s="5" t="str">
        <f>IF(ISBLANK(Лист1!K311),"",Лист1!K311)</f>
        <v/>
      </c>
      <c r="L311" s="5" t="str">
        <f>IF(ISBLANK(Лист1!L311),"",Лист1!L311)</f>
        <v/>
      </c>
      <c r="M311" s="5" t="str">
        <f>IF(ISBLANK(Лист1!M311),"",Лист1!M311)</f>
        <v/>
      </c>
      <c r="N311" s="5" t="str">
        <f>IF(ISBLANK(Лист1!N311),"",Лист1!N311)</f>
        <v/>
      </c>
      <c r="O311" s="5" t="str">
        <f>IF(ISBLANK(Лист1!O311),"",Лист1!O311)</f>
        <v/>
      </c>
      <c r="P311" s="5" t="str">
        <f>IF(ISBLANK(Лист1!P311),"",Лист1!P311)</f>
        <v/>
      </c>
      <c r="Q311" s="5" t="str">
        <f>IF(ISBLANK(Лист1!Q311),"",Лист1!Q311)</f>
        <v/>
      </c>
      <c r="R311" s="5" t="str">
        <f>IF(ISBLANK(Лист1!R311),"",Лист1!R311)</f>
        <v/>
      </c>
      <c r="S311" s="5" t="str">
        <f>IF(ISBLANK(Лист1!S311),"",Лист1!S311)</f>
        <v/>
      </c>
      <c r="T311" s="5" t="str">
        <f>IF(ISBLANK(Лист1!T311),"",Лист1!T311)</f>
        <v/>
      </c>
      <c r="U311" s="5" t="str">
        <f>IF(ISBLANK(Лист1!U311),"",Лист1!U311)</f>
        <v/>
      </c>
      <c r="V311" s="5" t="str">
        <f>IF(ISBLANK(Лист1!V311),"",Лист1!V311)</f>
        <v/>
      </c>
      <c r="W311" s="5" t="str">
        <f>IF(ISBLANK(Лист1!W311),"",Лист1!W311)</f>
        <v/>
      </c>
      <c r="X311" s="5" t="str">
        <f>IF(ISBLANK(Лист1!X311),"",Лист1!X311)</f>
        <v/>
      </c>
      <c r="Y311" s="5" t="str">
        <f>IF(ISERROR(VLOOKUP($X311,Лист2!$A$2:$G$498,1,FALSE)),"",VLOOKUP($X311,Лист2!$A$2:$G$498,1,FALSE))</f>
        <v/>
      </c>
      <c r="Z311" s="5" t="str">
        <f>IF(ISERROR(VLOOKUP($X311,Лист2!$A$2:$G$498,5,FALSE)),"",VLOOKUP($X311,Лист2!$A$2:$G$498,5,FALSE))</f>
        <v/>
      </c>
      <c r="AA311" s="5" t="str">
        <f>IF(ISERROR(VLOOKUP($X311,Лист2!$A$2:$G$498,6,FALSE)),"",VLOOKUP($X311,Лист2!$A$2:$G$498,6,FALSE))</f>
        <v/>
      </c>
      <c r="AB311" s="5" t="str">
        <f>IF(ISERROR(VLOOKUP($X311,Лист2!$A$2:$G$498,7,FALSE)),"",VLOOKUP($X311,Лист2!$A$2:$G$498,7,FALSE))</f>
        <v/>
      </c>
    </row>
    <row r="312" spans="1:28" x14ac:dyDescent="0.25">
      <c r="A312" s="5" t="str">
        <f>IF(ISBLANK(Лист1!A312),"",Лист1!A312)</f>
        <v/>
      </c>
      <c r="B312" s="5" t="str">
        <f>IF(ISBLANK(Лист1!B312),"",Лист1!B312)</f>
        <v/>
      </c>
      <c r="C312" s="5" t="str">
        <f>IF(ISBLANK(Лист1!C312),"",Лист1!C312)</f>
        <v/>
      </c>
      <c r="D312" s="5" t="str">
        <f>IF(ISBLANK(Лист1!D312),"",Лист1!D312)</f>
        <v/>
      </c>
      <c r="E312" s="5" t="str">
        <f>IF(ISBLANK(Лист1!E312),"",Лист1!E312)</f>
        <v/>
      </c>
      <c r="F312" s="5" t="str">
        <f>IF(ISBLANK(Лист1!F312),"",Лист1!F312)</f>
        <v/>
      </c>
      <c r="G312" s="5" t="str">
        <f>IF(ISBLANK(Лист1!G312),"",Лист1!G312)</f>
        <v/>
      </c>
      <c r="H312" s="5" t="str">
        <f>IF(ISBLANK(Лист1!H312),"",Лист1!H312)</f>
        <v/>
      </c>
      <c r="I312" s="5" t="str">
        <f>IF(ISBLANK(Лист1!I312),"",Лист1!I312)</f>
        <v/>
      </c>
      <c r="J312" s="5" t="str">
        <f>IF(ISBLANK(Лист1!J312),"",Лист1!J312)</f>
        <v/>
      </c>
      <c r="K312" s="5" t="str">
        <f>IF(ISBLANK(Лист1!K312),"",Лист1!K312)</f>
        <v/>
      </c>
      <c r="L312" s="5" t="str">
        <f>IF(ISBLANK(Лист1!L312),"",Лист1!L312)</f>
        <v/>
      </c>
      <c r="M312" s="5" t="str">
        <f>IF(ISBLANK(Лист1!M312),"",Лист1!M312)</f>
        <v/>
      </c>
      <c r="N312" s="5" t="str">
        <f>IF(ISBLANK(Лист1!N312),"",Лист1!N312)</f>
        <v/>
      </c>
      <c r="O312" s="5" t="str">
        <f>IF(ISBLANK(Лист1!O312),"",Лист1!O312)</f>
        <v/>
      </c>
      <c r="P312" s="5" t="str">
        <f>IF(ISBLANK(Лист1!P312),"",Лист1!P312)</f>
        <v/>
      </c>
      <c r="Q312" s="5" t="str">
        <f>IF(ISBLANK(Лист1!Q312),"",Лист1!Q312)</f>
        <v/>
      </c>
      <c r="R312" s="5" t="str">
        <f>IF(ISBLANK(Лист1!R312),"",Лист1!R312)</f>
        <v/>
      </c>
      <c r="S312" s="5" t="str">
        <f>IF(ISBLANK(Лист1!S312),"",Лист1!S312)</f>
        <v/>
      </c>
      <c r="T312" s="5" t="str">
        <f>IF(ISBLANK(Лист1!T312),"",Лист1!T312)</f>
        <v/>
      </c>
      <c r="U312" s="5" t="str">
        <f>IF(ISBLANK(Лист1!U312),"",Лист1!U312)</f>
        <v/>
      </c>
      <c r="V312" s="5" t="str">
        <f>IF(ISBLANK(Лист1!V312),"",Лист1!V312)</f>
        <v/>
      </c>
      <c r="W312" s="5" t="str">
        <f>IF(ISBLANK(Лист1!W312),"",Лист1!W312)</f>
        <v/>
      </c>
      <c r="X312" s="5" t="str">
        <f>IF(ISBLANK(Лист1!X312),"",Лист1!X312)</f>
        <v/>
      </c>
      <c r="Y312" s="5" t="str">
        <f>IF(ISERROR(VLOOKUP($X312,Лист2!$A$2:$G$498,1,FALSE)),"",VLOOKUP($X312,Лист2!$A$2:$G$498,1,FALSE))</f>
        <v/>
      </c>
      <c r="Z312" s="5" t="str">
        <f>IF(ISERROR(VLOOKUP($X312,Лист2!$A$2:$G$498,5,FALSE)),"",VLOOKUP($X312,Лист2!$A$2:$G$498,5,FALSE))</f>
        <v/>
      </c>
      <c r="AA312" s="5" t="str">
        <f>IF(ISERROR(VLOOKUP($X312,Лист2!$A$2:$G$498,6,FALSE)),"",VLOOKUP($X312,Лист2!$A$2:$G$498,6,FALSE))</f>
        <v/>
      </c>
      <c r="AB312" s="5" t="str">
        <f>IF(ISERROR(VLOOKUP($X312,Лист2!$A$2:$G$498,7,FALSE)),"",VLOOKUP($X312,Лист2!$A$2:$G$498,7,FALSE))</f>
        <v/>
      </c>
    </row>
    <row r="313" spans="1:28" x14ac:dyDescent="0.25">
      <c r="A313" s="5" t="str">
        <f>IF(ISBLANK(Лист1!A313),"",Лист1!A313)</f>
        <v/>
      </c>
      <c r="B313" s="5" t="str">
        <f>IF(ISBLANK(Лист1!B313),"",Лист1!B313)</f>
        <v/>
      </c>
      <c r="C313" s="5" t="str">
        <f>IF(ISBLANK(Лист1!C313),"",Лист1!C313)</f>
        <v/>
      </c>
      <c r="D313" s="5" t="str">
        <f>IF(ISBLANK(Лист1!D313),"",Лист1!D313)</f>
        <v/>
      </c>
      <c r="E313" s="5" t="str">
        <f>IF(ISBLANK(Лист1!E313),"",Лист1!E313)</f>
        <v/>
      </c>
      <c r="F313" s="5" t="str">
        <f>IF(ISBLANK(Лист1!F313),"",Лист1!F313)</f>
        <v/>
      </c>
      <c r="G313" s="5" t="str">
        <f>IF(ISBLANK(Лист1!G313),"",Лист1!G313)</f>
        <v/>
      </c>
      <c r="H313" s="5" t="str">
        <f>IF(ISBLANK(Лист1!H313),"",Лист1!H313)</f>
        <v/>
      </c>
      <c r="I313" s="5" t="str">
        <f>IF(ISBLANK(Лист1!I313),"",Лист1!I313)</f>
        <v/>
      </c>
      <c r="J313" s="5" t="str">
        <f>IF(ISBLANK(Лист1!J313),"",Лист1!J313)</f>
        <v/>
      </c>
      <c r="K313" s="5" t="str">
        <f>IF(ISBLANK(Лист1!K313),"",Лист1!K313)</f>
        <v/>
      </c>
      <c r="L313" s="5" t="str">
        <f>IF(ISBLANK(Лист1!L313),"",Лист1!L313)</f>
        <v/>
      </c>
      <c r="M313" s="5" t="str">
        <f>IF(ISBLANK(Лист1!M313),"",Лист1!M313)</f>
        <v/>
      </c>
      <c r="N313" s="5" t="str">
        <f>IF(ISBLANK(Лист1!N313),"",Лист1!N313)</f>
        <v/>
      </c>
      <c r="O313" s="5" t="str">
        <f>IF(ISBLANK(Лист1!O313),"",Лист1!O313)</f>
        <v/>
      </c>
      <c r="P313" s="5" t="str">
        <f>IF(ISBLANK(Лист1!P313),"",Лист1!P313)</f>
        <v/>
      </c>
      <c r="Q313" s="5" t="str">
        <f>IF(ISBLANK(Лист1!Q313),"",Лист1!Q313)</f>
        <v/>
      </c>
      <c r="R313" s="5" t="str">
        <f>IF(ISBLANK(Лист1!R313),"",Лист1!R313)</f>
        <v/>
      </c>
      <c r="S313" s="5" t="str">
        <f>IF(ISBLANK(Лист1!S313),"",Лист1!S313)</f>
        <v/>
      </c>
      <c r="T313" s="5" t="str">
        <f>IF(ISBLANK(Лист1!T313),"",Лист1!T313)</f>
        <v/>
      </c>
      <c r="U313" s="5" t="str">
        <f>IF(ISBLANK(Лист1!U313),"",Лист1!U313)</f>
        <v/>
      </c>
      <c r="V313" s="5" t="str">
        <f>IF(ISBLANK(Лист1!V313),"",Лист1!V313)</f>
        <v/>
      </c>
      <c r="W313" s="5" t="str">
        <f>IF(ISBLANK(Лист1!W313),"",Лист1!W313)</f>
        <v/>
      </c>
      <c r="X313" s="5" t="str">
        <f>IF(ISBLANK(Лист1!X313),"",Лист1!X313)</f>
        <v/>
      </c>
      <c r="Y313" s="5" t="str">
        <f>IF(ISERROR(VLOOKUP($X313,Лист2!$A$2:$G$498,1,FALSE)),"",VLOOKUP($X313,Лист2!$A$2:$G$498,1,FALSE))</f>
        <v/>
      </c>
      <c r="Z313" s="5" t="str">
        <f>IF(ISERROR(VLOOKUP($X313,Лист2!$A$2:$G$498,5,FALSE)),"",VLOOKUP($X313,Лист2!$A$2:$G$498,5,FALSE))</f>
        <v/>
      </c>
      <c r="AA313" s="5" t="str">
        <f>IF(ISERROR(VLOOKUP($X313,Лист2!$A$2:$G$498,6,FALSE)),"",VLOOKUP($X313,Лист2!$A$2:$G$498,6,FALSE))</f>
        <v/>
      </c>
      <c r="AB313" s="5" t="str">
        <f>IF(ISERROR(VLOOKUP($X313,Лист2!$A$2:$G$498,7,FALSE)),"",VLOOKUP($X313,Лист2!$A$2:$G$498,7,FALSE))</f>
        <v/>
      </c>
    </row>
    <row r="314" spans="1:28" x14ac:dyDescent="0.25">
      <c r="A314" s="5" t="str">
        <f>IF(ISBLANK(Лист1!A314),"",Лист1!A314)</f>
        <v/>
      </c>
      <c r="B314" s="5" t="str">
        <f>IF(ISBLANK(Лист1!B314),"",Лист1!B314)</f>
        <v/>
      </c>
      <c r="C314" s="5" t="str">
        <f>IF(ISBLANK(Лист1!C314),"",Лист1!C314)</f>
        <v/>
      </c>
      <c r="D314" s="5" t="str">
        <f>IF(ISBLANK(Лист1!D314),"",Лист1!D314)</f>
        <v/>
      </c>
      <c r="E314" s="5" t="str">
        <f>IF(ISBLANK(Лист1!E314),"",Лист1!E314)</f>
        <v/>
      </c>
      <c r="F314" s="5" t="str">
        <f>IF(ISBLANK(Лист1!F314),"",Лист1!F314)</f>
        <v/>
      </c>
      <c r="G314" s="5" t="str">
        <f>IF(ISBLANK(Лист1!G314),"",Лист1!G314)</f>
        <v/>
      </c>
      <c r="H314" s="5" t="str">
        <f>IF(ISBLANK(Лист1!H314),"",Лист1!H314)</f>
        <v/>
      </c>
      <c r="I314" s="5" t="str">
        <f>IF(ISBLANK(Лист1!I314),"",Лист1!I314)</f>
        <v/>
      </c>
      <c r="J314" s="5" t="str">
        <f>IF(ISBLANK(Лист1!J314),"",Лист1!J314)</f>
        <v/>
      </c>
      <c r="K314" s="5" t="str">
        <f>IF(ISBLANK(Лист1!K314),"",Лист1!K314)</f>
        <v/>
      </c>
      <c r="L314" s="5" t="str">
        <f>IF(ISBLANK(Лист1!L314),"",Лист1!L314)</f>
        <v/>
      </c>
      <c r="M314" s="5" t="str">
        <f>IF(ISBLANK(Лист1!M314),"",Лист1!M314)</f>
        <v/>
      </c>
      <c r="N314" s="5" t="str">
        <f>IF(ISBLANK(Лист1!N314),"",Лист1!N314)</f>
        <v/>
      </c>
      <c r="O314" s="5" t="str">
        <f>IF(ISBLANK(Лист1!O314),"",Лист1!O314)</f>
        <v/>
      </c>
      <c r="P314" s="5" t="str">
        <f>IF(ISBLANK(Лист1!P314),"",Лист1!P314)</f>
        <v/>
      </c>
      <c r="Q314" s="5" t="str">
        <f>IF(ISBLANK(Лист1!Q314),"",Лист1!Q314)</f>
        <v/>
      </c>
      <c r="R314" s="5" t="str">
        <f>IF(ISBLANK(Лист1!R314),"",Лист1!R314)</f>
        <v/>
      </c>
      <c r="S314" s="5" t="str">
        <f>IF(ISBLANK(Лист1!S314),"",Лист1!S314)</f>
        <v/>
      </c>
      <c r="T314" s="5" t="str">
        <f>IF(ISBLANK(Лист1!T314),"",Лист1!T314)</f>
        <v/>
      </c>
      <c r="U314" s="5" t="str">
        <f>IF(ISBLANK(Лист1!U314),"",Лист1!U314)</f>
        <v/>
      </c>
      <c r="V314" s="5" t="str">
        <f>IF(ISBLANK(Лист1!V314),"",Лист1!V314)</f>
        <v/>
      </c>
      <c r="W314" s="5" t="str">
        <f>IF(ISBLANK(Лист1!W314),"",Лист1!W314)</f>
        <v/>
      </c>
      <c r="X314" s="5" t="str">
        <f>IF(ISBLANK(Лист1!X314),"",Лист1!X314)</f>
        <v/>
      </c>
      <c r="Y314" s="5" t="str">
        <f>IF(ISERROR(VLOOKUP($X314,Лист2!$A$2:$G$498,1,FALSE)),"",VLOOKUP($X314,Лист2!$A$2:$G$498,1,FALSE))</f>
        <v/>
      </c>
      <c r="Z314" s="5" t="str">
        <f>IF(ISERROR(VLOOKUP($X314,Лист2!$A$2:$G$498,5,FALSE)),"",VLOOKUP($X314,Лист2!$A$2:$G$498,5,FALSE))</f>
        <v/>
      </c>
      <c r="AA314" s="5" t="str">
        <f>IF(ISERROR(VLOOKUP($X314,Лист2!$A$2:$G$498,6,FALSE)),"",VLOOKUP($X314,Лист2!$A$2:$G$498,6,FALSE))</f>
        <v/>
      </c>
      <c r="AB314" s="5" t="str">
        <f>IF(ISERROR(VLOOKUP($X314,Лист2!$A$2:$G$498,7,FALSE)),"",VLOOKUP($X314,Лист2!$A$2:$G$498,7,FALSE))</f>
        <v/>
      </c>
    </row>
    <row r="315" spans="1:28" x14ac:dyDescent="0.25">
      <c r="A315" s="5" t="str">
        <f>IF(ISBLANK(Лист1!A315),"",Лист1!A315)</f>
        <v/>
      </c>
      <c r="B315" s="5" t="str">
        <f>IF(ISBLANK(Лист1!B315),"",Лист1!B315)</f>
        <v/>
      </c>
      <c r="C315" s="5" t="str">
        <f>IF(ISBLANK(Лист1!C315),"",Лист1!C315)</f>
        <v/>
      </c>
      <c r="D315" s="5" t="str">
        <f>IF(ISBLANK(Лист1!D315),"",Лист1!D315)</f>
        <v/>
      </c>
      <c r="E315" s="5" t="str">
        <f>IF(ISBLANK(Лист1!E315),"",Лист1!E315)</f>
        <v/>
      </c>
      <c r="F315" s="5" t="str">
        <f>IF(ISBLANK(Лист1!F315),"",Лист1!F315)</f>
        <v/>
      </c>
      <c r="G315" s="5" t="str">
        <f>IF(ISBLANK(Лист1!G315),"",Лист1!G315)</f>
        <v/>
      </c>
      <c r="H315" s="5" t="str">
        <f>IF(ISBLANK(Лист1!H315),"",Лист1!H315)</f>
        <v/>
      </c>
      <c r="I315" s="5" t="str">
        <f>IF(ISBLANK(Лист1!I315),"",Лист1!I315)</f>
        <v/>
      </c>
      <c r="J315" s="5" t="str">
        <f>IF(ISBLANK(Лист1!J315),"",Лист1!J315)</f>
        <v/>
      </c>
      <c r="K315" s="5" t="str">
        <f>IF(ISBLANK(Лист1!K315),"",Лист1!K315)</f>
        <v/>
      </c>
      <c r="L315" s="5" t="str">
        <f>IF(ISBLANK(Лист1!L315),"",Лист1!L315)</f>
        <v/>
      </c>
      <c r="M315" s="5" t="str">
        <f>IF(ISBLANK(Лист1!M315),"",Лист1!M315)</f>
        <v/>
      </c>
      <c r="N315" s="5" t="str">
        <f>IF(ISBLANK(Лист1!N315),"",Лист1!N315)</f>
        <v/>
      </c>
      <c r="O315" s="5" t="str">
        <f>IF(ISBLANK(Лист1!O315),"",Лист1!O315)</f>
        <v/>
      </c>
      <c r="P315" s="5" t="str">
        <f>IF(ISBLANK(Лист1!P315),"",Лист1!P315)</f>
        <v/>
      </c>
      <c r="Q315" s="5" t="str">
        <f>IF(ISBLANK(Лист1!Q315),"",Лист1!Q315)</f>
        <v/>
      </c>
      <c r="R315" s="5" t="str">
        <f>IF(ISBLANK(Лист1!R315),"",Лист1!R315)</f>
        <v/>
      </c>
      <c r="S315" s="5" t="str">
        <f>IF(ISBLANK(Лист1!S315),"",Лист1!S315)</f>
        <v/>
      </c>
      <c r="T315" s="5" t="str">
        <f>IF(ISBLANK(Лист1!T315),"",Лист1!T315)</f>
        <v/>
      </c>
      <c r="U315" s="5" t="str">
        <f>IF(ISBLANK(Лист1!U315),"",Лист1!U315)</f>
        <v/>
      </c>
      <c r="V315" s="5" t="str">
        <f>IF(ISBLANK(Лист1!V315),"",Лист1!V315)</f>
        <v/>
      </c>
      <c r="W315" s="5" t="str">
        <f>IF(ISBLANK(Лист1!W315),"",Лист1!W315)</f>
        <v/>
      </c>
      <c r="X315" s="5" t="str">
        <f>IF(ISBLANK(Лист1!X315),"",Лист1!X315)</f>
        <v/>
      </c>
      <c r="Y315" s="5" t="str">
        <f>IF(ISERROR(VLOOKUP($X315,Лист2!$A$2:$G$498,1,FALSE)),"",VLOOKUP($X315,Лист2!$A$2:$G$498,1,FALSE))</f>
        <v/>
      </c>
      <c r="Z315" s="5" t="str">
        <f>IF(ISERROR(VLOOKUP($X315,Лист2!$A$2:$G$498,5,FALSE)),"",VLOOKUP($X315,Лист2!$A$2:$G$498,5,FALSE))</f>
        <v/>
      </c>
      <c r="AA315" s="5" t="str">
        <f>IF(ISERROR(VLOOKUP($X315,Лист2!$A$2:$G$498,6,FALSE)),"",VLOOKUP($X315,Лист2!$A$2:$G$498,6,FALSE))</f>
        <v/>
      </c>
      <c r="AB315" s="5" t="str">
        <f>IF(ISERROR(VLOOKUP($X315,Лист2!$A$2:$G$498,7,FALSE)),"",VLOOKUP($X315,Лист2!$A$2:$G$498,7,FALSE))</f>
        <v/>
      </c>
    </row>
    <row r="316" spans="1:28" x14ac:dyDescent="0.25">
      <c r="A316" s="5" t="str">
        <f>IF(ISBLANK(Лист1!A316),"",Лист1!A316)</f>
        <v/>
      </c>
      <c r="B316" s="5" t="str">
        <f>IF(ISBLANK(Лист1!B316),"",Лист1!B316)</f>
        <v/>
      </c>
      <c r="C316" s="5" t="str">
        <f>IF(ISBLANK(Лист1!C316),"",Лист1!C316)</f>
        <v/>
      </c>
      <c r="D316" s="5" t="str">
        <f>IF(ISBLANK(Лист1!D316),"",Лист1!D316)</f>
        <v/>
      </c>
      <c r="E316" s="5" t="str">
        <f>IF(ISBLANK(Лист1!E316),"",Лист1!E316)</f>
        <v/>
      </c>
      <c r="F316" s="5" t="str">
        <f>IF(ISBLANK(Лист1!F316),"",Лист1!F316)</f>
        <v/>
      </c>
      <c r="G316" s="5" t="str">
        <f>IF(ISBLANK(Лист1!G316),"",Лист1!G316)</f>
        <v/>
      </c>
      <c r="H316" s="5" t="str">
        <f>IF(ISBLANK(Лист1!H316),"",Лист1!H316)</f>
        <v/>
      </c>
      <c r="I316" s="5" t="str">
        <f>IF(ISBLANK(Лист1!I316),"",Лист1!I316)</f>
        <v/>
      </c>
      <c r="J316" s="5" t="str">
        <f>IF(ISBLANK(Лист1!J316),"",Лист1!J316)</f>
        <v/>
      </c>
      <c r="K316" s="5" t="str">
        <f>IF(ISBLANK(Лист1!K316),"",Лист1!K316)</f>
        <v/>
      </c>
      <c r="L316" s="5" t="str">
        <f>IF(ISBLANK(Лист1!L316),"",Лист1!L316)</f>
        <v/>
      </c>
      <c r="M316" s="5" t="str">
        <f>IF(ISBLANK(Лист1!M316),"",Лист1!M316)</f>
        <v/>
      </c>
      <c r="N316" s="5" t="str">
        <f>IF(ISBLANK(Лист1!N316),"",Лист1!N316)</f>
        <v/>
      </c>
      <c r="O316" s="5" t="str">
        <f>IF(ISBLANK(Лист1!O316),"",Лист1!O316)</f>
        <v/>
      </c>
      <c r="P316" s="5" t="str">
        <f>IF(ISBLANK(Лист1!P316),"",Лист1!P316)</f>
        <v/>
      </c>
      <c r="Q316" s="5" t="str">
        <f>IF(ISBLANK(Лист1!Q316),"",Лист1!Q316)</f>
        <v/>
      </c>
      <c r="R316" s="5" t="str">
        <f>IF(ISBLANK(Лист1!R316),"",Лист1!R316)</f>
        <v/>
      </c>
      <c r="S316" s="5" t="str">
        <f>IF(ISBLANK(Лист1!S316),"",Лист1!S316)</f>
        <v/>
      </c>
      <c r="T316" s="5" t="str">
        <f>IF(ISBLANK(Лист1!T316),"",Лист1!T316)</f>
        <v/>
      </c>
      <c r="U316" s="5" t="str">
        <f>IF(ISBLANK(Лист1!U316),"",Лист1!U316)</f>
        <v/>
      </c>
      <c r="V316" s="5" t="str">
        <f>IF(ISBLANK(Лист1!V316),"",Лист1!V316)</f>
        <v/>
      </c>
      <c r="W316" s="5" t="str">
        <f>IF(ISBLANK(Лист1!W316),"",Лист1!W316)</f>
        <v/>
      </c>
      <c r="X316" s="5" t="str">
        <f>IF(ISBLANK(Лист1!X316),"",Лист1!X316)</f>
        <v/>
      </c>
      <c r="Y316" s="5" t="str">
        <f>IF(ISERROR(VLOOKUP($X316,Лист2!$A$2:$G$498,1,FALSE)),"",VLOOKUP($X316,Лист2!$A$2:$G$498,1,FALSE))</f>
        <v/>
      </c>
      <c r="Z316" s="5" t="str">
        <f>IF(ISERROR(VLOOKUP($X316,Лист2!$A$2:$G$498,5,FALSE)),"",VLOOKUP($X316,Лист2!$A$2:$G$498,5,FALSE))</f>
        <v/>
      </c>
      <c r="AA316" s="5" t="str">
        <f>IF(ISERROR(VLOOKUP($X316,Лист2!$A$2:$G$498,6,FALSE)),"",VLOOKUP($X316,Лист2!$A$2:$G$498,6,FALSE))</f>
        <v/>
      </c>
      <c r="AB316" s="5" t="str">
        <f>IF(ISERROR(VLOOKUP($X316,Лист2!$A$2:$G$498,7,FALSE)),"",VLOOKUP($X316,Лист2!$A$2:$G$498,7,FALSE))</f>
        <v/>
      </c>
    </row>
    <row r="317" spans="1:28" x14ac:dyDescent="0.25">
      <c r="A317" s="5" t="str">
        <f>IF(ISBLANK(Лист1!A317),"",Лист1!A317)</f>
        <v/>
      </c>
      <c r="B317" s="5" t="str">
        <f>IF(ISBLANK(Лист1!B317),"",Лист1!B317)</f>
        <v/>
      </c>
      <c r="C317" s="5" t="str">
        <f>IF(ISBLANK(Лист1!C317),"",Лист1!C317)</f>
        <v/>
      </c>
      <c r="D317" s="5" t="str">
        <f>IF(ISBLANK(Лист1!D317),"",Лист1!D317)</f>
        <v/>
      </c>
      <c r="E317" s="5" t="str">
        <f>IF(ISBLANK(Лист1!E317),"",Лист1!E317)</f>
        <v/>
      </c>
      <c r="F317" s="5" t="str">
        <f>IF(ISBLANK(Лист1!F317),"",Лист1!F317)</f>
        <v/>
      </c>
      <c r="G317" s="5" t="str">
        <f>IF(ISBLANK(Лист1!G317),"",Лист1!G317)</f>
        <v/>
      </c>
      <c r="H317" s="5" t="str">
        <f>IF(ISBLANK(Лист1!H317),"",Лист1!H317)</f>
        <v/>
      </c>
      <c r="I317" s="5" t="str">
        <f>IF(ISBLANK(Лист1!I317),"",Лист1!I317)</f>
        <v/>
      </c>
      <c r="J317" s="5" t="str">
        <f>IF(ISBLANK(Лист1!J317),"",Лист1!J317)</f>
        <v/>
      </c>
      <c r="K317" s="5" t="str">
        <f>IF(ISBLANK(Лист1!K317),"",Лист1!K317)</f>
        <v/>
      </c>
      <c r="L317" s="5" t="str">
        <f>IF(ISBLANK(Лист1!L317),"",Лист1!L317)</f>
        <v/>
      </c>
      <c r="M317" s="5" t="str">
        <f>IF(ISBLANK(Лист1!M317),"",Лист1!M317)</f>
        <v/>
      </c>
      <c r="N317" s="5" t="str">
        <f>IF(ISBLANK(Лист1!N317),"",Лист1!N317)</f>
        <v/>
      </c>
      <c r="O317" s="5" t="str">
        <f>IF(ISBLANK(Лист1!O317),"",Лист1!O317)</f>
        <v/>
      </c>
      <c r="P317" s="5" t="str">
        <f>IF(ISBLANK(Лист1!P317),"",Лист1!P317)</f>
        <v/>
      </c>
      <c r="Q317" s="5" t="str">
        <f>IF(ISBLANK(Лист1!Q317),"",Лист1!Q317)</f>
        <v/>
      </c>
      <c r="R317" s="5" t="str">
        <f>IF(ISBLANK(Лист1!R317),"",Лист1!R317)</f>
        <v/>
      </c>
      <c r="S317" s="5" t="str">
        <f>IF(ISBLANK(Лист1!S317),"",Лист1!S317)</f>
        <v/>
      </c>
      <c r="T317" s="5" t="str">
        <f>IF(ISBLANK(Лист1!T317),"",Лист1!T317)</f>
        <v/>
      </c>
      <c r="U317" s="5" t="str">
        <f>IF(ISBLANK(Лист1!U317),"",Лист1!U317)</f>
        <v/>
      </c>
      <c r="V317" s="5" t="str">
        <f>IF(ISBLANK(Лист1!V317),"",Лист1!V317)</f>
        <v/>
      </c>
      <c r="W317" s="5" t="str">
        <f>IF(ISBLANK(Лист1!W317),"",Лист1!W317)</f>
        <v/>
      </c>
      <c r="X317" s="5" t="str">
        <f>IF(ISBLANK(Лист1!X317),"",Лист1!X317)</f>
        <v/>
      </c>
      <c r="Y317" s="5" t="str">
        <f>IF(ISERROR(VLOOKUP($X317,Лист2!$A$2:$G$498,1,FALSE)),"",VLOOKUP($X317,Лист2!$A$2:$G$498,1,FALSE))</f>
        <v/>
      </c>
      <c r="Z317" s="5" t="str">
        <f>IF(ISERROR(VLOOKUP($X317,Лист2!$A$2:$G$498,5,FALSE)),"",VLOOKUP($X317,Лист2!$A$2:$G$498,5,FALSE))</f>
        <v/>
      </c>
      <c r="AA317" s="5" t="str">
        <f>IF(ISERROR(VLOOKUP($X317,Лист2!$A$2:$G$498,6,FALSE)),"",VLOOKUP($X317,Лист2!$A$2:$G$498,6,FALSE))</f>
        <v/>
      </c>
      <c r="AB317" s="5" t="str">
        <f>IF(ISERROR(VLOOKUP($X317,Лист2!$A$2:$G$498,7,FALSE)),"",VLOOKUP($X317,Лист2!$A$2:$G$498,7,FALSE))</f>
        <v/>
      </c>
    </row>
    <row r="318" spans="1:28" x14ac:dyDescent="0.25">
      <c r="A318" s="5" t="str">
        <f>IF(ISBLANK(Лист1!A318),"",Лист1!A318)</f>
        <v/>
      </c>
      <c r="B318" s="5" t="str">
        <f>IF(ISBLANK(Лист1!B318),"",Лист1!B318)</f>
        <v/>
      </c>
      <c r="C318" s="5" t="str">
        <f>IF(ISBLANK(Лист1!C318),"",Лист1!C318)</f>
        <v/>
      </c>
      <c r="D318" s="5" t="str">
        <f>IF(ISBLANK(Лист1!D318),"",Лист1!D318)</f>
        <v/>
      </c>
      <c r="E318" s="5" t="str">
        <f>IF(ISBLANK(Лист1!E318),"",Лист1!E318)</f>
        <v/>
      </c>
      <c r="F318" s="5" t="str">
        <f>IF(ISBLANK(Лист1!F318),"",Лист1!F318)</f>
        <v/>
      </c>
      <c r="G318" s="5" t="str">
        <f>IF(ISBLANK(Лист1!G318),"",Лист1!G318)</f>
        <v/>
      </c>
      <c r="H318" s="5" t="str">
        <f>IF(ISBLANK(Лист1!H318),"",Лист1!H318)</f>
        <v/>
      </c>
      <c r="I318" s="5" t="str">
        <f>IF(ISBLANK(Лист1!I318),"",Лист1!I318)</f>
        <v/>
      </c>
      <c r="J318" s="5" t="str">
        <f>IF(ISBLANK(Лист1!J318),"",Лист1!J318)</f>
        <v/>
      </c>
      <c r="K318" s="5" t="str">
        <f>IF(ISBLANK(Лист1!K318),"",Лист1!K318)</f>
        <v/>
      </c>
      <c r="L318" s="5" t="str">
        <f>IF(ISBLANK(Лист1!L318),"",Лист1!L318)</f>
        <v/>
      </c>
      <c r="M318" s="5" t="str">
        <f>IF(ISBLANK(Лист1!M318),"",Лист1!M318)</f>
        <v/>
      </c>
      <c r="N318" s="5" t="str">
        <f>IF(ISBLANK(Лист1!N318),"",Лист1!N318)</f>
        <v/>
      </c>
      <c r="O318" s="5" t="str">
        <f>IF(ISBLANK(Лист1!O318),"",Лист1!O318)</f>
        <v/>
      </c>
      <c r="P318" s="5" t="str">
        <f>IF(ISBLANK(Лист1!P318),"",Лист1!P318)</f>
        <v/>
      </c>
      <c r="Q318" s="5" t="str">
        <f>IF(ISBLANK(Лист1!Q318),"",Лист1!Q318)</f>
        <v/>
      </c>
      <c r="R318" s="5" t="str">
        <f>IF(ISBLANK(Лист1!R318),"",Лист1!R318)</f>
        <v/>
      </c>
      <c r="S318" s="5" t="str">
        <f>IF(ISBLANK(Лист1!S318),"",Лист1!S318)</f>
        <v/>
      </c>
      <c r="T318" s="5" t="str">
        <f>IF(ISBLANK(Лист1!T318),"",Лист1!T318)</f>
        <v/>
      </c>
      <c r="U318" s="5" t="str">
        <f>IF(ISBLANK(Лист1!U318),"",Лист1!U318)</f>
        <v/>
      </c>
      <c r="V318" s="5" t="str">
        <f>IF(ISBLANK(Лист1!V318),"",Лист1!V318)</f>
        <v/>
      </c>
      <c r="W318" s="5" t="str">
        <f>IF(ISBLANK(Лист1!W318),"",Лист1!W318)</f>
        <v/>
      </c>
      <c r="X318" s="5" t="str">
        <f>IF(ISBLANK(Лист1!X318),"",Лист1!X318)</f>
        <v/>
      </c>
      <c r="Y318" s="5" t="str">
        <f>IF(ISERROR(VLOOKUP($X318,Лист2!$A$2:$G$498,1,FALSE)),"",VLOOKUP($X318,Лист2!$A$2:$G$498,1,FALSE))</f>
        <v/>
      </c>
      <c r="Z318" s="5" t="str">
        <f>IF(ISERROR(VLOOKUP($X318,Лист2!$A$2:$G$498,5,FALSE)),"",VLOOKUP($X318,Лист2!$A$2:$G$498,5,FALSE))</f>
        <v/>
      </c>
      <c r="AA318" s="5" t="str">
        <f>IF(ISERROR(VLOOKUP($X318,Лист2!$A$2:$G$498,6,FALSE)),"",VLOOKUP($X318,Лист2!$A$2:$G$498,6,FALSE))</f>
        <v/>
      </c>
      <c r="AB318" s="5" t="str">
        <f>IF(ISERROR(VLOOKUP($X318,Лист2!$A$2:$G$498,7,FALSE)),"",VLOOKUP($X318,Лист2!$A$2:$G$498,7,FALSE))</f>
        <v/>
      </c>
    </row>
    <row r="319" spans="1:28" x14ac:dyDescent="0.25">
      <c r="A319" s="5" t="str">
        <f>IF(ISBLANK(Лист1!A319),"",Лист1!A319)</f>
        <v/>
      </c>
      <c r="B319" s="5" t="str">
        <f>IF(ISBLANK(Лист1!B319),"",Лист1!B319)</f>
        <v/>
      </c>
      <c r="C319" s="5" t="str">
        <f>IF(ISBLANK(Лист1!C319),"",Лист1!C319)</f>
        <v/>
      </c>
      <c r="D319" s="5" t="str">
        <f>IF(ISBLANK(Лист1!D319),"",Лист1!D319)</f>
        <v/>
      </c>
      <c r="E319" s="5" t="str">
        <f>IF(ISBLANK(Лист1!E319),"",Лист1!E319)</f>
        <v/>
      </c>
      <c r="F319" s="5" t="str">
        <f>IF(ISBLANK(Лист1!F319),"",Лист1!F319)</f>
        <v/>
      </c>
      <c r="G319" s="5" t="str">
        <f>IF(ISBLANK(Лист1!G319),"",Лист1!G319)</f>
        <v/>
      </c>
      <c r="H319" s="5" t="str">
        <f>IF(ISBLANK(Лист1!H319),"",Лист1!H319)</f>
        <v/>
      </c>
      <c r="I319" s="5" t="str">
        <f>IF(ISBLANK(Лист1!I319),"",Лист1!I319)</f>
        <v/>
      </c>
      <c r="J319" s="5" t="str">
        <f>IF(ISBLANK(Лист1!J319),"",Лист1!J319)</f>
        <v/>
      </c>
      <c r="K319" s="5" t="str">
        <f>IF(ISBLANK(Лист1!K319),"",Лист1!K319)</f>
        <v/>
      </c>
      <c r="L319" s="5" t="str">
        <f>IF(ISBLANK(Лист1!L319),"",Лист1!L319)</f>
        <v/>
      </c>
      <c r="M319" s="5" t="str">
        <f>IF(ISBLANK(Лист1!M319),"",Лист1!M319)</f>
        <v/>
      </c>
      <c r="N319" s="5" t="str">
        <f>IF(ISBLANK(Лист1!N319),"",Лист1!N319)</f>
        <v/>
      </c>
      <c r="O319" s="5" t="str">
        <f>IF(ISBLANK(Лист1!O319),"",Лист1!O319)</f>
        <v/>
      </c>
      <c r="P319" s="5" t="str">
        <f>IF(ISBLANK(Лист1!P319),"",Лист1!P319)</f>
        <v/>
      </c>
      <c r="Q319" s="5" t="str">
        <f>IF(ISBLANK(Лист1!Q319),"",Лист1!Q319)</f>
        <v/>
      </c>
      <c r="R319" s="5" t="str">
        <f>IF(ISBLANK(Лист1!R319),"",Лист1!R319)</f>
        <v/>
      </c>
      <c r="S319" s="5" t="str">
        <f>IF(ISBLANK(Лист1!S319),"",Лист1!S319)</f>
        <v/>
      </c>
      <c r="T319" s="5" t="str">
        <f>IF(ISBLANK(Лист1!T319),"",Лист1!T319)</f>
        <v/>
      </c>
      <c r="U319" s="5" t="str">
        <f>IF(ISBLANK(Лист1!U319),"",Лист1!U319)</f>
        <v/>
      </c>
      <c r="V319" s="5" t="str">
        <f>IF(ISBLANK(Лист1!V319),"",Лист1!V319)</f>
        <v/>
      </c>
      <c r="W319" s="5" t="str">
        <f>IF(ISBLANK(Лист1!W319),"",Лист1!W319)</f>
        <v/>
      </c>
      <c r="X319" s="5" t="str">
        <f>IF(ISBLANK(Лист1!X319),"",Лист1!X319)</f>
        <v/>
      </c>
      <c r="Y319" s="5" t="str">
        <f>IF(ISERROR(VLOOKUP($X319,Лист2!$A$2:$G$498,1,FALSE)),"",VLOOKUP($X319,Лист2!$A$2:$G$498,1,FALSE))</f>
        <v/>
      </c>
      <c r="Z319" s="5" t="str">
        <f>IF(ISERROR(VLOOKUP($X319,Лист2!$A$2:$G$498,5,FALSE)),"",VLOOKUP($X319,Лист2!$A$2:$G$498,5,FALSE))</f>
        <v/>
      </c>
      <c r="AA319" s="5" t="str">
        <f>IF(ISERROR(VLOOKUP($X319,Лист2!$A$2:$G$498,6,FALSE)),"",VLOOKUP($X319,Лист2!$A$2:$G$498,6,FALSE))</f>
        <v/>
      </c>
      <c r="AB319" s="5" t="str">
        <f>IF(ISERROR(VLOOKUP($X319,Лист2!$A$2:$G$498,7,FALSE)),"",VLOOKUP($X319,Лист2!$A$2:$G$498,7,FALSE))</f>
        <v/>
      </c>
    </row>
    <row r="320" spans="1:28" x14ac:dyDescent="0.25">
      <c r="A320" s="5" t="str">
        <f>IF(ISBLANK(Лист1!A320),"",Лист1!A320)</f>
        <v/>
      </c>
      <c r="B320" s="5" t="str">
        <f>IF(ISBLANK(Лист1!B320),"",Лист1!B320)</f>
        <v/>
      </c>
      <c r="C320" s="5" t="str">
        <f>IF(ISBLANK(Лист1!C320),"",Лист1!C320)</f>
        <v/>
      </c>
      <c r="D320" s="5" t="str">
        <f>IF(ISBLANK(Лист1!D320),"",Лист1!D320)</f>
        <v/>
      </c>
      <c r="E320" s="5" t="str">
        <f>IF(ISBLANK(Лист1!E320),"",Лист1!E320)</f>
        <v/>
      </c>
      <c r="F320" s="5" t="str">
        <f>IF(ISBLANK(Лист1!F320),"",Лист1!F320)</f>
        <v/>
      </c>
      <c r="G320" s="5" t="str">
        <f>IF(ISBLANK(Лист1!G320),"",Лист1!G320)</f>
        <v/>
      </c>
      <c r="H320" s="5" t="str">
        <f>IF(ISBLANK(Лист1!H320),"",Лист1!H320)</f>
        <v/>
      </c>
      <c r="I320" s="5" t="str">
        <f>IF(ISBLANK(Лист1!I320),"",Лист1!I320)</f>
        <v/>
      </c>
      <c r="J320" s="5" t="str">
        <f>IF(ISBLANK(Лист1!J320),"",Лист1!J320)</f>
        <v/>
      </c>
      <c r="K320" s="5" t="str">
        <f>IF(ISBLANK(Лист1!K320),"",Лист1!K320)</f>
        <v/>
      </c>
      <c r="L320" s="5" t="str">
        <f>IF(ISBLANK(Лист1!L320),"",Лист1!L320)</f>
        <v/>
      </c>
      <c r="M320" s="5" t="str">
        <f>IF(ISBLANK(Лист1!M320),"",Лист1!M320)</f>
        <v/>
      </c>
      <c r="N320" s="5" t="str">
        <f>IF(ISBLANK(Лист1!N320),"",Лист1!N320)</f>
        <v/>
      </c>
      <c r="O320" s="5" t="str">
        <f>IF(ISBLANK(Лист1!O320),"",Лист1!O320)</f>
        <v/>
      </c>
      <c r="P320" s="5" t="str">
        <f>IF(ISBLANK(Лист1!P320),"",Лист1!P320)</f>
        <v/>
      </c>
      <c r="Q320" s="5" t="str">
        <f>IF(ISBLANK(Лист1!Q320),"",Лист1!Q320)</f>
        <v/>
      </c>
      <c r="R320" s="5" t="str">
        <f>IF(ISBLANK(Лист1!R320),"",Лист1!R320)</f>
        <v/>
      </c>
      <c r="S320" s="5" t="str">
        <f>IF(ISBLANK(Лист1!S320),"",Лист1!S320)</f>
        <v/>
      </c>
      <c r="T320" s="5" t="str">
        <f>IF(ISBLANK(Лист1!T320),"",Лист1!T320)</f>
        <v/>
      </c>
      <c r="U320" s="5" t="str">
        <f>IF(ISBLANK(Лист1!U320),"",Лист1!U320)</f>
        <v/>
      </c>
      <c r="V320" s="5" t="str">
        <f>IF(ISBLANK(Лист1!V320),"",Лист1!V320)</f>
        <v/>
      </c>
      <c r="W320" s="5" t="str">
        <f>IF(ISBLANK(Лист1!W320),"",Лист1!W320)</f>
        <v/>
      </c>
      <c r="X320" s="5" t="str">
        <f>IF(ISBLANK(Лист1!X320),"",Лист1!X320)</f>
        <v/>
      </c>
      <c r="Y320" s="5" t="str">
        <f>IF(ISERROR(VLOOKUP($X320,Лист2!$A$2:$G$498,1,FALSE)),"",VLOOKUP($X320,Лист2!$A$2:$G$498,1,FALSE))</f>
        <v/>
      </c>
      <c r="Z320" s="5" t="str">
        <f>IF(ISERROR(VLOOKUP($X320,Лист2!$A$2:$G$498,5,FALSE)),"",VLOOKUP($X320,Лист2!$A$2:$G$498,5,FALSE))</f>
        <v/>
      </c>
      <c r="AA320" s="5" t="str">
        <f>IF(ISERROR(VLOOKUP($X320,Лист2!$A$2:$G$498,6,FALSE)),"",VLOOKUP($X320,Лист2!$A$2:$G$498,6,FALSE))</f>
        <v/>
      </c>
      <c r="AB320" s="5" t="str">
        <f>IF(ISERROR(VLOOKUP($X320,Лист2!$A$2:$G$498,7,FALSE)),"",VLOOKUP($X320,Лист2!$A$2:$G$498,7,FALSE))</f>
        <v/>
      </c>
    </row>
    <row r="321" spans="1:28" x14ac:dyDescent="0.25">
      <c r="A321" s="5" t="str">
        <f>IF(ISBLANK(Лист1!A321),"",Лист1!A321)</f>
        <v/>
      </c>
      <c r="B321" s="5" t="str">
        <f>IF(ISBLANK(Лист1!B321),"",Лист1!B321)</f>
        <v/>
      </c>
      <c r="C321" s="5" t="str">
        <f>IF(ISBLANK(Лист1!C321),"",Лист1!C321)</f>
        <v/>
      </c>
      <c r="D321" s="5" t="str">
        <f>IF(ISBLANK(Лист1!D321),"",Лист1!D321)</f>
        <v/>
      </c>
      <c r="E321" s="5" t="str">
        <f>IF(ISBLANK(Лист1!E321),"",Лист1!E321)</f>
        <v/>
      </c>
      <c r="F321" s="5" t="str">
        <f>IF(ISBLANK(Лист1!F321),"",Лист1!F321)</f>
        <v/>
      </c>
      <c r="G321" s="5" t="str">
        <f>IF(ISBLANK(Лист1!G321),"",Лист1!G321)</f>
        <v/>
      </c>
      <c r="H321" s="5" t="str">
        <f>IF(ISBLANK(Лист1!H321),"",Лист1!H321)</f>
        <v/>
      </c>
      <c r="I321" s="5" t="str">
        <f>IF(ISBLANK(Лист1!I321),"",Лист1!I321)</f>
        <v/>
      </c>
      <c r="J321" s="5" t="str">
        <f>IF(ISBLANK(Лист1!J321),"",Лист1!J321)</f>
        <v/>
      </c>
      <c r="K321" s="5" t="str">
        <f>IF(ISBLANK(Лист1!K321),"",Лист1!K321)</f>
        <v/>
      </c>
      <c r="L321" s="5" t="str">
        <f>IF(ISBLANK(Лист1!L321),"",Лист1!L321)</f>
        <v/>
      </c>
      <c r="M321" s="5" t="str">
        <f>IF(ISBLANK(Лист1!M321),"",Лист1!M321)</f>
        <v/>
      </c>
      <c r="N321" s="5" t="str">
        <f>IF(ISBLANK(Лист1!N321),"",Лист1!N321)</f>
        <v/>
      </c>
      <c r="O321" s="5" t="str">
        <f>IF(ISBLANK(Лист1!O321),"",Лист1!O321)</f>
        <v/>
      </c>
      <c r="P321" s="5" t="str">
        <f>IF(ISBLANK(Лист1!P321),"",Лист1!P321)</f>
        <v/>
      </c>
      <c r="Q321" s="5" t="str">
        <f>IF(ISBLANK(Лист1!Q321),"",Лист1!Q321)</f>
        <v/>
      </c>
      <c r="R321" s="5" t="str">
        <f>IF(ISBLANK(Лист1!R321),"",Лист1!R321)</f>
        <v/>
      </c>
      <c r="S321" s="5" t="str">
        <f>IF(ISBLANK(Лист1!S321),"",Лист1!S321)</f>
        <v/>
      </c>
      <c r="T321" s="5" t="str">
        <f>IF(ISBLANK(Лист1!T321),"",Лист1!T321)</f>
        <v/>
      </c>
      <c r="U321" s="5" t="str">
        <f>IF(ISBLANK(Лист1!U321),"",Лист1!U321)</f>
        <v/>
      </c>
      <c r="V321" s="5" t="str">
        <f>IF(ISBLANK(Лист1!V321),"",Лист1!V321)</f>
        <v/>
      </c>
      <c r="W321" s="5" t="str">
        <f>IF(ISBLANK(Лист1!W321),"",Лист1!W321)</f>
        <v/>
      </c>
      <c r="X321" s="5" t="str">
        <f>IF(ISBLANK(Лист1!X321),"",Лист1!X321)</f>
        <v/>
      </c>
      <c r="Y321" s="5" t="str">
        <f>IF(ISERROR(VLOOKUP($X321,Лист2!$A$2:$G$498,1,FALSE)),"",VLOOKUP($X321,Лист2!$A$2:$G$498,1,FALSE))</f>
        <v/>
      </c>
      <c r="Z321" s="5" t="str">
        <f>IF(ISERROR(VLOOKUP($X321,Лист2!$A$2:$G$498,5,FALSE)),"",VLOOKUP($X321,Лист2!$A$2:$G$498,5,FALSE))</f>
        <v/>
      </c>
      <c r="AA321" s="5" t="str">
        <f>IF(ISERROR(VLOOKUP($X321,Лист2!$A$2:$G$498,6,FALSE)),"",VLOOKUP($X321,Лист2!$A$2:$G$498,6,FALSE))</f>
        <v/>
      </c>
      <c r="AB321" s="5" t="str">
        <f>IF(ISERROR(VLOOKUP($X321,Лист2!$A$2:$G$498,7,FALSE)),"",VLOOKUP($X321,Лист2!$A$2:$G$498,7,FALSE))</f>
        <v/>
      </c>
    </row>
    <row r="322" spans="1:28" x14ac:dyDescent="0.25">
      <c r="A322" s="5" t="str">
        <f>IF(ISBLANK(Лист1!A322),"",Лист1!A322)</f>
        <v/>
      </c>
      <c r="B322" s="5" t="str">
        <f>IF(ISBLANK(Лист1!B322),"",Лист1!B322)</f>
        <v/>
      </c>
      <c r="C322" s="5" t="str">
        <f>IF(ISBLANK(Лист1!C322),"",Лист1!C322)</f>
        <v/>
      </c>
      <c r="D322" s="5" t="str">
        <f>IF(ISBLANK(Лист1!D322),"",Лист1!D322)</f>
        <v/>
      </c>
      <c r="E322" s="5" t="str">
        <f>IF(ISBLANK(Лист1!E322),"",Лист1!E322)</f>
        <v/>
      </c>
      <c r="F322" s="5" t="str">
        <f>IF(ISBLANK(Лист1!F322),"",Лист1!F322)</f>
        <v/>
      </c>
      <c r="G322" s="5" t="str">
        <f>IF(ISBLANK(Лист1!G322),"",Лист1!G322)</f>
        <v/>
      </c>
      <c r="H322" s="5" t="str">
        <f>IF(ISBLANK(Лист1!H322),"",Лист1!H322)</f>
        <v/>
      </c>
      <c r="I322" s="5" t="str">
        <f>IF(ISBLANK(Лист1!I322),"",Лист1!I322)</f>
        <v/>
      </c>
      <c r="J322" s="5" t="str">
        <f>IF(ISBLANK(Лист1!J322),"",Лист1!J322)</f>
        <v/>
      </c>
      <c r="K322" s="5" t="str">
        <f>IF(ISBLANK(Лист1!K322),"",Лист1!K322)</f>
        <v/>
      </c>
      <c r="L322" s="5" t="str">
        <f>IF(ISBLANK(Лист1!L322),"",Лист1!L322)</f>
        <v/>
      </c>
      <c r="M322" s="5" t="str">
        <f>IF(ISBLANK(Лист1!M322),"",Лист1!M322)</f>
        <v/>
      </c>
      <c r="N322" s="5" t="str">
        <f>IF(ISBLANK(Лист1!N322),"",Лист1!N322)</f>
        <v/>
      </c>
      <c r="O322" s="5" t="str">
        <f>IF(ISBLANK(Лист1!O322),"",Лист1!O322)</f>
        <v/>
      </c>
      <c r="P322" s="5" t="str">
        <f>IF(ISBLANK(Лист1!P322),"",Лист1!P322)</f>
        <v/>
      </c>
      <c r="Q322" s="5" t="str">
        <f>IF(ISBLANK(Лист1!Q322),"",Лист1!Q322)</f>
        <v/>
      </c>
      <c r="R322" s="5" t="str">
        <f>IF(ISBLANK(Лист1!R322),"",Лист1!R322)</f>
        <v/>
      </c>
      <c r="S322" s="5" t="str">
        <f>IF(ISBLANK(Лист1!S322),"",Лист1!S322)</f>
        <v/>
      </c>
      <c r="T322" s="5" t="str">
        <f>IF(ISBLANK(Лист1!T322),"",Лист1!T322)</f>
        <v/>
      </c>
      <c r="U322" s="5" t="str">
        <f>IF(ISBLANK(Лист1!U322),"",Лист1!U322)</f>
        <v/>
      </c>
      <c r="V322" s="5" t="str">
        <f>IF(ISBLANK(Лист1!V322),"",Лист1!V322)</f>
        <v/>
      </c>
      <c r="W322" s="5" t="str">
        <f>IF(ISBLANK(Лист1!W322),"",Лист1!W322)</f>
        <v/>
      </c>
      <c r="X322" s="5" t="str">
        <f>IF(ISBLANK(Лист1!X322),"",Лист1!X322)</f>
        <v/>
      </c>
      <c r="Y322" s="5" t="str">
        <f>IF(ISERROR(VLOOKUP($X322,Лист2!$A$2:$G$498,1,FALSE)),"",VLOOKUP($X322,Лист2!$A$2:$G$498,1,FALSE))</f>
        <v/>
      </c>
      <c r="Z322" s="5" t="str">
        <f>IF(ISERROR(VLOOKUP($X322,Лист2!$A$2:$G$498,5,FALSE)),"",VLOOKUP($X322,Лист2!$A$2:$G$498,5,FALSE))</f>
        <v/>
      </c>
      <c r="AA322" s="5" t="str">
        <f>IF(ISERROR(VLOOKUP($X322,Лист2!$A$2:$G$498,6,FALSE)),"",VLOOKUP($X322,Лист2!$A$2:$G$498,6,FALSE))</f>
        <v/>
      </c>
      <c r="AB322" s="5" t="str">
        <f>IF(ISERROR(VLOOKUP($X322,Лист2!$A$2:$G$498,7,FALSE)),"",VLOOKUP($X322,Лист2!$A$2:$G$498,7,FALSE))</f>
        <v/>
      </c>
    </row>
    <row r="323" spans="1:28" x14ac:dyDescent="0.25">
      <c r="A323" s="5" t="str">
        <f>IF(ISBLANK(Лист1!A323),"",Лист1!A323)</f>
        <v/>
      </c>
      <c r="B323" s="5" t="str">
        <f>IF(ISBLANK(Лист1!B323),"",Лист1!B323)</f>
        <v/>
      </c>
      <c r="C323" s="5" t="str">
        <f>IF(ISBLANK(Лист1!C323),"",Лист1!C323)</f>
        <v/>
      </c>
      <c r="D323" s="5" t="str">
        <f>IF(ISBLANK(Лист1!D323),"",Лист1!D323)</f>
        <v/>
      </c>
      <c r="E323" s="5" t="str">
        <f>IF(ISBLANK(Лист1!E323),"",Лист1!E323)</f>
        <v/>
      </c>
      <c r="F323" s="5" t="str">
        <f>IF(ISBLANK(Лист1!F323),"",Лист1!F323)</f>
        <v/>
      </c>
      <c r="G323" s="5" t="str">
        <f>IF(ISBLANK(Лист1!G323),"",Лист1!G323)</f>
        <v/>
      </c>
      <c r="H323" s="5" t="str">
        <f>IF(ISBLANK(Лист1!H323),"",Лист1!H323)</f>
        <v/>
      </c>
      <c r="I323" s="5" t="str">
        <f>IF(ISBLANK(Лист1!I323),"",Лист1!I323)</f>
        <v/>
      </c>
      <c r="J323" s="5" t="str">
        <f>IF(ISBLANK(Лист1!J323),"",Лист1!J323)</f>
        <v/>
      </c>
      <c r="K323" s="5" t="str">
        <f>IF(ISBLANK(Лист1!K323),"",Лист1!K323)</f>
        <v/>
      </c>
      <c r="L323" s="5" t="str">
        <f>IF(ISBLANK(Лист1!L323),"",Лист1!L323)</f>
        <v/>
      </c>
      <c r="M323" s="5" t="str">
        <f>IF(ISBLANK(Лист1!M323),"",Лист1!M323)</f>
        <v/>
      </c>
      <c r="N323" s="5" t="str">
        <f>IF(ISBLANK(Лист1!N323),"",Лист1!N323)</f>
        <v/>
      </c>
      <c r="O323" s="5" t="str">
        <f>IF(ISBLANK(Лист1!O323),"",Лист1!O323)</f>
        <v/>
      </c>
      <c r="P323" s="5" t="str">
        <f>IF(ISBLANK(Лист1!P323),"",Лист1!P323)</f>
        <v/>
      </c>
      <c r="Q323" s="5" t="str">
        <f>IF(ISBLANK(Лист1!Q323),"",Лист1!Q323)</f>
        <v/>
      </c>
      <c r="R323" s="5" t="str">
        <f>IF(ISBLANK(Лист1!R323),"",Лист1!R323)</f>
        <v/>
      </c>
      <c r="S323" s="5" t="str">
        <f>IF(ISBLANK(Лист1!S323),"",Лист1!S323)</f>
        <v/>
      </c>
      <c r="T323" s="5" t="str">
        <f>IF(ISBLANK(Лист1!T323),"",Лист1!T323)</f>
        <v/>
      </c>
      <c r="U323" s="5" t="str">
        <f>IF(ISBLANK(Лист1!U323),"",Лист1!U323)</f>
        <v/>
      </c>
      <c r="V323" s="5" t="str">
        <f>IF(ISBLANK(Лист1!V323),"",Лист1!V323)</f>
        <v/>
      </c>
      <c r="W323" s="5" t="str">
        <f>IF(ISBLANK(Лист1!W323),"",Лист1!W323)</f>
        <v/>
      </c>
      <c r="X323" s="5" t="str">
        <f>IF(ISBLANK(Лист1!X323),"",Лист1!X323)</f>
        <v/>
      </c>
      <c r="Y323" s="5" t="str">
        <f>IF(ISERROR(VLOOKUP($X323,Лист2!$A$2:$G$498,1,FALSE)),"",VLOOKUP($X323,Лист2!$A$2:$G$498,1,FALSE))</f>
        <v/>
      </c>
      <c r="Z323" s="5" t="str">
        <f>IF(ISERROR(VLOOKUP($X323,Лист2!$A$2:$G$498,5,FALSE)),"",VLOOKUP($X323,Лист2!$A$2:$G$498,5,FALSE))</f>
        <v/>
      </c>
      <c r="AA323" s="5" t="str">
        <f>IF(ISERROR(VLOOKUP($X323,Лист2!$A$2:$G$498,6,FALSE)),"",VLOOKUP($X323,Лист2!$A$2:$G$498,6,FALSE))</f>
        <v/>
      </c>
      <c r="AB323" s="5" t="str">
        <f>IF(ISERROR(VLOOKUP($X323,Лист2!$A$2:$G$498,7,FALSE)),"",VLOOKUP($X323,Лист2!$A$2:$G$498,7,FALSE))</f>
        <v/>
      </c>
    </row>
    <row r="324" spans="1:28" x14ac:dyDescent="0.25">
      <c r="A324" s="5" t="str">
        <f>IF(ISBLANK(Лист1!A324),"",Лист1!A324)</f>
        <v/>
      </c>
      <c r="B324" s="5" t="str">
        <f>IF(ISBLANK(Лист1!B324),"",Лист1!B324)</f>
        <v/>
      </c>
      <c r="C324" s="5" t="str">
        <f>IF(ISBLANK(Лист1!C324),"",Лист1!C324)</f>
        <v/>
      </c>
      <c r="D324" s="5" t="str">
        <f>IF(ISBLANK(Лист1!D324),"",Лист1!D324)</f>
        <v/>
      </c>
      <c r="E324" s="5" t="str">
        <f>IF(ISBLANK(Лист1!E324),"",Лист1!E324)</f>
        <v/>
      </c>
      <c r="F324" s="5" t="str">
        <f>IF(ISBLANK(Лист1!F324),"",Лист1!F324)</f>
        <v/>
      </c>
      <c r="G324" s="5" t="str">
        <f>IF(ISBLANK(Лист1!G324),"",Лист1!G324)</f>
        <v/>
      </c>
      <c r="H324" s="5" t="str">
        <f>IF(ISBLANK(Лист1!H324),"",Лист1!H324)</f>
        <v/>
      </c>
      <c r="I324" s="5" t="str">
        <f>IF(ISBLANK(Лист1!I324),"",Лист1!I324)</f>
        <v/>
      </c>
      <c r="J324" s="5" t="str">
        <f>IF(ISBLANK(Лист1!J324),"",Лист1!J324)</f>
        <v/>
      </c>
      <c r="K324" s="5" t="str">
        <f>IF(ISBLANK(Лист1!K324),"",Лист1!K324)</f>
        <v/>
      </c>
      <c r="L324" s="5" t="str">
        <f>IF(ISBLANK(Лист1!L324),"",Лист1!L324)</f>
        <v/>
      </c>
      <c r="M324" s="5" t="str">
        <f>IF(ISBLANK(Лист1!M324),"",Лист1!M324)</f>
        <v/>
      </c>
      <c r="N324" s="5" t="str">
        <f>IF(ISBLANK(Лист1!N324),"",Лист1!N324)</f>
        <v/>
      </c>
      <c r="O324" s="5" t="str">
        <f>IF(ISBLANK(Лист1!O324),"",Лист1!O324)</f>
        <v/>
      </c>
      <c r="P324" s="5" t="str">
        <f>IF(ISBLANK(Лист1!P324),"",Лист1!P324)</f>
        <v/>
      </c>
      <c r="Q324" s="5" t="str">
        <f>IF(ISBLANK(Лист1!Q324),"",Лист1!Q324)</f>
        <v/>
      </c>
      <c r="R324" s="5" t="str">
        <f>IF(ISBLANK(Лист1!R324),"",Лист1!R324)</f>
        <v/>
      </c>
      <c r="S324" s="5" t="str">
        <f>IF(ISBLANK(Лист1!S324),"",Лист1!S324)</f>
        <v/>
      </c>
      <c r="T324" s="5" t="str">
        <f>IF(ISBLANK(Лист1!T324),"",Лист1!T324)</f>
        <v/>
      </c>
      <c r="U324" s="5" t="str">
        <f>IF(ISBLANK(Лист1!U324),"",Лист1!U324)</f>
        <v/>
      </c>
      <c r="V324" s="5" t="str">
        <f>IF(ISBLANK(Лист1!V324),"",Лист1!V324)</f>
        <v/>
      </c>
      <c r="W324" s="5" t="str">
        <f>IF(ISBLANK(Лист1!W324),"",Лист1!W324)</f>
        <v/>
      </c>
      <c r="X324" s="5" t="str">
        <f>IF(ISBLANK(Лист1!X324),"",Лист1!X324)</f>
        <v/>
      </c>
      <c r="Y324" s="5" t="str">
        <f>IF(ISERROR(VLOOKUP($X324,Лист2!$A$2:$G$498,1,FALSE)),"",VLOOKUP($X324,Лист2!$A$2:$G$498,1,FALSE))</f>
        <v/>
      </c>
      <c r="Z324" s="5" t="str">
        <f>IF(ISERROR(VLOOKUP($X324,Лист2!$A$2:$G$498,5,FALSE)),"",VLOOKUP($X324,Лист2!$A$2:$G$498,5,FALSE))</f>
        <v/>
      </c>
      <c r="AA324" s="5" t="str">
        <f>IF(ISERROR(VLOOKUP($X324,Лист2!$A$2:$G$498,6,FALSE)),"",VLOOKUP($X324,Лист2!$A$2:$G$498,6,FALSE))</f>
        <v/>
      </c>
      <c r="AB324" s="5" t="str">
        <f>IF(ISERROR(VLOOKUP($X324,Лист2!$A$2:$G$498,7,FALSE)),"",VLOOKUP($X324,Лист2!$A$2:$G$498,7,FALSE))</f>
        <v/>
      </c>
    </row>
    <row r="325" spans="1:28" x14ac:dyDescent="0.25">
      <c r="A325" s="5" t="str">
        <f>IF(ISBLANK(Лист1!A325),"",Лист1!A325)</f>
        <v/>
      </c>
      <c r="B325" s="5" t="str">
        <f>IF(ISBLANK(Лист1!B325),"",Лист1!B325)</f>
        <v/>
      </c>
      <c r="C325" s="5" t="str">
        <f>IF(ISBLANK(Лист1!C325),"",Лист1!C325)</f>
        <v/>
      </c>
      <c r="D325" s="5" t="str">
        <f>IF(ISBLANK(Лист1!D325),"",Лист1!D325)</f>
        <v/>
      </c>
      <c r="E325" s="5" t="str">
        <f>IF(ISBLANK(Лист1!E325),"",Лист1!E325)</f>
        <v/>
      </c>
      <c r="F325" s="5" t="str">
        <f>IF(ISBLANK(Лист1!F325),"",Лист1!F325)</f>
        <v/>
      </c>
      <c r="G325" s="5" t="str">
        <f>IF(ISBLANK(Лист1!G325),"",Лист1!G325)</f>
        <v/>
      </c>
      <c r="H325" s="5" t="str">
        <f>IF(ISBLANK(Лист1!H325),"",Лист1!H325)</f>
        <v/>
      </c>
      <c r="I325" s="5" t="str">
        <f>IF(ISBLANK(Лист1!I325),"",Лист1!I325)</f>
        <v/>
      </c>
      <c r="J325" s="5" t="str">
        <f>IF(ISBLANK(Лист1!J325),"",Лист1!J325)</f>
        <v/>
      </c>
      <c r="K325" s="5" t="str">
        <f>IF(ISBLANK(Лист1!K325),"",Лист1!K325)</f>
        <v/>
      </c>
      <c r="L325" s="5" t="str">
        <f>IF(ISBLANK(Лист1!L325),"",Лист1!L325)</f>
        <v/>
      </c>
      <c r="M325" s="5" t="str">
        <f>IF(ISBLANK(Лист1!M325),"",Лист1!M325)</f>
        <v/>
      </c>
      <c r="N325" s="5" t="str">
        <f>IF(ISBLANK(Лист1!N325),"",Лист1!N325)</f>
        <v/>
      </c>
      <c r="O325" s="5" t="str">
        <f>IF(ISBLANK(Лист1!O325),"",Лист1!O325)</f>
        <v/>
      </c>
      <c r="P325" s="5" t="str">
        <f>IF(ISBLANK(Лист1!P325),"",Лист1!P325)</f>
        <v/>
      </c>
      <c r="Q325" s="5" t="str">
        <f>IF(ISBLANK(Лист1!Q325),"",Лист1!Q325)</f>
        <v/>
      </c>
      <c r="R325" s="5" t="str">
        <f>IF(ISBLANK(Лист1!R325),"",Лист1!R325)</f>
        <v/>
      </c>
      <c r="S325" s="5" t="str">
        <f>IF(ISBLANK(Лист1!S325),"",Лист1!S325)</f>
        <v/>
      </c>
      <c r="T325" s="5" t="str">
        <f>IF(ISBLANK(Лист1!T325),"",Лист1!T325)</f>
        <v/>
      </c>
      <c r="U325" s="5" t="str">
        <f>IF(ISBLANK(Лист1!U325),"",Лист1!U325)</f>
        <v/>
      </c>
      <c r="V325" s="5" t="str">
        <f>IF(ISBLANK(Лист1!V325),"",Лист1!V325)</f>
        <v/>
      </c>
      <c r="W325" s="5" t="str">
        <f>IF(ISBLANK(Лист1!W325),"",Лист1!W325)</f>
        <v/>
      </c>
      <c r="X325" s="5" t="str">
        <f>IF(ISBLANK(Лист1!X325),"",Лист1!X325)</f>
        <v/>
      </c>
      <c r="Y325" s="5" t="str">
        <f>IF(ISERROR(VLOOKUP($X325,Лист2!$A$2:$G$498,1,FALSE)),"",VLOOKUP($X325,Лист2!$A$2:$G$498,1,FALSE))</f>
        <v/>
      </c>
      <c r="Z325" s="5" t="str">
        <f>IF(ISERROR(VLOOKUP($X325,Лист2!$A$2:$G$498,5,FALSE)),"",VLOOKUP($X325,Лист2!$A$2:$G$498,5,FALSE))</f>
        <v/>
      </c>
      <c r="AA325" s="5" t="str">
        <f>IF(ISERROR(VLOOKUP($X325,Лист2!$A$2:$G$498,6,FALSE)),"",VLOOKUP($X325,Лист2!$A$2:$G$498,6,FALSE))</f>
        <v/>
      </c>
      <c r="AB325" s="5" t="str">
        <f>IF(ISERROR(VLOOKUP($X325,Лист2!$A$2:$G$498,7,FALSE)),"",VLOOKUP($X325,Лист2!$A$2:$G$498,7,FALSE))</f>
        <v/>
      </c>
    </row>
    <row r="326" spans="1:28" x14ac:dyDescent="0.25">
      <c r="A326" s="5" t="str">
        <f>IF(ISBLANK(Лист1!A326),"",Лист1!A326)</f>
        <v/>
      </c>
      <c r="B326" s="5" t="str">
        <f>IF(ISBLANK(Лист1!B326),"",Лист1!B326)</f>
        <v/>
      </c>
      <c r="C326" s="5" t="str">
        <f>IF(ISBLANK(Лист1!C326),"",Лист1!C326)</f>
        <v/>
      </c>
      <c r="D326" s="5" t="str">
        <f>IF(ISBLANK(Лист1!D326),"",Лист1!D326)</f>
        <v/>
      </c>
      <c r="E326" s="5" t="str">
        <f>IF(ISBLANK(Лист1!E326),"",Лист1!E326)</f>
        <v/>
      </c>
      <c r="F326" s="5" t="str">
        <f>IF(ISBLANK(Лист1!F326),"",Лист1!F326)</f>
        <v/>
      </c>
      <c r="G326" s="5" t="str">
        <f>IF(ISBLANK(Лист1!G326),"",Лист1!G326)</f>
        <v/>
      </c>
      <c r="H326" s="5" t="str">
        <f>IF(ISBLANK(Лист1!H326),"",Лист1!H326)</f>
        <v/>
      </c>
      <c r="I326" s="5" t="str">
        <f>IF(ISBLANK(Лист1!I326),"",Лист1!I326)</f>
        <v/>
      </c>
      <c r="J326" s="5" t="str">
        <f>IF(ISBLANK(Лист1!J326),"",Лист1!J326)</f>
        <v/>
      </c>
      <c r="K326" s="5" t="str">
        <f>IF(ISBLANK(Лист1!K326),"",Лист1!K326)</f>
        <v/>
      </c>
      <c r="L326" s="5" t="str">
        <f>IF(ISBLANK(Лист1!L326),"",Лист1!L326)</f>
        <v/>
      </c>
      <c r="M326" s="5" t="str">
        <f>IF(ISBLANK(Лист1!M326),"",Лист1!M326)</f>
        <v/>
      </c>
      <c r="N326" s="5" t="str">
        <f>IF(ISBLANK(Лист1!N326),"",Лист1!N326)</f>
        <v/>
      </c>
      <c r="O326" s="5" t="str">
        <f>IF(ISBLANK(Лист1!O326),"",Лист1!O326)</f>
        <v/>
      </c>
      <c r="P326" s="5" t="str">
        <f>IF(ISBLANK(Лист1!P326),"",Лист1!P326)</f>
        <v/>
      </c>
      <c r="Q326" s="5" t="str">
        <f>IF(ISBLANK(Лист1!Q326),"",Лист1!Q326)</f>
        <v/>
      </c>
      <c r="R326" s="5" t="str">
        <f>IF(ISBLANK(Лист1!R326),"",Лист1!R326)</f>
        <v/>
      </c>
      <c r="S326" s="5" t="str">
        <f>IF(ISBLANK(Лист1!S326),"",Лист1!S326)</f>
        <v/>
      </c>
      <c r="T326" s="5" t="str">
        <f>IF(ISBLANK(Лист1!T326),"",Лист1!T326)</f>
        <v/>
      </c>
      <c r="U326" s="5" t="str">
        <f>IF(ISBLANK(Лист1!U326),"",Лист1!U326)</f>
        <v/>
      </c>
      <c r="V326" s="5" t="str">
        <f>IF(ISBLANK(Лист1!V326),"",Лист1!V326)</f>
        <v/>
      </c>
      <c r="W326" s="5" t="str">
        <f>IF(ISBLANK(Лист1!W326),"",Лист1!W326)</f>
        <v/>
      </c>
      <c r="X326" s="5" t="str">
        <f>IF(ISBLANK(Лист1!X326),"",Лист1!X326)</f>
        <v/>
      </c>
      <c r="Y326" s="5" t="str">
        <f>IF(ISERROR(VLOOKUP($X326,Лист2!$A$2:$G$498,1,FALSE)),"",VLOOKUP($X326,Лист2!$A$2:$G$498,1,FALSE))</f>
        <v/>
      </c>
      <c r="Z326" s="5" t="str">
        <f>IF(ISERROR(VLOOKUP($X326,Лист2!$A$2:$G$498,5,FALSE)),"",VLOOKUP($X326,Лист2!$A$2:$G$498,5,FALSE))</f>
        <v/>
      </c>
      <c r="AA326" s="5" t="str">
        <f>IF(ISERROR(VLOOKUP($X326,Лист2!$A$2:$G$498,6,FALSE)),"",VLOOKUP($X326,Лист2!$A$2:$G$498,6,FALSE))</f>
        <v/>
      </c>
      <c r="AB326" s="5" t="str">
        <f>IF(ISERROR(VLOOKUP($X326,Лист2!$A$2:$G$498,7,FALSE)),"",VLOOKUP($X326,Лист2!$A$2:$G$498,7,FALSE))</f>
        <v/>
      </c>
    </row>
    <row r="327" spans="1:28" x14ac:dyDescent="0.25">
      <c r="A327" s="5" t="str">
        <f>IF(ISBLANK(Лист1!A327),"",Лист1!A327)</f>
        <v/>
      </c>
      <c r="B327" s="5" t="str">
        <f>IF(ISBLANK(Лист1!B327),"",Лист1!B327)</f>
        <v/>
      </c>
      <c r="C327" s="5" t="str">
        <f>IF(ISBLANK(Лист1!C327),"",Лист1!C327)</f>
        <v/>
      </c>
      <c r="D327" s="5" t="str">
        <f>IF(ISBLANK(Лист1!D327),"",Лист1!D327)</f>
        <v/>
      </c>
      <c r="E327" s="5" t="str">
        <f>IF(ISBLANK(Лист1!E327),"",Лист1!E327)</f>
        <v/>
      </c>
      <c r="F327" s="5" t="str">
        <f>IF(ISBLANK(Лист1!F327),"",Лист1!F327)</f>
        <v/>
      </c>
      <c r="G327" s="5" t="str">
        <f>IF(ISBLANK(Лист1!G327),"",Лист1!G327)</f>
        <v/>
      </c>
      <c r="H327" s="5" t="str">
        <f>IF(ISBLANK(Лист1!H327),"",Лист1!H327)</f>
        <v/>
      </c>
      <c r="I327" s="5" t="str">
        <f>IF(ISBLANK(Лист1!I327),"",Лист1!I327)</f>
        <v/>
      </c>
      <c r="J327" s="5" t="str">
        <f>IF(ISBLANK(Лист1!J327),"",Лист1!J327)</f>
        <v/>
      </c>
      <c r="K327" s="5" t="str">
        <f>IF(ISBLANK(Лист1!K327),"",Лист1!K327)</f>
        <v/>
      </c>
      <c r="L327" s="5" t="str">
        <f>IF(ISBLANK(Лист1!L327),"",Лист1!L327)</f>
        <v/>
      </c>
      <c r="M327" s="5" t="str">
        <f>IF(ISBLANK(Лист1!M327),"",Лист1!M327)</f>
        <v/>
      </c>
      <c r="N327" s="5" t="str">
        <f>IF(ISBLANK(Лист1!N327),"",Лист1!N327)</f>
        <v/>
      </c>
      <c r="O327" s="5" t="str">
        <f>IF(ISBLANK(Лист1!O327),"",Лист1!O327)</f>
        <v/>
      </c>
      <c r="P327" s="5" t="str">
        <f>IF(ISBLANK(Лист1!P327),"",Лист1!P327)</f>
        <v/>
      </c>
      <c r="Q327" s="5" t="str">
        <f>IF(ISBLANK(Лист1!Q327),"",Лист1!Q327)</f>
        <v/>
      </c>
      <c r="R327" s="5" t="str">
        <f>IF(ISBLANK(Лист1!R327),"",Лист1!R327)</f>
        <v/>
      </c>
      <c r="S327" s="5" t="str">
        <f>IF(ISBLANK(Лист1!S327),"",Лист1!S327)</f>
        <v/>
      </c>
      <c r="T327" s="5" t="str">
        <f>IF(ISBLANK(Лист1!T327),"",Лист1!T327)</f>
        <v/>
      </c>
      <c r="U327" s="5" t="str">
        <f>IF(ISBLANK(Лист1!U327),"",Лист1!U327)</f>
        <v/>
      </c>
      <c r="V327" s="5" t="str">
        <f>IF(ISBLANK(Лист1!V327),"",Лист1!V327)</f>
        <v/>
      </c>
      <c r="W327" s="5" t="str">
        <f>IF(ISBLANK(Лист1!W327),"",Лист1!W327)</f>
        <v/>
      </c>
      <c r="X327" s="5" t="str">
        <f>IF(ISBLANK(Лист1!X327),"",Лист1!X327)</f>
        <v/>
      </c>
      <c r="Y327" s="5" t="str">
        <f>IF(ISERROR(VLOOKUP($X327,Лист2!$A$2:$G$498,1,FALSE)),"",VLOOKUP($X327,Лист2!$A$2:$G$498,1,FALSE))</f>
        <v/>
      </c>
      <c r="Z327" s="5" t="str">
        <f>IF(ISERROR(VLOOKUP($X327,Лист2!$A$2:$G$498,5,FALSE)),"",VLOOKUP($X327,Лист2!$A$2:$G$498,5,FALSE))</f>
        <v/>
      </c>
      <c r="AA327" s="5" t="str">
        <f>IF(ISERROR(VLOOKUP($X327,Лист2!$A$2:$G$498,6,FALSE)),"",VLOOKUP($X327,Лист2!$A$2:$G$498,6,FALSE))</f>
        <v/>
      </c>
      <c r="AB327" s="5" t="str">
        <f>IF(ISERROR(VLOOKUP($X327,Лист2!$A$2:$G$498,7,FALSE)),"",VLOOKUP($X327,Лист2!$A$2:$G$498,7,FALSE))</f>
        <v/>
      </c>
    </row>
    <row r="328" spans="1:28" x14ac:dyDescent="0.25">
      <c r="A328" s="5" t="str">
        <f>IF(ISBLANK(Лист1!A328),"",Лист1!A328)</f>
        <v/>
      </c>
      <c r="B328" s="5" t="str">
        <f>IF(ISBLANK(Лист1!B328),"",Лист1!B328)</f>
        <v/>
      </c>
      <c r="C328" s="5" t="str">
        <f>IF(ISBLANK(Лист1!C328),"",Лист1!C328)</f>
        <v/>
      </c>
      <c r="D328" s="5" t="str">
        <f>IF(ISBLANK(Лист1!D328),"",Лист1!D328)</f>
        <v/>
      </c>
      <c r="E328" s="5" t="str">
        <f>IF(ISBLANK(Лист1!E328),"",Лист1!E328)</f>
        <v/>
      </c>
      <c r="F328" s="5" t="str">
        <f>IF(ISBLANK(Лист1!F328),"",Лист1!F328)</f>
        <v/>
      </c>
      <c r="G328" s="5" t="str">
        <f>IF(ISBLANK(Лист1!G328),"",Лист1!G328)</f>
        <v/>
      </c>
      <c r="H328" s="5" t="str">
        <f>IF(ISBLANK(Лист1!H328),"",Лист1!H328)</f>
        <v/>
      </c>
      <c r="I328" s="5" t="str">
        <f>IF(ISBLANK(Лист1!I328),"",Лист1!I328)</f>
        <v/>
      </c>
      <c r="J328" s="5" t="str">
        <f>IF(ISBLANK(Лист1!J328),"",Лист1!J328)</f>
        <v/>
      </c>
      <c r="K328" s="5" t="str">
        <f>IF(ISBLANK(Лист1!K328),"",Лист1!K328)</f>
        <v/>
      </c>
      <c r="L328" s="5" t="str">
        <f>IF(ISBLANK(Лист1!L328),"",Лист1!L328)</f>
        <v/>
      </c>
      <c r="M328" s="5" t="str">
        <f>IF(ISBLANK(Лист1!M328),"",Лист1!M328)</f>
        <v/>
      </c>
      <c r="N328" s="5" t="str">
        <f>IF(ISBLANK(Лист1!N328),"",Лист1!N328)</f>
        <v/>
      </c>
      <c r="O328" s="5" t="str">
        <f>IF(ISBLANK(Лист1!O328),"",Лист1!O328)</f>
        <v/>
      </c>
      <c r="P328" s="5" t="str">
        <f>IF(ISBLANK(Лист1!P328),"",Лист1!P328)</f>
        <v/>
      </c>
      <c r="Q328" s="5" t="str">
        <f>IF(ISBLANK(Лист1!Q328),"",Лист1!Q328)</f>
        <v/>
      </c>
      <c r="R328" s="5" t="str">
        <f>IF(ISBLANK(Лист1!R328),"",Лист1!R328)</f>
        <v/>
      </c>
      <c r="S328" s="5" t="str">
        <f>IF(ISBLANK(Лист1!S328),"",Лист1!S328)</f>
        <v/>
      </c>
      <c r="T328" s="5" t="str">
        <f>IF(ISBLANK(Лист1!T328),"",Лист1!T328)</f>
        <v/>
      </c>
      <c r="U328" s="5" t="str">
        <f>IF(ISBLANK(Лист1!U328),"",Лист1!U328)</f>
        <v/>
      </c>
      <c r="V328" s="5" t="str">
        <f>IF(ISBLANK(Лист1!V328),"",Лист1!V328)</f>
        <v/>
      </c>
      <c r="W328" s="5" t="str">
        <f>IF(ISBLANK(Лист1!W328),"",Лист1!W328)</f>
        <v/>
      </c>
      <c r="X328" s="5" t="str">
        <f>IF(ISBLANK(Лист1!X328),"",Лист1!X328)</f>
        <v/>
      </c>
      <c r="Y328" s="5" t="str">
        <f>IF(ISERROR(VLOOKUP($X328,Лист2!$A$2:$G$498,1,FALSE)),"",VLOOKUP($X328,Лист2!$A$2:$G$498,1,FALSE))</f>
        <v/>
      </c>
      <c r="Z328" s="5" t="str">
        <f>IF(ISERROR(VLOOKUP($X328,Лист2!$A$2:$G$498,5,FALSE)),"",VLOOKUP($X328,Лист2!$A$2:$G$498,5,FALSE))</f>
        <v/>
      </c>
      <c r="AA328" s="5" t="str">
        <f>IF(ISERROR(VLOOKUP($X328,Лист2!$A$2:$G$498,6,FALSE)),"",VLOOKUP($X328,Лист2!$A$2:$G$498,6,FALSE))</f>
        <v/>
      </c>
      <c r="AB328" s="5" t="str">
        <f>IF(ISERROR(VLOOKUP($X328,Лист2!$A$2:$G$498,7,FALSE)),"",VLOOKUP($X328,Лист2!$A$2:$G$498,7,FALSE))</f>
        <v/>
      </c>
    </row>
    <row r="329" spans="1:28" x14ac:dyDescent="0.25">
      <c r="A329" s="5" t="str">
        <f>IF(ISBLANK(Лист1!A329),"",Лист1!A329)</f>
        <v/>
      </c>
      <c r="B329" s="5" t="str">
        <f>IF(ISBLANK(Лист1!B329),"",Лист1!B329)</f>
        <v/>
      </c>
      <c r="C329" s="5" t="str">
        <f>IF(ISBLANK(Лист1!C329),"",Лист1!C329)</f>
        <v/>
      </c>
      <c r="D329" s="5" t="str">
        <f>IF(ISBLANK(Лист1!D329),"",Лист1!D329)</f>
        <v/>
      </c>
      <c r="E329" s="5" t="str">
        <f>IF(ISBLANK(Лист1!E329),"",Лист1!E329)</f>
        <v/>
      </c>
      <c r="F329" s="5" t="str">
        <f>IF(ISBLANK(Лист1!F329),"",Лист1!F329)</f>
        <v/>
      </c>
      <c r="G329" s="5" t="str">
        <f>IF(ISBLANK(Лист1!G329),"",Лист1!G329)</f>
        <v/>
      </c>
      <c r="H329" s="5" t="str">
        <f>IF(ISBLANK(Лист1!H329),"",Лист1!H329)</f>
        <v/>
      </c>
      <c r="I329" s="5" t="str">
        <f>IF(ISBLANK(Лист1!I329),"",Лист1!I329)</f>
        <v/>
      </c>
      <c r="J329" s="5" t="str">
        <f>IF(ISBLANK(Лист1!J329),"",Лист1!J329)</f>
        <v/>
      </c>
      <c r="K329" s="5" t="str">
        <f>IF(ISBLANK(Лист1!K329),"",Лист1!K329)</f>
        <v/>
      </c>
      <c r="L329" s="5" t="str">
        <f>IF(ISBLANK(Лист1!L329),"",Лист1!L329)</f>
        <v/>
      </c>
      <c r="M329" s="5" t="str">
        <f>IF(ISBLANK(Лист1!M329),"",Лист1!M329)</f>
        <v/>
      </c>
      <c r="N329" s="5" t="str">
        <f>IF(ISBLANK(Лист1!N329),"",Лист1!N329)</f>
        <v/>
      </c>
      <c r="O329" s="5" t="str">
        <f>IF(ISBLANK(Лист1!O329),"",Лист1!O329)</f>
        <v/>
      </c>
      <c r="P329" s="5" t="str">
        <f>IF(ISBLANK(Лист1!P329),"",Лист1!P329)</f>
        <v/>
      </c>
      <c r="Q329" s="5" t="str">
        <f>IF(ISBLANK(Лист1!Q329),"",Лист1!Q329)</f>
        <v/>
      </c>
      <c r="R329" s="5" t="str">
        <f>IF(ISBLANK(Лист1!R329),"",Лист1!R329)</f>
        <v/>
      </c>
      <c r="S329" s="5" t="str">
        <f>IF(ISBLANK(Лист1!S329),"",Лист1!S329)</f>
        <v/>
      </c>
      <c r="T329" s="5" t="str">
        <f>IF(ISBLANK(Лист1!T329),"",Лист1!T329)</f>
        <v/>
      </c>
      <c r="U329" s="5" t="str">
        <f>IF(ISBLANK(Лист1!U329),"",Лист1!U329)</f>
        <v/>
      </c>
      <c r="V329" s="5" t="str">
        <f>IF(ISBLANK(Лист1!V329),"",Лист1!V329)</f>
        <v/>
      </c>
      <c r="W329" s="5" t="str">
        <f>IF(ISBLANK(Лист1!W329),"",Лист1!W329)</f>
        <v/>
      </c>
      <c r="X329" s="5" t="str">
        <f>IF(ISBLANK(Лист1!X329),"",Лист1!X329)</f>
        <v/>
      </c>
      <c r="Y329" s="5" t="str">
        <f>IF(ISERROR(VLOOKUP($X329,Лист2!$A$2:$G$498,1,FALSE)),"",VLOOKUP($X329,Лист2!$A$2:$G$498,1,FALSE))</f>
        <v/>
      </c>
      <c r="Z329" s="5" t="str">
        <f>IF(ISERROR(VLOOKUP($X329,Лист2!$A$2:$G$498,5,FALSE)),"",VLOOKUP($X329,Лист2!$A$2:$G$498,5,FALSE))</f>
        <v/>
      </c>
      <c r="AA329" s="5" t="str">
        <f>IF(ISERROR(VLOOKUP($X329,Лист2!$A$2:$G$498,6,FALSE)),"",VLOOKUP($X329,Лист2!$A$2:$G$498,6,FALSE))</f>
        <v/>
      </c>
      <c r="AB329" s="5" t="str">
        <f>IF(ISERROR(VLOOKUP($X329,Лист2!$A$2:$G$498,7,FALSE)),"",VLOOKUP($X329,Лист2!$A$2:$G$498,7,FALSE))</f>
        <v/>
      </c>
    </row>
    <row r="330" spans="1:28" x14ac:dyDescent="0.25">
      <c r="A330" s="5" t="str">
        <f>IF(ISBLANK(Лист1!A330),"",Лист1!A330)</f>
        <v/>
      </c>
      <c r="B330" s="5" t="str">
        <f>IF(ISBLANK(Лист1!B330),"",Лист1!B330)</f>
        <v/>
      </c>
      <c r="C330" s="5" t="str">
        <f>IF(ISBLANK(Лист1!C330),"",Лист1!C330)</f>
        <v/>
      </c>
      <c r="D330" s="5" t="str">
        <f>IF(ISBLANK(Лист1!D330),"",Лист1!D330)</f>
        <v/>
      </c>
      <c r="E330" s="5" t="str">
        <f>IF(ISBLANK(Лист1!E330),"",Лист1!E330)</f>
        <v/>
      </c>
      <c r="F330" s="5" t="str">
        <f>IF(ISBLANK(Лист1!F330),"",Лист1!F330)</f>
        <v/>
      </c>
      <c r="G330" s="5" t="str">
        <f>IF(ISBLANK(Лист1!G330),"",Лист1!G330)</f>
        <v/>
      </c>
      <c r="H330" s="5" t="str">
        <f>IF(ISBLANK(Лист1!H330),"",Лист1!H330)</f>
        <v/>
      </c>
      <c r="I330" s="5" t="str">
        <f>IF(ISBLANK(Лист1!I330),"",Лист1!I330)</f>
        <v/>
      </c>
      <c r="J330" s="5" t="str">
        <f>IF(ISBLANK(Лист1!J330),"",Лист1!J330)</f>
        <v/>
      </c>
      <c r="K330" s="5" t="str">
        <f>IF(ISBLANK(Лист1!K330),"",Лист1!K330)</f>
        <v/>
      </c>
      <c r="L330" s="5" t="str">
        <f>IF(ISBLANK(Лист1!L330),"",Лист1!L330)</f>
        <v/>
      </c>
      <c r="M330" s="5" t="str">
        <f>IF(ISBLANK(Лист1!M330),"",Лист1!M330)</f>
        <v/>
      </c>
      <c r="N330" s="5" t="str">
        <f>IF(ISBLANK(Лист1!N330),"",Лист1!N330)</f>
        <v/>
      </c>
      <c r="O330" s="5" t="str">
        <f>IF(ISBLANK(Лист1!O330),"",Лист1!O330)</f>
        <v/>
      </c>
      <c r="P330" s="5" t="str">
        <f>IF(ISBLANK(Лист1!P330),"",Лист1!P330)</f>
        <v/>
      </c>
      <c r="Q330" s="5" t="str">
        <f>IF(ISBLANK(Лист1!Q330),"",Лист1!Q330)</f>
        <v/>
      </c>
      <c r="R330" s="5" t="str">
        <f>IF(ISBLANK(Лист1!R330),"",Лист1!R330)</f>
        <v/>
      </c>
      <c r="S330" s="5" t="str">
        <f>IF(ISBLANK(Лист1!S330),"",Лист1!S330)</f>
        <v/>
      </c>
      <c r="T330" s="5" t="str">
        <f>IF(ISBLANK(Лист1!T330),"",Лист1!T330)</f>
        <v/>
      </c>
      <c r="U330" s="5" t="str">
        <f>IF(ISBLANK(Лист1!U330),"",Лист1!U330)</f>
        <v/>
      </c>
      <c r="V330" s="5" t="str">
        <f>IF(ISBLANK(Лист1!V330),"",Лист1!V330)</f>
        <v/>
      </c>
      <c r="W330" s="5" t="str">
        <f>IF(ISBLANK(Лист1!W330),"",Лист1!W330)</f>
        <v/>
      </c>
      <c r="X330" s="5" t="str">
        <f>IF(ISBLANK(Лист1!X330),"",Лист1!X330)</f>
        <v/>
      </c>
      <c r="Y330" s="5" t="str">
        <f>IF(ISERROR(VLOOKUP($X330,Лист2!$A$2:$G$498,1,FALSE)),"",VLOOKUP($X330,Лист2!$A$2:$G$498,1,FALSE))</f>
        <v/>
      </c>
      <c r="Z330" s="5" t="str">
        <f>IF(ISERROR(VLOOKUP($X330,Лист2!$A$2:$G$498,5,FALSE)),"",VLOOKUP($X330,Лист2!$A$2:$G$498,5,FALSE))</f>
        <v/>
      </c>
      <c r="AA330" s="5" t="str">
        <f>IF(ISERROR(VLOOKUP($X330,Лист2!$A$2:$G$498,6,FALSE)),"",VLOOKUP($X330,Лист2!$A$2:$G$498,6,FALSE))</f>
        <v/>
      </c>
      <c r="AB330" s="5" t="str">
        <f>IF(ISERROR(VLOOKUP($X330,Лист2!$A$2:$G$498,7,FALSE)),"",VLOOKUP($X330,Лист2!$A$2:$G$498,7,FALSE))</f>
        <v/>
      </c>
    </row>
    <row r="331" spans="1:28" x14ac:dyDescent="0.25">
      <c r="A331" s="5" t="str">
        <f>IF(ISBLANK(Лист1!A331),"",Лист1!A331)</f>
        <v/>
      </c>
      <c r="B331" s="5" t="str">
        <f>IF(ISBLANK(Лист1!B331),"",Лист1!B331)</f>
        <v/>
      </c>
      <c r="C331" s="5" t="str">
        <f>IF(ISBLANK(Лист1!C331),"",Лист1!C331)</f>
        <v/>
      </c>
      <c r="D331" s="5" t="str">
        <f>IF(ISBLANK(Лист1!D331),"",Лист1!D331)</f>
        <v/>
      </c>
      <c r="E331" s="5" t="str">
        <f>IF(ISBLANK(Лист1!E331),"",Лист1!E331)</f>
        <v/>
      </c>
      <c r="F331" s="5" t="str">
        <f>IF(ISBLANK(Лист1!F331),"",Лист1!F331)</f>
        <v/>
      </c>
      <c r="G331" s="5" t="str">
        <f>IF(ISBLANK(Лист1!G331),"",Лист1!G331)</f>
        <v/>
      </c>
      <c r="H331" s="5" t="str">
        <f>IF(ISBLANK(Лист1!H331),"",Лист1!H331)</f>
        <v/>
      </c>
      <c r="I331" s="5" t="str">
        <f>IF(ISBLANK(Лист1!I331),"",Лист1!I331)</f>
        <v/>
      </c>
      <c r="J331" s="5" t="str">
        <f>IF(ISBLANK(Лист1!J331),"",Лист1!J331)</f>
        <v/>
      </c>
      <c r="K331" s="5" t="str">
        <f>IF(ISBLANK(Лист1!K331),"",Лист1!K331)</f>
        <v/>
      </c>
      <c r="L331" s="5" t="str">
        <f>IF(ISBLANK(Лист1!L331),"",Лист1!L331)</f>
        <v/>
      </c>
      <c r="M331" s="5" t="str">
        <f>IF(ISBLANK(Лист1!M331),"",Лист1!M331)</f>
        <v/>
      </c>
      <c r="N331" s="5" t="str">
        <f>IF(ISBLANK(Лист1!N331),"",Лист1!N331)</f>
        <v/>
      </c>
      <c r="O331" s="5" t="str">
        <f>IF(ISBLANK(Лист1!O331),"",Лист1!O331)</f>
        <v/>
      </c>
      <c r="P331" s="5" t="str">
        <f>IF(ISBLANK(Лист1!P331),"",Лист1!P331)</f>
        <v/>
      </c>
      <c r="Q331" s="5" t="str">
        <f>IF(ISBLANK(Лист1!Q331),"",Лист1!Q331)</f>
        <v/>
      </c>
      <c r="R331" s="5" t="str">
        <f>IF(ISBLANK(Лист1!R331),"",Лист1!R331)</f>
        <v/>
      </c>
      <c r="S331" s="5" t="str">
        <f>IF(ISBLANK(Лист1!S331),"",Лист1!S331)</f>
        <v/>
      </c>
      <c r="T331" s="5" t="str">
        <f>IF(ISBLANK(Лист1!T331),"",Лист1!T331)</f>
        <v/>
      </c>
      <c r="U331" s="5" t="str">
        <f>IF(ISBLANK(Лист1!U331),"",Лист1!U331)</f>
        <v/>
      </c>
      <c r="V331" s="5" t="str">
        <f>IF(ISBLANK(Лист1!V331),"",Лист1!V331)</f>
        <v/>
      </c>
      <c r="W331" s="5" t="str">
        <f>IF(ISBLANK(Лист1!W331),"",Лист1!W331)</f>
        <v/>
      </c>
      <c r="X331" s="5" t="str">
        <f>IF(ISBLANK(Лист1!X331),"",Лист1!X331)</f>
        <v/>
      </c>
      <c r="Y331" s="5" t="str">
        <f>IF(ISERROR(VLOOKUP($X331,Лист2!$A$2:$G$498,1,FALSE)),"",VLOOKUP($X331,Лист2!$A$2:$G$498,1,FALSE))</f>
        <v/>
      </c>
      <c r="Z331" s="5" t="str">
        <f>IF(ISERROR(VLOOKUP($X331,Лист2!$A$2:$G$498,5,FALSE)),"",VLOOKUP($X331,Лист2!$A$2:$G$498,5,FALSE))</f>
        <v/>
      </c>
      <c r="AA331" s="5" t="str">
        <f>IF(ISERROR(VLOOKUP($X331,Лист2!$A$2:$G$498,6,FALSE)),"",VLOOKUP($X331,Лист2!$A$2:$G$498,6,FALSE))</f>
        <v/>
      </c>
      <c r="AB331" s="5" t="str">
        <f>IF(ISERROR(VLOOKUP($X331,Лист2!$A$2:$G$498,7,FALSE)),"",VLOOKUP($X331,Лист2!$A$2:$G$498,7,FALSE))</f>
        <v/>
      </c>
    </row>
    <row r="332" spans="1:28" x14ac:dyDescent="0.25">
      <c r="A332" s="5" t="str">
        <f>IF(ISBLANK(Лист1!A332),"",Лист1!A332)</f>
        <v/>
      </c>
      <c r="B332" s="5" t="str">
        <f>IF(ISBLANK(Лист1!B332),"",Лист1!B332)</f>
        <v/>
      </c>
      <c r="C332" s="5" t="str">
        <f>IF(ISBLANK(Лист1!C332),"",Лист1!C332)</f>
        <v/>
      </c>
      <c r="D332" s="5" t="str">
        <f>IF(ISBLANK(Лист1!D332),"",Лист1!D332)</f>
        <v/>
      </c>
      <c r="E332" s="5" t="str">
        <f>IF(ISBLANK(Лист1!E332),"",Лист1!E332)</f>
        <v/>
      </c>
      <c r="F332" s="5" t="str">
        <f>IF(ISBLANK(Лист1!F332),"",Лист1!F332)</f>
        <v/>
      </c>
      <c r="G332" s="5" t="str">
        <f>IF(ISBLANK(Лист1!G332),"",Лист1!G332)</f>
        <v/>
      </c>
      <c r="H332" s="5" t="str">
        <f>IF(ISBLANK(Лист1!H332),"",Лист1!H332)</f>
        <v/>
      </c>
      <c r="I332" s="5" t="str">
        <f>IF(ISBLANK(Лист1!I332),"",Лист1!I332)</f>
        <v/>
      </c>
      <c r="J332" s="5" t="str">
        <f>IF(ISBLANK(Лист1!J332),"",Лист1!J332)</f>
        <v/>
      </c>
      <c r="K332" s="5" t="str">
        <f>IF(ISBLANK(Лист1!K332),"",Лист1!K332)</f>
        <v/>
      </c>
      <c r="L332" s="5" t="str">
        <f>IF(ISBLANK(Лист1!L332),"",Лист1!L332)</f>
        <v/>
      </c>
      <c r="M332" s="5" t="str">
        <f>IF(ISBLANK(Лист1!M332),"",Лист1!M332)</f>
        <v/>
      </c>
      <c r="N332" s="5" t="str">
        <f>IF(ISBLANK(Лист1!N332),"",Лист1!N332)</f>
        <v/>
      </c>
      <c r="O332" s="5" t="str">
        <f>IF(ISBLANK(Лист1!O332),"",Лист1!O332)</f>
        <v/>
      </c>
      <c r="P332" s="5" t="str">
        <f>IF(ISBLANK(Лист1!P332),"",Лист1!P332)</f>
        <v/>
      </c>
      <c r="Q332" s="5" t="str">
        <f>IF(ISBLANK(Лист1!Q332),"",Лист1!Q332)</f>
        <v/>
      </c>
      <c r="R332" s="5" t="str">
        <f>IF(ISBLANK(Лист1!R332),"",Лист1!R332)</f>
        <v/>
      </c>
      <c r="S332" s="5" t="str">
        <f>IF(ISBLANK(Лист1!S332),"",Лист1!S332)</f>
        <v/>
      </c>
      <c r="T332" s="5" t="str">
        <f>IF(ISBLANK(Лист1!T332),"",Лист1!T332)</f>
        <v/>
      </c>
      <c r="U332" s="5" t="str">
        <f>IF(ISBLANK(Лист1!U332),"",Лист1!U332)</f>
        <v/>
      </c>
      <c r="V332" s="5" t="str">
        <f>IF(ISBLANK(Лист1!V332),"",Лист1!V332)</f>
        <v/>
      </c>
      <c r="W332" s="5" t="str">
        <f>IF(ISBLANK(Лист1!W332),"",Лист1!W332)</f>
        <v/>
      </c>
      <c r="X332" s="5" t="str">
        <f>IF(ISBLANK(Лист1!X332),"",Лист1!X332)</f>
        <v/>
      </c>
      <c r="Y332" s="5" t="str">
        <f>IF(ISERROR(VLOOKUP($X332,Лист2!$A$2:$G$498,1,FALSE)),"",VLOOKUP($X332,Лист2!$A$2:$G$498,1,FALSE))</f>
        <v/>
      </c>
      <c r="Z332" s="5" t="str">
        <f>IF(ISERROR(VLOOKUP($X332,Лист2!$A$2:$G$498,5,FALSE)),"",VLOOKUP($X332,Лист2!$A$2:$G$498,5,FALSE))</f>
        <v/>
      </c>
      <c r="AA332" s="5" t="str">
        <f>IF(ISERROR(VLOOKUP($X332,Лист2!$A$2:$G$498,6,FALSE)),"",VLOOKUP($X332,Лист2!$A$2:$G$498,6,FALSE))</f>
        <v/>
      </c>
      <c r="AB332" s="5" t="str">
        <f>IF(ISERROR(VLOOKUP($X332,Лист2!$A$2:$G$498,7,FALSE)),"",VLOOKUP($X332,Лист2!$A$2:$G$498,7,FALSE))</f>
        <v/>
      </c>
    </row>
    <row r="333" spans="1:28" x14ac:dyDescent="0.25">
      <c r="A333" s="5" t="str">
        <f>IF(ISBLANK(Лист1!A333),"",Лист1!A333)</f>
        <v/>
      </c>
      <c r="B333" s="5" t="str">
        <f>IF(ISBLANK(Лист1!B333),"",Лист1!B333)</f>
        <v/>
      </c>
      <c r="C333" s="5" t="str">
        <f>IF(ISBLANK(Лист1!C333),"",Лист1!C333)</f>
        <v/>
      </c>
      <c r="D333" s="5" t="str">
        <f>IF(ISBLANK(Лист1!D333),"",Лист1!D333)</f>
        <v/>
      </c>
      <c r="E333" s="5" t="str">
        <f>IF(ISBLANK(Лист1!E333),"",Лист1!E333)</f>
        <v/>
      </c>
      <c r="F333" s="5" t="str">
        <f>IF(ISBLANK(Лист1!F333),"",Лист1!F333)</f>
        <v/>
      </c>
      <c r="G333" s="5" t="str">
        <f>IF(ISBLANK(Лист1!G333),"",Лист1!G333)</f>
        <v/>
      </c>
      <c r="H333" s="5" t="str">
        <f>IF(ISBLANK(Лист1!H333),"",Лист1!H333)</f>
        <v/>
      </c>
      <c r="I333" s="5" t="str">
        <f>IF(ISBLANK(Лист1!I333),"",Лист1!I333)</f>
        <v/>
      </c>
      <c r="J333" s="5" t="str">
        <f>IF(ISBLANK(Лист1!J333),"",Лист1!J333)</f>
        <v/>
      </c>
      <c r="K333" s="5" t="str">
        <f>IF(ISBLANK(Лист1!K333),"",Лист1!K333)</f>
        <v/>
      </c>
      <c r="L333" s="5" t="str">
        <f>IF(ISBLANK(Лист1!L333),"",Лист1!L333)</f>
        <v/>
      </c>
      <c r="M333" s="5" t="str">
        <f>IF(ISBLANK(Лист1!M333),"",Лист1!M333)</f>
        <v/>
      </c>
      <c r="N333" s="5" t="str">
        <f>IF(ISBLANK(Лист1!N333),"",Лист1!N333)</f>
        <v/>
      </c>
      <c r="O333" s="5" t="str">
        <f>IF(ISBLANK(Лист1!O333),"",Лист1!O333)</f>
        <v/>
      </c>
      <c r="P333" s="5" t="str">
        <f>IF(ISBLANK(Лист1!P333),"",Лист1!P333)</f>
        <v/>
      </c>
      <c r="Q333" s="5" t="str">
        <f>IF(ISBLANK(Лист1!Q333),"",Лист1!Q333)</f>
        <v/>
      </c>
      <c r="R333" s="5" t="str">
        <f>IF(ISBLANK(Лист1!R333),"",Лист1!R333)</f>
        <v/>
      </c>
      <c r="S333" s="5" t="str">
        <f>IF(ISBLANK(Лист1!S333),"",Лист1!S333)</f>
        <v/>
      </c>
      <c r="T333" s="5" t="str">
        <f>IF(ISBLANK(Лист1!T333),"",Лист1!T333)</f>
        <v/>
      </c>
      <c r="U333" s="5" t="str">
        <f>IF(ISBLANK(Лист1!U333),"",Лист1!U333)</f>
        <v/>
      </c>
      <c r="V333" s="5" t="str">
        <f>IF(ISBLANK(Лист1!V333),"",Лист1!V333)</f>
        <v/>
      </c>
      <c r="W333" s="5" t="str">
        <f>IF(ISBLANK(Лист1!W333),"",Лист1!W333)</f>
        <v/>
      </c>
      <c r="X333" s="5" t="str">
        <f>IF(ISBLANK(Лист1!X333),"",Лист1!X333)</f>
        <v/>
      </c>
      <c r="Y333" s="5" t="str">
        <f>IF(ISERROR(VLOOKUP($X333,Лист2!$A$2:$G$498,1,FALSE)),"",VLOOKUP($X333,Лист2!$A$2:$G$498,1,FALSE))</f>
        <v/>
      </c>
      <c r="Z333" s="5" t="str">
        <f>IF(ISERROR(VLOOKUP($X333,Лист2!$A$2:$G$498,5,FALSE)),"",VLOOKUP($X333,Лист2!$A$2:$G$498,5,FALSE))</f>
        <v/>
      </c>
      <c r="AA333" s="5" t="str">
        <f>IF(ISERROR(VLOOKUP($X333,Лист2!$A$2:$G$498,6,FALSE)),"",VLOOKUP($X333,Лист2!$A$2:$G$498,6,FALSE))</f>
        <v/>
      </c>
      <c r="AB333" s="5" t="str">
        <f>IF(ISERROR(VLOOKUP($X333,Лист2!$A$2:$G$498,7,FALSE)),"",VLOOKUP($X333,Лист2!$A$2:$G$498,7,FALSE))</f>
        <v/>
      </c>
    </row>
    <row r="334" spans="1:28" x14ac:dyDescent="0.25">
      <c r="A334" s="5" t="str">
        <f>IF(ISBLANK(Лист1!A334),"",Лист1!A334)</f>
        <v/>
      </c>
      <c r="B334" s="5" t="str">
        <f>IF(ISBLANK(Лист1!B334),"",Лист1!B334)</f>
        <v/>
      </c>
      <c r="C334" s="5" t="str">
        <f>IF(ISBLANK(Лист1!C334),"",Лист1!C334)</f>
        <v/>
      </c>
      <c r="D334" s="5" t="str">
        <f>IF(ISBLANK(Лист1!D334),"",Лист1!D334)</f>
        <v/>
      </c>
      <c r="E334" s="5" t="str">
        <f>IF(ISBLANK(Лист1!E334),"",Лист1!E334)</f>
        <v/>
      </c>
      <c r="F334" s="5" t="str">
        <f>IF(ISBLANK(Лист1!F334),"",Лист1!F334)</f>
        <v/>
      </c>
      <c r="G334" s="5" t="str">
        <f>IF(ISBLANK(Лист1!G334),"",Лист1!G334)</f>
        <v/>
      </c>
      <c r="H334" s="5" t="str">
        <f>IF(ISBLANK(Лист1!H334),"",Лист1!H334)</f>
        <v/>
      </c>
      <c r="I334" s="5" t="str">
        <f>IF(ISBLANK(Лист1!I334),"",Лист1!I334)</f>
        <v/>
      </c>
      <c r="J334" s="5" t="str">
        <f>IF(ISBLANK(Лист1!J334),"",Лист1!J334)</f>
        <v/>
      </c>
      <c r="K334" s="5" t="str">
        <f>IF(ISBLANK(Лист1!K334),"",Лист1!K334)</f>
        <v/>
      </c>
      <c r="L334" s="5" t="str">
        <f>IF(ISBLANK(Лист1!L334),"",Лист1!L334)</f>
        <v/>
      </c>
      <c r="M334" s="5" t="str">
        <f>IF(ISBLANK(Лист1!M334),"",Лист1!M334)</f>
        <v/>
      </c>
      <c r="N334" s="5" t="str">
        <f>IF(ISBLANK(Лист1!N334),"",Лист1!N334)</f>
        <v/>
      </c>
      <c r="O334" s="5" t="str">
        <f>IF(ISBLANK(Лист1!O334),"",Лист1!O334)</f>
        <v/>
      </c>
      <c r="P334" s="5" t="str">
        <f>IF(ISBLANK(Лист1!P334),"",Лист1!P334)</f>
        <v/>
      </c>
      <c r="Q334" s="5" t="str">
        <f>IF(ISBLANK(Лист1!Q334),"",Лист1!Q334)</f>
        <v/>
      </c>
      <c r="R334" s="5" t="str">
        <f>IF(ISBLANK(Лист1!R334),"",Лист1!R334)</f>
        <v/>
      </c>
      <c r="S334" s="5" t="str">
        <f>IF(ISBLANK(Лист1!S334),"",Лист1!S334)</f>
        <v/>
      </c>
      <c r="T334" s="5" t="str">
        <f>IF(ISBLANK(Лист1!T334),"",Лист1!T334)</f>
        <v/>
      </c>
      <c r="U334" s="5" t="str">
        <f>IF(ISBLANK(Лист1!U334),"",Лист1!U334)</f>
        <v/>
      </c>
      <c r="V334" s="5" t="str">
        <f>IF(ISBLANK(Лист1!V334),"",Лист1!V334)</f>
        <v/>
      </c>
      <c r="W334" s="5" t="str">
        <f>IF(ISBLANK(Лист1!W334),"",Лист1!W334)</f>
        <v/>
      </c>
      <c r="X334" s="5" t="str">
        <f>IF(ISBLANK(Лист1!X334),"",Лист1!X334)</f>
        <v/>
      </c>
      <c r="Y334" s="5" t="str">
        <f>IF(ISERROR(VLOOKUP($X334,Лист2!$A$2:$G$498,1,FALSE)),"",VLOOKUP($X334,Лист2!$A$2:$G$498,1,FALSE))</f>
        <v/>
      </c>
      <c r="Z334" s="5" t="str">
        <f>IF(ISERROR(VLOOKUP($X334,Лист2!$A$2:$G$498,5,FALSE)),"",VLOOKUP($X334,Лист2!$A$2:$G$498,5,FALSE))</f>
        <v/>
      </c>
      <c r="AA334" s="5" t="str">
        <f>IF(ISERROR(VLOOKUP($X334,Лист2!$A$2:$G$498,6,FALSE)),"",VLOOKUP($X334,Лист2!$A$2:$G$498,6,FALSE))</f>
        <v/>
      </c>
      <c r="AB334" s="5" t="str">
        <f>IF(ISERROR(VLOOKUP($X334,Лист2!$A$2:$G$498,7,FALSE)),"",VLOOKUP($X334,Лист2!$A$2:$G$498,7,FALSE))</f>
        <v/>
      </c>
    </row>
    <row r="335" spans="1:28" x14ac:dyDescent="0.25">
      <c r="A335" s="5" t="str">
        <f>IF(ISBLANK(Лист1!A335),"",Лист1!A335)</f>
        <v/>
      </c>
      <c r="B335" s="5" t="str">
        <f>IF(ISBLANK(Лист1!B335),"",Лист1!B335)</f>
        <v/>
      </c>
      <c r="C335" s="5" t="str">
        <f>IF(ISBLANK(Лист1!C335),"",Лист1!C335)</f>
        <v/>
      </c>
      <c r="D335" s="5" t="str">
        <f>IF(ISBLANK(Лист1!D335),"",Лист1!D335)</f>
        <v/>
      </c>
      <c r="E335" s="5" t="str">
        <f>IF(ISBLANK(Лист1!E335),"",Лист1!E335)</f>
        <v/>
      </c>
      <c r="F335" s="5" t="str">
        <f>IF(ISBLANK(Лист1!F335),"",Лист1!F335)</f>
        <v/>
      </c>
      <c r="G335" s="5" t="str">
        <f>IF(ISBLANK(Лист1!G335),"",Лист1!G335)</f>
        <v/>
      </c>
      <c r="H335" s="5" t="str">
        <f>IF(ISBLANK(Лист1!H335),"",Лист1!H335)</f>
        <v/>
      </c>
      <c r="I335" s="5" t="str">
        <f>IF(ISBLANK(Лист1!I335),"",Лист1!I335)</f>
        <v/>
      </c>
      <c r="J335" s="5" t="str">
        <f>IF(ISBLANK(Лист1!J335),"",Лист1!J335)</f>
        <v/>
      </c>
      <c r="K335" s="5" t="str">
        <f>IF(ISBLANK(Лист1!K335),"",Лист1!K335)</f>
        <v/>
      </c>
      <c r="L335" s="5" t="str">
        <f>IF(ISBLANK(Лист1!L335),"",Лист1!L335)</f>
        <v/>
      </c>
      <c r="M335" s="5" t="str">
        <f>IF(ISBLANK(Лист1!M335),"",Лист1!M335)</f>
        <v/>
      </c>
      <c r="N335" s="5" t="str">
        <f>IF(ISBLANK(Лист1!N335),"",Лист1!N335)</f>
        <v/>
      </c>
      <c r="O335" s="5" t="str">
        <f>IF(ISBLANK(Лист1!O335),"",Лист1!O335)</f>
        <v/>
      </c>
      <c r="P335" s="5" t="str">
        <f>IF(ISBLANK(Лист1!P335),"",Лист1!P335)</f>
        <v/>
      </c>
      <c r="Q335" s="5" t="str">
        <f>IF(ISBLANK(Лист1!Q335),"",Лист1!Q335)</f>
        <v/>
      </c>
      <c r="R335" s="5" t="str">
        <f>IF(ISBLANK(Лист1!R335),"",Лист1!R335)</f>
        <v/>
      </c>
      <c r="S335" s="5" t="str">
        <f>IF(ISBLANK(Лист1!S335),"",Лист1!S335)</f>
        <v/>
      </c>
      <c r="T335" s="5" t="str">
        <f>IF(ISBLANK(Лист1!T335),"",Лист1!T335)</f>
        <v/>
      </c>
      <c r="U335" s="5" t="str">
        <f>IF(ISBLANK(Лист1!U335),"",Лист1!U335)</f>
        <v/>
      </c>
      <c r="V335" s="5" t="str">
        <f>IF(ISBLANK(Лист1!V335),"",Лист1!V335)</f>
        <v/>
      </c>
      <c r="W335" s="5" t="str">
        <f>IF(ISBLANK(Лист1!W335),"",Лист1!W335)</f>
        <v/>
      </c>
      <c r="X335" s="5" t="str">
        <f>IF(ISBLANK(Лист1!X335),"",Лист1!X335)</f>
        <v/>
      </c>
      <c r="Y335" s="5" t="str">
        <f>IF(ISERROR(VLOOKUP($X335,Лист2!$A$2:$G$498,1,FALSE)),"",VLOOKUP($X335,Лист2!$A$2:$G$498,1,FALSE))</f>
        <v/>
      </c>
      <c r="Z335" s="5" t="str">
        <f>IF(ISERROR(VLOOKUP($X335,Лист2!$A$2:$G$498,5,FALSE)),"",VLOOKUP($X335,Лист2!$A$2:$G$498,5,FALSE))</f>
        <v/>
      </c>
      <c r="AA335" s="5" t="str">
        <f>IF(ISERROR(VLOOKUP($X335,Лист2!$A$2:$G$498,6,FALSE)),"",VLOOKUP($X335,Лист2!$A$2:$G$498,6,FALSE))</f>
        <v/>
      </c>
      <c r="AB335" s="5" t="str">
        <f>IF(ISERROR(VLOOKUP($X335,Лист2!$A$2:$G$498,7,FALSE)),"",VLOOKUP($X335,Лист2!$A$2:$G$498,7,FALSE))</f>
        <v/>
      </c>
    </row>
    <row r="336" spans="1:28" x14ac:dyDescent="0.25">
      <c r="A336" s="5" t="str">
        <f>IF(ISBLANK(Лист1!A336),"",Лист1!A336)</f>
        <v/>
      </c>
      <c r="B336" s="5" t="str">
        <f>IF(ISBLANK(Лист1!B336),"",Лист1!B336)</f>
        <v/>
      </c>
      <c r="C336" s="5" t="str">
        <f>IF(ISBLANK(Лист1!C336),"",Лист1!C336)</f>
        <v/>
      </c>
      <c r="D336" s="5" t="str">
        <f>IF(ISBLANK(Лист1!D336),"",Лист1!D336)</f>
        <v/>
      </c>
      <c r="E336" s="5" t="str">
        <f>IF(ISBLANK(Лист1!E336),"",Лист1!E336)</f>
        <v/>
      </c>
      <c r="F336" s="5" t="str">
        <f>IF(ISBLANK(Лист1!F336),"",Лист1!F336)</f>
        <v/>
      </c>
      <c r="G336" s="5" t="str">
        <f>IF(ISBLANK(Лист1!G336),"",Лист1!G336)</f>
        <v/>
      </c>
      <c r="H336" s="5" t="str">
        <f>IF(ISBLANK(Лист1!H336),"",Лист1!H336)</f>
        <v/>
      </c>
      <c r="I336" s="5" t="str">
        <f>IF(ISBLANK(Лист1!I336),"",Лист1!I336)</f>
        <v/>
      </c>
      <c r="J336" s="5" t="str">
        <f>IF(ISBLANK(Лист1!J336),"",Лист1!J336)</f>
        <v/>
      </c>
      <c r="K336" s="5" t="str">
        <f>IF(ISBLANK(Лист1!K336),"",Лист1!K336)</f>
        <v/>
      </c>
      <c r="L336" s="5" t="str">
        <f>IF(ISBLANK(Лист1!L336),"",Лист1!L336)</f>
        <v/>
      </c>
      <c r="M336" s="5" t="str">
        <f>IF(ISBLANK(Лист1!M336),"",Лист1!M336)</f>
        <v/>
      </c>
      <c r="N336" s="5" t="str">
        <f>IF(ISBLANK(Лист1!N336),"",Лист1!N336)</f>
        <v/>
      </c>
      <c r="O336" s="5" t="str">
        <f>IF(ISBLANK(Лист1!O336),"",Лист1!O336)</f>
        <v/>
      </c>
      <c r="P336" s="5" t="str">
        <f>IF(ISBLANK(Лист1!P336),"",Лист1!P336)</f>
        <v/>
      </c>
      <c r="Q336" s="5" t="str">
        <f>IF(ISBLANK(Лист1!Q336),"",Лист1!Q336)</f>
        <v/>
      </c>
      <c r="R336" s="5" t="str">
        <f>IF(ISBLANK(Лист1!R336),"",Лист1!R336)</f>
        <v/>
      </c>
      <c r="S336" s="5" t="str">
        <f>IF(ISBLANK(Лист1!S336),"",Лист1!S336)</f>
        <v/>
      </c>
      <c r="T336" s="5" t="str">
        <f>IF(ISBLANK(Лист1!T336),"",Лист1!T336)</f>
        <v/>
      </c>
      <c r="U336" s="5" t="str">
        <f>IF(ISBLANK(Лист1!U336),"",Лист1!U336)</f>
        <v/>
      </c>
      <c r="V336" s="5" t="str">
        <f>IF(ISBLANK(Лист1!V336),"",Лист1!V336)</f>
        <v/>
      </c>
      <c r="W336" s="5" t="str">
        <f>IF(ISBLANK(Лист1!W336),"",Лист1!W336)</f>
        <v/>
      </c>
      <c r="X336" s="5" t="str">
        <f>IF(ISBLANK(Лист1!X336),"",Лист1!X336)</f>
        <v/>
      </c>
      <c r="Y336" s="5" t="str">
        <f>IF(ISERROR(VLOOKUP($X336,Лист2!$A$2:$G$498,1,FALSE)),"",VLOOKUP($X336,Лист2!$A$2:$G$498,1,FALSE))</f>
        <v/>
      </c>
      <c r="Z336" s="5" t="str">
        <f>IF(ISERROR(VLOOKUP($X336,Лист2!$A$2:$G$498,5,FALSE)),"",VLOOKUP($X336,Лист2!$A$2:$G$498,5,FALSE))</f>
        <v/>
      </c>
      <c r="AA336" s="5" t="str">
        <f>IF(ISERROR(VLOOKUP($X336,Лист2!$A$2:$G$498,6,FALSE)),"",VLOOKUP($X336,Лист2!$A$2:$G$498,6,FALSE))</f>
        <v/>
      </c>
      <c r="AB336" s="5" t="str">
        <f>IF(ISERROR(VLOOKUP($X336,Лист2!$A$2:$G$498,7,FALSE)),"",VLOOKUP($X336,Лист2!$A$2:$G$498,7,FALSE))</f>
        <v/>
      </c>
    </row>
    <row r="337" spans="1:28" x14ac:dyDescent="0.25">
      <c r="A337" s="5" t="str">
        <f>IF(ISBLANK(Лист1!A337),"",Лист1!A337)</f>
        <v/>
      </c>
      <c r="B337" s="5" t="str">
        <f>IF(ISBLANK(Лист1!B337),"",Лист1!B337)</f>
        <v/>
      </c>
      <c r="C337" s="5" t="str">
        <f>IF(ISBLANK(Лист1!C337),"",Лист1!C337)</f>
        <v/>
      </c>
      <c r="D337" s="5" t="str">
        <f>IF(ISBLANK(Лист1!D337),"",Лист1!D337)</f>
        <v/>
      </c>
      <c r="E337" s="5" t="str">
        <f>IF(ISBLANK(Лист1!E337),"",Лист1!E337)</f>
        <v/>
      </c>
      <c r="F337" s="5" t="str">
        <f>IF(ISBLANK(Лист1!F337),"",Лист1!F337)</f>
        <v/>
      </c>
      <c r="G337" s="5" t="str">
        <f>IF(ISBLANK(Лист1!G337),"",Лист1!G337)</f>
        <v/>
      </c>
      <c r="H337" s="5" t="str">
        <f>IF(ISBLANK(Лист1!H337),"",Лист1!H337)</f>
        <v/>
      </c>
      <c r="I337" s="5" t="str">
        <f>IF(ISBLANK(Лист1!I337),"",Лист1!I337)</f>
        <v/>
      </c>
      <c r="J337" s="5" t="str">
        <f>IF(ISBLANK(Лист1!J337),"",Лист1!J337)</f>
        <v/>
      </c>
      <c r="K337" s="5" t="str">
        <f>IF(ISBLANK(Лист1!K337),"",Лист1!K337)</f>
        <v/>
      </c>
      <c r="L337" s="5" t="str">
        <f>IF(ISBLANK(Лист1!L337),"",Лист1!L337)</f>
        <v/>
      </c>
      <c r="M337" s="5" t="str">
        <f>IF(ISBLANK(Лист1!M337),"",Лист1!M337)</f>
        <v/>
      </c>
      <c r="N337" s="5" t="str">
        <f>IF(ISBLANK(Лист1!N337),"",Лист1!N337)</f>
        <v/>
      </c>
      <c r="O337" s="5" t="str">
        <f>IF(ISBLANK(Лист1!O337),"",Лист1!O337)</f>
        <v/>
      </c>
      <c r="P337" s="5" t="str">
        <f>IF(ISBLANK(Лист1!P337),"",Лист1!P337)</f>
        <v/>
      </c>
      <c r="Q337" s="5" t="str">
        <f>IF(ISBLANK(Лист1!Q337),"",Лист1!Q337)</f>
        <v/>
      </c>
      <c r="R337" s="5" t="str">
        <f>IF(ISBLANK(Лист1!R337),"",Лист1!R337)</f>
        <v/>
      </c>
      <c r="S337" s="5" t="str">
        <f>IF(ISBLANK(Лист1!S337),"",Лист1!S337)</f>
        <v/>
      </c>
      <c r="T337" s="5" t="str">
        <f>IF(ISBLANK(Лист1!T337),"",Лист1!T337)</f>
        <v/>
      </c>
      <c r="U337" s="5" t="str">
        <f>IF(ISBLANK(Лист1!U337),"",Лист1!U337)</f>
        <v/>
      </c>
      <c r="V337" s="5" t="str">
        <f>IF(ISBLANK(Лист1!V337),"",Лист1!V337)</f>
        <v/>
      </c>
      <c r="W337" s="5" t="str">
        <f>IF(ISBLANK(Лист1!W337),"",Лист1!W337)</f>
        <v/>
      </c>
      <c r="X337" s="5" t="str">
        <f>IF(ISBLANK(Лист1!X337),"",Лист1!X337)</f>
        <v/>
      </c>
      <c r="Y337" s="5" t="str">
        <f>IF(ISERROR(VLOOKUP($X337,Лист2!$A$2:$G$498,1,FALSE)),"",VLOOKUP($X337,Лист2!$A$2:$G$498,1,FALSE))</f>
        <v/>
      </c>
      <c r="Z337" s="5" t="str">
        <f>IF(ISERROR(VLOOKUP($X337,Лист2!$A$2:$G$498,5,FALSE)),"",VLOOKUP($X337,Лист2!$A$2:$G$498,5,FALSE))</f>
        <v/>
      </c>
      <c r="AA337" s="5" t="str">
        <f>IF(ISERROR(VLOOKUP($X337,Лист2!$A$2:$G$498,6,FALSE)),"",VLOOKUP($X337,Лист2!$A$2:$G$498,6,FALSE))</f>
        <v/>
      </c>
      <c r="AB337" s="5" t="str">
        <f>IF(ISERROR(VLOOKUP($X337,Лист2!$A$2:$G$498,7,FALSE)),"",VLOOKUP($X337,Лист2!$A$2:$G$498,7,FALSE))</f>
        <v/>
      </c>
    </row>
    <row r="338" spans="1:28" x14ac:dyDescent="0.25">
      <c r="A338" s="5" t="str">
        <f>IF(ISBLANK(Лист1!A338),"",Лист1!A338)</f>
        <v/>
      </c>
      <c r="B338" s="5" t="str">
        <f>IF(ISBLANK(Лист1!B338),"",Лист1!B338)</f>
        <v/>
      </c>
      <c r="C338" s="5" t="str">
        <f>IF(ISBLANK(Лист1!C338),"",Лист1!C338)</f>
        <v/>
      </c>
      <c r="D338" s="5" t="str">
        <f>IF(ISBLANK(Лист1!D338),"",Лист1!D338)</f>
        <v/>
      </c>
      <c r="E338" s="5" t="str">
        <f>IF(ISBLANK(Лист1!E338),"",Лист1!E338)</f>
        <v/>
      </c>
      <c r="F338" s="5" t="str">
        <f>IF(ISBLANK(Лист1!F338),"",Лист1!F338)</f>
        <v/>
      </c>
      <c r="G338" s="5" t="str">
        <f>IF(ISBLANK(Лист1!G338),"",Лист1!G338)</f>
        <v/>
      </c>
      <c r="H338" s="5" t="str">
        <f>IF(ISBLANK(Лист1!H338),"",Лист1!H338)</f>
        <v/>
      </c>
      <c r="I338" s="5" t="str">
        <f>IF(ISBLANK(Лист1!I338),"",Лист1!I338)</f>
        <v/>
      </c>
      <c r="J338" s="5" t="str">
        <f>IF(ISBLANK(Лист1!J338),"",Лист1!J338)</f>
        <v/>
      </c>
      <c r="K338" s="5" t="str">
        <f>IF(ISBLANK(Лист1!K338),"",Лист1!K338)</f>
        <v/>
      </c>
      <c r="L338" s="5" t="str">
        <f>IF(ISBLANK(Лист1!L338),"",Лист1!L338)</f>
        <v/>
      </c>
      <c r="M338" s="5" t="str">
        <f>IF(ISBLANK(Лист1!M338),"",Лист1!M338)</f>
        <v/>
      </c>
      <c r="N338" s="5" t="str">
        <f>IF(ISBLANK(Лист1!N338),"",Лист1!N338)</f>
        <v/>
      </c>
      <c r="O338" s="5" t="str">
        <f>IF(ISBLANK(Лист1!O338),"",Лист1!O338)</f>
        <v/>
      </c>
      <c r="P338" s="5" t="str">
        <f>IF(ISBLANK(Лист1!P338),"",Лист1!P338)</f>
        <v/>
      </c>
      <c r="Q338" s="5" t="str">
        <f>IF(ISBLANK(Лист1!Q338),"",Лист1!Q338)</f>
        <v/>
      </c>
      <c r="R338" s="5" t="str">
        <f>IF(ISBLANK(Лист1!R338),"",Лист1!R338)</f>
        <v/>
      </c>
      <c r="S338" s="5" t="str">
        <f>IF(ISBLANK(Лист1!S338),"",Лист1!S338)</f>
        <v/>
      </c>
      <c r="T338" s="5" t="str">
        <f>IF(ISBLANK(Лист1!T338),"",Лист1!T338)</f>
        <v/>
      </c>
      <c r="U338" s="5" t="str">
        <f>IF(ISBLANK(Лист1!U338),"",Лист1!U338)</f>
        <v/>
      </c>
      <c r="V338" s="5" t="str">
        <f>IF(ISBLANK(Лист1!V338),"",Лист1!V338)</f>
        <v/>
      </c>
      <c r="W338" s="5" t="str">
        <f>IF(ISBLANK(Лист1!W338),"",Лист1!W338)</f>
        <v/>
      </c>
      <c r="X338" s="5" t="str">
        <f>IF(ISBLANK(Лист1!X338),"",Лист1!X338)</f>
        <v/>
      </c>
      <c r="Y338" s="5" t="str">
        <f>IF(ISERROR(VLOOKUP($X338,Лист2!$A$2:$G$498,1,FALSE)),"",VLOOKUP($X338,Лист2!$A$2:$G$498,1,FALSE))</f>
        <v/>
      </c>
      <c r="Z338" s="5" t="str">
        <f>IF(ISERROR(VLOOKUP($X338,Лист2!$A$2:$G$498,5,FALSE)),"",VLOOKUP($X338,Лист2!$A$2:$G$498,5,FALSE))</f>
        <v/>
      </c>
      <c r="AA338" s="5" t="str">
        <f>IF(ISERROR(VLOOKUP($X338,Лист2!$A$2:$G$498,6,FALSE)),"",VLOOKUP($X338,Лист2!$A$2:$G$498,6,FALSE))</f>
        <v/>
      </c>
      <c r="AB338" s="5" t="str">
        <f>IF(ISERROR(VLOOKUP($X338,Лист2!$A$2:$G$498,7,FALSE)),"",VLOOKUP($X338,Лист2!$A$2:$G$498,7,FALSE))</f>
        <v/>
      </c>
    </row>
    <row r="339" spans="1:28" x14ac:dyDescent="0.25">
      <c r="A339" s="5" t="str">
        <f>IF(ISBLANK(Лист1!A339),"",Лист1!A339)</f>
        <v/>
      </c>
      <c r="B339" s="5" t="str">
        <f>IF(ISBLANK(Лист1!B339),"",Лист1!B339)</f>
        <v/>
      </c>
      <c r="C339" s="5" t="str">
        <f>IF(ISBLANK(Лист1!C339),"",Лист1!C339)</f>
        <v/>
      </c>
      <c r="D339" s="5" t="str">
        <f>IF(ISBLANK(Лист1!D339),"",Лист1!D339)</f>
        <v/>
      </c>
      <c r="E339" s="5" t="str">
        <f>IF(ISBLANK(Лист1!E339),"",Лист1!E339)</f>
        <v/>
      </c>
      <c r="F339" s="5" t="str">
        <f>IF(ISBLANK(Лист1!F339),"",Лист1!F339)</f>
        <v/>
      </c>
      <c r="G339" s="5" t="str">
        <f>IF(ISBLANK(Лист1!G339),"",Лист1!G339)</f>
        <v/>
      </c>
      <c r="H339" s="5" t="str">
        <f>IF(ISBLANK(Лист1!H339),"",Лист1!H339)</f>
        <v/>
      </c>
      <c r="I339" s="5" t="str">
        <f>IF(ISBLANK(Лист1!I339),"",Лист1!I339)</f>
        <v/>
      </c>
      <c r="J339" s="5" t="str">
        <f>IF(ISBLANK(Лист1!J339),"",Лист1!J339)</f>
        <v/>
      </c>
      <c r="K339" s="5" t="str">
        <f>IF(ISBLANK(Лист1!K339),"",Лист1!K339)</f>
        <v/>
      </c>
      <c r="L339" s="5" t="str">
        <f>IF(ISBLANK(Лист1!L339),"",Лист1!L339)</f>
        <v/>
      </c>
      <c r="M339" s="5" t="str">
        <f>IF(ISBLANK(Лист1!M339),"",Лист1!M339)</f>
        <v/>
      </c>
      <c r="N339" s="5" t="str">
        <f>IF(ISBLANK(Лист1!N339),"",Лист1!N339)</f>
        <v/>
      </c>
      <c r="O339" s="5" t="str">
        <f>IF(ISBLANK(Лист1!O339),"",Лист1!O339)</f>
        <v/>
      </c>
      <c r="P339" s="5" t="str">
        <f>IF(ISBLANK(Лист1!P339),"",Лист1!P339)</f>
        <v/>
      </c>
      <c r="Q339" s="5" t="str">
        <f>IF(ISBLANK(Лист1!Q339),"",Лист1!Q339)</f>
        <v/>
      </c>
      <c r="R339" s="5" t="str">
        <f>IF(ISBLANK(Лист1!R339),"",Лист1!R339)</f>
        <v/>
      </c>
      <c r="S339" s="5" t="str">
        <f>IF(ISBLANK(Лист1!S339),"",Лист1!S339)</f>
        <v/>
      </c>
      <c r="T339" s="5" t="str">
        <f>IF(ISBLANK(Лист1!T339),"",Лист1!T339)</f>
        <v/>
      </c>
      <c r="U339" s="5" t="str">
        <f>IF(ISBLANK(Лист1!U339),"",Лист1!U339)</f>
        <v/>
      </c>
      <c r="V339" s="5" t="str">
        <f>IF(ISBLANK(Лист1!V339),"",Лист1!V339)</f>
        <v/>
      </c>
      <c r="W339" s="5" t="str">
        <f>IF(ISBLANK(Лист1!W339),"",Лист1!W339)</f>
        <v/>
      </c>
      <c r="X339" s="5" t="str">
        <f>IF(ISBLANK(Лист1!X339),"",Лист1!X339)</f>
        <v/>
      </c>
      <c r="Y339" s="5" t="str">
        <f>IF(ISERROR(VLOOKUP($X339,Лист2!$A$2:$G$498,1,FALSE)),"",VLOOKUP($X339,Лист2!$A$2:$G$498,1,FALSE))</f>
        <v/>
      </c>
      <c r="Z339" s="5" t="str">
        <f>IF(ISERROR(VLOOKUP($X339,Лист2!$A$2:$G$498,5,FALSE)),"",VLOOKUP($X339,Лист2!$A$2:$G$498,5,FALSE))</f>
        <v/>
      </c>
      <c r="AA339" s="5" t="str">
        <f>IF(ISERROR(VLOOKUP($X339,Лист2!$A$2:$G$498,6,FALSE)),"",VLOOKUP($X339,Лист2!$A$2:$G$498,6,FALSE))</f>
        <v/>
      </c>
      <c r="AB339" s="5" t="str">
        <f>IF(ISERROR(VLOOKUP($X339,Лист2!$A$2:$G$498,7,FALSE)),"",VLOOKUP($X339,Лист2!$A$2:$G$498,7,FALSE))</f>
        <v/>
      </c>
    </row>
    <row r="340" spans="1:28" x14ac:dyDescent="0.25">
      <c r="A340" s="5" t="str">
        <f>IF(ISBLANK(Лист1!A340),"",Лист1!A340)</f>
        <v/>
      </c>
      <c r="B340" s="5" t="str">
        <f>IF(ISBLANK(Лист1!B340),"",Лист1!B340)</f>
        <v/>
      </c>
      <c r="C340" s="5" t="str">
        <f>IF(ISBLANK(Лист1!C340),"",Лист1!C340)</f>
        <v/>
      </c>
      <c r="D340" s="5" t="str">
        <f>IF(ISBLANK(Лист1!D340),"",Лист1!D340)</f>
        <v/>
      </c>
      <c r="E340" s="5" t="str">
        <f>IF(ISBLANK(Лист1!E340),"",Лист1!E340)</f>
        <v/>
      </c>
      <c r="F340" s="5" t="str">
        <f>IF(ISBLANK(Лист1!F340),"",Лист1!F340)</f>
        <v/>
      </c>
      <c r="G340" s="5" t="str">
        <f>IF(ISBLANK(Лист1!G340),"",Лист1!G340)</f>
        <v/>
      </c>
      <c r="H340" s="5" t="str">
        <f>IF(ISBLANK(Лист1!H340),"",Лист1!H340)</f>
        <v/>
      </c>
      <c r="I340" s="5" t="str">
        <f>IF(ISBLANK(Лист1!I340),"",Лист1!I340)</f>
        <v/>
      </c>
      <c r="J340" s="5" t="str">
        <f>IF(ISBLANK(Лист1!J340),"",Лист1!J340)</f>
        <v/>
      </c>
      <c r="K340" s="5" t="str">
        <f>IF(ISBLANK(Лист1!K340),"",Лист1!K340)</f>
        <v/>
      </c>
      <c r="L340" s="5" t="str">
        <f>IF(ISBLANK(Лист1!L340),"",Лист1!L340)</f>
        <v/>
      </c>
      <c r="M340" s="5" t="str">
        <f>IF(ISBLANK(Лист1!M340),"",Лист1!M340)</f>
        <v/>
      </c>
      <c r="N340" s="5" t="str">
        <f>IF(ISBLANK(Лист1!N340),"",Лист1!N340)</f>
        <v/>
      </c>
      <c r="O340" s="5" t="str">
        <f>IF(ISBLANK(Лист1!O340),"",Лист1!O340)</f>
        <v/>
      </c>
      <c r="P340" s="5" t="str">
        <f>IF(ISBLANK(Лист1!P340),"",Лист1!P340)</f>
        <v/>
      </c>
      <c r="Q340" s="5" t="str">
        <f>IF(ISBLANK(Лист1!Q340),"",Лист1!Q340)</f>
        <v/>
      </c>
      <c r="R340" s="5" t="str">
        <f>IF(ISBLANK(Лист1!R340),"",Лист1!R340)</f>
        <v/>
      </c>
      <c r="S340" s="5" t="str">
        <f>IF(ISBLANK(Лист1!S340),"",Лист1!S340)</f>
        <v/>
      </c>
      <c r="T340" s="5" t="str">
        <f>IF(ISBLANK(Лист1!T340),"",Лист1!T340)</f>
        <v/>
      </c>
      <c r="U340" s="5" t="str">
        <f>IF(ISBLANK(Лист1!U340),"",Лист1!U340)</f>
        <v/>
      </c>
      <c r="V340" s="5" t="str">
        <f>IF(ISBLANK(Лист1!V340),"",Лист1!V340)</f>
        <v/>
      </c>
      <c r="W340" s="5" t="str">
        <f>IF(ISBLANK(Лист1!W340),"",Лист1!W340)</f>
        <v/>
      </c>
      <c r="X340" s="5" t="str">
        <f>IF(ISBLANK(Лист1!X340),"",Лист1!X340)</f>
        <v/>
      </c>
      <c r="Y340" s="5" t="str">
        <f>IF(ISERROR(VLOOKUP($X340,Лист2!$A$2:$G$498,1,FALSE)),"",VLOOKUP($X340,Лист2!$A$2:$G$498,1,FALSE))</f>
        <v/>
      </c>
      <c r="Z340" s="5" t="str">
        <f>IF(ISERROR(VLOOKUP($X340,Лист2!$A$2:$G$498,5,FALSE)),"",VLOOKUP($X340,Лист2!$A$2:$G$498,5,FALSE))</f>
        <v/>
      </c>
      <c r="AA340" s="5" t="str">
        <f>IF(ISERROR(VLOOKUP($X340,Лист2!$A$2:$G$498,6,FALSE)),"",VLOOKUP($X340,Лист2!$A$2:$G$498,6,FALSE))</f>
        <v/>
      </c>
      <c r="AB340" s="5" t="str">
        <f>IF(ISERROR(VLOOKUP($X340,Лист2!$A$2:$G$498,7,FALSE)),"",VLOOKUP($X340,Лист2!$A$2:$G$498,7,FALSE))</f>
        <v/>
      </c>
    </row>
    <row r="341" spans="1:28" x14ac:dyDescent="0.25">
      <c r="A341" s="5" t="str">
        <f>IF(ISBLANK(Лист1!A341),"",Лист1!A341)</f>
        <v/>
      </c>
      <c r="B341" s="5" t="str">
        <f>IF(ISBLANK(Лист1!B341),"",Лист1!B341)</f>
        <v/>
      </c>
      <c r="C341" s="5" t="str">
        <f>IF(ISBLANK(Лист1!C341),"",Лист1!C341)</f>
        <v/>
      </c>
      <c r="D341" s="5" t="str">
        <f>IF(ISBLANK(Лист1!D341),"",Лист1!D341)</f>
        <v/>
      </c>
      <c r="E341" s="5" t="str">
        <f>IF(ISBLANK(Лист1!E341),"",Лист1!E341)</f>
        <v/>
      </c>
      <c r="F341" s="5" t="str">
        <f>IF(ISBLANK(Лист1!F341),"",Лист1!F341)</f>
        <v/>
      </c>
      <c r="G341" s="5" t="str">
        <f>IF(ISBLANK(Лист1!G341),"",Лист1!G341)</f>
        <v/>
      </c>
      <c r="H341" s="5" t="str">
        <f>IF(ISBLANK(Лист1!H341),"",Лист1!H341)</f>
        <v/>
      </c>
      <c r="I341" s="5" t="str">
        <f>IF(ISBLANK(Лист1!I341),"",Лист1!I341)</f>
        <v/>
      </c>
      <c r="J341" s="5" t="str">
        <f>IF(ISBLANK(Лист1!J341),"",Лист1!J341)</f>
        <v/>
      </c>
      <c r="K341" s="5" t="str">
        <f>IF(ISBLANK(Лист1!K341),"",Лист1!K341)</f>
        <v/>
      </c>
      <c r="L341" s="5" t="str">
        <f>IF(ISBLANK(Лист1!L341),"",Лист1!L341)</f>
        <v/>
      </c>
      <c r="M341" s="5" t="str">
        <f>IF(ISBLANK(Лист1!M341),"",Лист1!M341)</f>
        <v/>
      </c>
      <c r="N341" s="5" t="str">
        <f>IF(ISBLANK(Лист1!N341),"",Лист1!N341)</f>
        <v/>
      </c>
      <c r="O341" s="5" t="str">
        <f>IF(ISBLANK(Лист1!O341),"",Лист1!O341)</f>
        <v/>
      </c>
      <c r="P341" s="5" t="str">
        <f>IF(ISBLANK(Лист1!P341),"",Лист1!P341)</f>
        <v/>
      </c>
      <c r="Q341" s="5" t="str">
        <f>IF(ISBLANK(Лист1!Q341),"",Лист1!Q341)</f>
        <v/>
      </c>
      <c r="R341" s="5" t="str">
        <f>IF(ISBLANK(Лист1!R341),"",Лист1!R341)</f>
        <v/>
      </c>
      <c r="S341" s="5" t="str">
        <f>IF(ISBLANK(Лист1!S341),"",Лист1!S341)</f>
        <v/>
      </c>
      <c r="T341" s="5" t="str">
        <f>IF(ISBLANK(Лист1!T341),"",Лист1!T341)</f>
        <v/>
      </c>
      <c r="U341" s="5" t="str">
        <f>IF(ISBLANK(Лист1!U341),"",Лист1!U341)</f>
        <v/>
      </c>
      <c r="V341" s="5" t="str">
        <f>IF(ISBLANK(Лист1!V341),"",Лист1!V341)</f>
        <v/>
      </c>
      <c r="W341" s="5" t="str">
        <f>IF(ISBLANK(Лист1!W341),"",Лист1!W341)</f>
        <v/>
      </c>
      <c r="X341" s="5" t="str">
        <f>IF(ISBLANK(Лист1!X341),"",Лист1!X341)</f>
        <v/>
      </c>
      <c r="Y341" s="5" t="str">
        <f>IF(ISERROR(VLOOKUP($X341,Лист2!$A$2:$G$498,1,FALSE)),"",VLOOKUP($X341,Лист2!$A$2:$G$498,1,FALSE))</f>
        <v/>
      </c>
      <c r="Z341" s="5" t="str">
        <f>IF(ISERROR(VLOOKUP($X341,Лист2!$A$2:$G$498,5,FALSE)),"",VLOOKUP($X341,Лист2!$A$2:$G$498,5,FALSE))</f>
        <v/>
      </c>
      <c r="AA341" s="5" t="str">
        <f>IF(ISERROR(VLOOKUP($X341,Лист2!$A$2:$G$498,6,FALSE)),"",VLOOKUP($X341,Лист2!$A$2:$G$498,6,FALSE))</f>
        <v/>
      </c>
      <c r="AB341" s="5" t="str">
        <f>IF(ISERROR(VLOOKUP($X341,Лист2!$A$2:$G$498,7,FALSE)),"",VLOOKUP($X341,Лист2!$A$2:$G$498,7,FALSE))</f>
        <v/>
      </c>
    </row>
    <row r="342" spans="1:28" x14ac:dyDescent="0.25">
      <c r="A342" s="5" t="str">
        <f>IF(ISBLANK(Лист1!A342),"",Лист1!A342)</f>
        <v/>
      </c>
      <c r="B342" s="5" t="str">
        <f>IF(ISBLANK(Лист1!B342),"",Лист1!B342)</f>
        <v/>
      </c>
      <c r="C342" s="5" t="str">
        <f>IF(ISBLANK(Лист1!C342),"",Лист1!C342)</f>
        <v/>
      </c>
      <c r="D342" s="5" t="str">
        <f>IF(ISBLANK(Лист1!D342),"",Лист1!D342)</f>
        <v/>
      </c>
      <c r="E342" s="5" t="str">
        <f>IF(ISBLANK(Лист1!E342),"",Лист1!E342)</f>
        <v/>
      </c>
      <c r="F342" s="5" t="str">
        <f>IF(ISBLANK(Лист1!F342),"",Лист1!F342)</f>
        <v/>
      </c>
      <c r="G342" s="5" t="str">
        <f>IF(ISBLANK(Лист1!G342),"",Лист1!G342)</f>
        <v/>
      </c>
      <c r="H342" s="5" t="str">
        <f>IF(ISBLANK(Лист1!H342),"",Лист1!H342)</f>
        <v/>
      </c>
      <c r="I342" s="5" t="str">
        <f>IF(ISBLANK(Лист1!I342),"",Лист1!I342)</f>
        <v/>
      </c>
      <c r="J342" s="5" t="str">
        <f>IF(ISBLANK(Лист1!J342),"",Лист1!J342)</f>
        <v/>
      </c>
      <c r="K342" s="5" t="str">
        <f>IF(ISBLANK(Лист1!K342),"",Лист1!K342)</f>
        <v/>
      </c>
      <c r="L342" s="5" t="str">
        <f>IF(ISBLANK(Лист1!L342),"",Лист1!L342)</f>
        <v/>
      </c>
      <c r="M342" s="5" t="str">
        <f>IF(ISBLANK(Лист1!M342),"",Лист1!M342)</f>
        <v/>
      </c>
      <c r="N342" s="5" t="str">
        <f>IF(ISBLANK(Лист1!N342),"",Лист1!N342)</f>
        <v/>
      </c>
      <c r="O342" s="5" t="str">
        <f>IF(ISBLANK(Лист1!O342),"",Лист1!O342)</f>
        <v/>
      </c>
      <c r="P342" s="5" t="str">
        <f>IF(ISBLANK(Лист1!P342),"",Лист1!P342)</f>
        <v/>
      </c>
      <c r="Q342" s="5" t="str">
        <f>IF(ISBLANK(Лист1!Q342),"",Лист1!Q342)</f>
        <v/>
      </c>
      <c r="R342" s="5" t="str">
        <f>IF(ISBLANK(Лист1!R342),"",Лист1!R342)</f>
        <v/>
      </c>
      <c r="S342" s="5" t="str">
        <f>IF(ISBLANK(Лист1!S342),"",Лист1!S342)</f>
        <v/>
      </c>
      <c r="T342" s="5" t="str">
        <f>IF(ISBLANK(Лист1!T342),"",Лист1!T342)</f>
        <v/>
      </c>
      <c r="U342" s="5" t="str">
        <f>IF(ISBLANK(Лист1!U342),"",Лист1!U342)</f>
        <v/>
      </c>
      <c r="V342" s="5" t="str">
        <f>IF(ISBLANK(Лист1!V342),"",Лист1!V342)</f>
        <v/>
      </c>
      <c r="W342" s="5" t="str">
        <f>IF(ISBLANK(Лист1!W342),"",Лист1!W342)</f>
        <v/>
      </c>
      <c r="X342" s="5" t="str">
        <f>IF(ISBLANK(Лист1!X342),"",Лист1!X342)</f>
        <v/>
      </c>
      <c r="Y342" s="5" t="str">
        <f>IF(ISERROR(VLOOKUP($X342,Лист2!$A$2:$G$498,1,FALSE)),"",VLOOKUP($X342,Лист2!$A$2:$G$498,1,FALSE))</f>
        <v/>
      </c>
      <c r="Z342" s="5" t="str">
        <f>IF(ISERROR(VLOOKUP($X342,Лист2!$A$2:$G$498,5,FALSE)),"",VLOOKUP($X342,Лист2!$A$2:$G$498,5,FALSE))</f>
        <v/>
      </c>
      <c r="AA342" s="5" t="str">
        <f>IF(ISERROR(VLOOKUP($X342,Лист2!$A$2:$G$498,6,FALSE)),"",VLOOKUP($X342,Лист2!$A$2:$G$498,6,FALSE))</f>
        <v/>
      </c>
      <c r="AB342" s="5" t="str">
        <f>IF(ISERROR(VLOOKUP($X342,Лист2!$A$2:$G$498,7,FALSE)),"",VLOOKUP($X342,Лист2!$A$2:$G$498,7,FALSE))</f>
        <v/>
      </c>
    </row>
    <row r="343" spans="1:28" x14ac:dyDescent="0.25">
      <c r="A343" s="5" t="str">
        <f>IF(ISBLANK(Лист1!A343),"",Лист1!A343)</f>
        <v/>
      </c>
      <c r="B343" s="5" t="str">
        <f>IF(ISBLANK(Лист1!B343),"",Лист1!B343)</f>
        <v/>
      </c>
      <c r="C343" s="5" t="str">
        <f>IF(ISBLANK(Лист1!C343),"",Лист1!C343)</f>
        <v/>
      </c>
      <c r="D343" s="5" t="str">
        <f>IF(ISBLANK(Лист1!D343),"",Лист1!D343)</f>
        <v/>
      </c>
      <c r="E343" s="5" t="str">
        <f>IF(ISBLANK(Лист1!E343),"",Лист1!E343)</f>
        <v/>
      </c>
      <c r="F343" s="5" t="str">
        <f>IF(ISBLANK(Лист1!F343),"",Лист1!F343)</f>
        <v/>
      </c>
      <c r="G343" s="5" t="str">
        <f>IF(ISBLANK(Лист1!G343),"",Лист1!G343)</f>
        <v/>
      </c>
      <c r="H343" s="5" t="str">
        <f>IF(ISBLANK(Лист1!H343),"",Лист1!H343)</f>
        <v/>
      </c>
      <c r="I343" s="5" t="str">
        <f>IF(ISBLANK(Лист1!I343),"",Лист1!I343)</f>
        <v/>
      </c>
      <c r="J343" s="5" t="str">
        <f>IF(ISBLANK(Лист1!J343),"",Лист1!J343)</f>
        <v/>
      </c>
      <c r="K343" s="5" t="str">
        <f>IF(ISBLANK(Лист1!K343),"",Лист1!K343)</f>
        <v/>
      </c>
      <c r="L343" s="5" t="str">
        <f>IF(ISBLANK(Лист1!L343),"",Лист1!L343)</f>
        <v/>
      </c>
      <c r="M343" s="5" t="str">
        <f>IF(ISBLANK(Лист1!M343),"",Лист1!M343)</f>
        <v/>
      </c>
      <c r="N343" s="5" t="str">
        <f>IF(ISBLANK(Лист1!N343),"",Лист1!N343)</f>
        <v/>
      </c>
      <c r="O343" s="5" t="str">
        <f>IF(ISBLANK(Лист1!O343),"",Лист1!O343)</f>
        <v/>
      </c>
      <c r="P343" s="5" t="str">
        <f>IF(ISBLANK(Лист1!P343),"",Лист1!P343)</f>
        <v/>
      </c>
      <c r="Q343" s="5" t="str">
        <f>IF(ISBLANK(Лист1!Q343),"",Лист1!Q343)</f>
        <v/>
      </c>
      <c r="R343" s="5" t="str">
        <f>IF(ISBLANK(Лист1!R343),"",Лист1!R343)</f>
        <v/>
      </c>
      <c r="S343" s="5" t="str">
        <f>IF(ISBLANK(Лист1!S343),"",Лист1!S343)</f>
        <v/>
      </c>
      <c r="T343" s="5" t="str">
        <f>IF(ISBLANK(Лист1!T343),"",Лист1!T343)</f>
        <v/>
      </c>
      <c r="U343" s="5" t="str">
        <f>IF(ISBLANK(Лист1!U343),"",Лист1!U343)</f>
        <v/>
      </c>
      <c r="V343" s="5" t="str">
        <f>IF(ISBLANK(Лист1!V343),"",Лист1!V343)</f>
        <v/>
      </c>
      <c r="W343" s="5" t="str">
        <f>IF(ISBLANK(Лист1!W343),"",Лист1!W343)</f>
        <v/>
      </c>
      <c r="X343" s="5" t="str">
        <f>IF(ISBLANK(Лист1!X343),"",Лист1!X343)</f>
        <v/>
      </c>
      <c r="Y343" s="5" t="str">
        <f>IF(ISERROR(VLOOKUP($X343,Лист2!$A$2:$G$498,1,FALSE)),"",VLOOKUP($X343,Лист2!$A$2:$G$498,1,FALSE))</f>
        <v/>
      </c>
      <c r="Z343" s="5" t="str">
        <f>IF(ISERROR(VLOOKUP($X343,Лист2!$A$2:$G$498,5,FALSE)),"",VLOOKUP($X343,Лист2!$A$2:$G$498,5,FALSE))</f>
        <v/>
      </c>
      <c r="AA343" s="5" t="str">
        <f>IF(ISERROR(VLOOKUP($X343,Лист2!$A$2:$G$498,6,FALSE)),"",VLOOKUP($X343,Лист2!$A$2:$G$498,6,FALSE))</f>
        <v/>
      </c>
      <c r="AB343" s="5" t="str">
        <f>IF(ISERROR(VLOOKUP($X343,Лист2!$A$2:$G$498,7,FALSE)),"",VLOOKUP($X343,Лист2!$A$2:$G$498,7,FALSE))</f>
        <v/>
      </c>
    </row>
    <row r="344" spans="1:28" x14ac:dyDescent="0.25">
      <c r="A344" s="5" t="str">
        <f>IF(ISBLANK(Лист1!A344),"",Лист1!A344)</f>
        <v/>
      </c>
      <c r="B344" s="5" t="str">
        <f>IF(ISBLANK(Лист1!B344),"",Лист1!B344)</f>
        <v/>
      </c>
      <c r="C344" s="5" t="str">
        <f>IF(ISBLANK(Лист1!C344),"",Лист1!C344)</f>
        <v/>
      </c>
      <c r="D344" s="5" t="str">
        <f>IF(ISBLANK(Лист1!D344),"",Лист1!D344)</f>
        <v/>
      </c>
      <c r="E344" s="5" t="str">
        <f>IF(ISBLANK(Лист1!E344),"",Лист1!E344)</f>
        <v/>
      </c>
      <c r="F344" s="5" t="str">
        <f>IF(ISBLANK(Лист1!F344),"",Лист1!F344)</f>
        <v/>
      </c>
      <c r="G344" s="5" t="str">
        <f>IF(ISBLANK(Лист1!G344),"",Лист1!G344)</f>
        <v/>
      </c>
      <c r="H344" s="5" t="str">
        <f>IF(ISBLANK(Лист1!H344),"",Лист1!H344)</f>
        <v/>
      </c>
      <c r="I344" s="5" t="str">
        <f>IF(ISBLANK(Лист1!I344),"",Лист1!I344)</f>
        <v/>
      </c>
      <c r="J344" s="5" t="str">
        <f>IF(ISBLANK(Лист1!J344),"",Лист1!J344)</f>
        <v/>
      </c>
      <c r="K344" s="5" t="str">
        <f>IF(ISBLANK(Лист1!K344),"",Лист1!K344)</f>
        <v/>
      </c>
      <c r="L344" s="5" t="str">
        <f>IF(ISBLANK(Лист1!L344),"",Лист1!L344)</f>
        <v/>
      </c>
      <c r="M344" s="5" t="str">
        <f>IF(ISBLANK(Лист1!M344),"",Лист1!M344)</f>
        <v/>
      </c>
      <c r="N344" s="5" t="str">
        <f>IF(ISBLANK(Лист1!N344),"",Лист1!N344)</f>
        <v/>
      </c>
      <c r="O344" s="5" t="str">
        <f>IF(ISBLANK(Лист1!O344),"",Лист1!O344)</f>
        <v/>
      </c>
      <c r="P344" s="5" t="str">
        <f>IF(ISBLANK(Лист1!P344),"",Лист1!P344)</f>
        <v/>
      </c>
      <c r="Q344" s="5" t="str">
        <f>IF(ISBLANK(Лист1!Q344),"",Лист1!Q344)</f>
        <v/>
      </c>
      <c r="R344" s="5" t="str">
        <f>IF(ISBLANK(Лист1!R344),"",Лист1!R344)</f>
        <v/>
      </c>
      <c r="S344" s="5" t="str">
        <f>IF(ISBLANK(Лист1!S344),"",Лист1!S344)</f>
        <v/>
      </c>
      <c r="T344" s="5" t="str">
        <f>IF(ISBLANK(Лист1!T344),"",Лист1!T344)</f>
        <v/>
      </c>
      <c r="U344" s="5" t="str">
        <f>IF(ISBLANK(Лист1!U344),"",Лист1!U344)</f>
        <v/>
      </c>
      <c r="V344" s="5" t="str">
        <f>IF(ISBLANK(Лист1!V344),"",Лист1!V344)</f>
        <v/>
      </c>
      <c r="W344" s="5" t="str">
        <f>IF(ISBLANK(Лист1!W344),"",Лист1!W344)</f>
        <v/>
      </c>
      <c r="X344" s="5" t="str">
        <f>IF(ISBLANK(Лист1!X344),"",Лист1!X344)</f>
        <v/>
      </c>
      <c r="Y344" s="5" t="str">
        <f>IF(ISERROR(VLOOKUP($X344,Лист2!$A$2:$G$498,1,FALSE)),"",VLOOKUP($X344,Лист2!$A$2:$G$498,1,FALSE))</f>
        <v/>
      </c>
      <c r="Z344" s="5" t="str">
        <f>IF(ISERROR(VLOOKUP($X344,Лист2!$A$2:$G$498,5,FALSE)),"",VLOOKUP($X344,Лист2!$A$2:$G$498,5,FALSE))</f>
        <v/>
      </c>
      <c r="AA344" s="5" t="str">
        <f>IF(ISERROR(VLOOKUP($X344,Лист2!$A$2:$G$498,6,FALSE)),"",VLOOKUP($X344,Лист2!$A$2:$G$498,6,FALSE))</f>
        <v/>
      </c>
      <c r="AB344" s="5" t="str">
        <f>IF(ISERROR(VLOOKUP($X344,Лист2!$A$2:$G$498,7,FALSE)),"",VLOOKUP($X344,Лист2!$A$2:$G$498,7,FALSE))</f>
        <v/>
      </c>
    </row>
    <row r="345" spans="1:28" x14ac:dyDescent="0.25">
      <c r="A345" s="5" t="str">
        <f>IF(ISBLANK(Лист1!A345),"",Лист1!A345)</f>
        <v/>
      </c>
      <c r="B345" s="5" t="str">
        <f>IF(ISBLANK(Лист1!B345),"",Лист1!B345)</f>
        <v/>
      </c>
      <c r="C345" s="5" t="str">
        <f>IF(ISBLANK(Лист1!C345),"",Лист1!C345)</f>
        <v/>
      </c>
      <c r="D345" s="5" t="str">
        <f>IF(ISBLANK(Лист1!D345),"",Лист1!D345)</f>
        <v/>
      </c>
      <c r="E345" s="5" t="str">
        <f>IF(ISBLANK(Лист1!E345),"",Лист1!E345)</f>
        <v/>
      </c>
      <c r="F345" s="5" t="str">
        <f>IF(ISBLANK(Лист1!F345),"",Лист1!F345)</f>
        <v/>
      </c>
      <c r="G345" s="5" t="str">
        <f>IF(ISBLANK(Лист1!G345),"",Лист1!G345)</f>
        <v/>
      </c>
      <c r="H345" s="5" t="str">
        <f>IF(ISBLANK(Лист1!H345),"",Лист1!H345)</f>
        <v/>
      </c>
      <c r="I345" s="5" t="str">
        <f>IF(ISBLANK(Лист1!I345),"",Лист1!I345)</f>
        <v/>
      </c>
      <c r="J345" s="5" t="str">
        <f>IF(ISBLANK(Лист1!J345),"",Лист1!J345)</f>
        <v/>
      </c>
      <c r="K345" s="5" t="str">
        <f>IF(ISBLANK(Лист1!K345),"",Лист1!K345)</f>
        <v/>
      </c>
      <c r="L345" s="5" t="str">
        <f>IF(ISBLANK(Лист1!L345),"",Лист1!L345)</f>
        <v/>
      </c>
      <c r="M345" s="5" t="str">
        <f>IF(ISBLANK(Лист1!M345),"",Лист1!M345)</f>
        <v/>
      </c>
      <c r="N345" s="5" t="str">
        <f>IF(ISBLANK(Лист1!N345),"",Лист1!N345)</f>
        <v/>
      </c>
      <c r="O345" s="5" t="str">
        <f>IF(ISBLANK(Лист1!O345),"",Лист1!O345)</f>
        <v/>
      </c>
      <c r="P345" s="5" t="str">
        <f>IF(ISBLANK(Лист1!P345),"",Лист1!P345)</f>
        <v/>
      </c>
      <c r="Q345" s="5" t="str">
        <f>IF(ISBLANK(Лист1!Q345),"",Лист1!Q345)</f>
        <v/>
      </c>
      <c r="R345" s="5" t="str">
        <f>IF(ISBLANK(Лист1!R345),"",Лист1!R345)</f>
        <v/>
      </c>
      <c r="S345" s="5" t="str">
        <f>IF(ISBLANK(Лист1!S345),"",Лист1!S345)</f>
        <v/>
      </c>
      <c r="T345" s="5" t="str">
        <f>IF(ISBLANK(Лист1!T345),"",Лист1!T345)</f>
        <v/>
      </c>
      <c r="U345" s="5" t="str">
        <f>IF(ISBLANK(Лист1!U345),"",Лист1!U345)</f>
        <v/>
      </c>
      <c r="V345" s="5" t="str">
        <f>IF(ISBLANK(Лист1!V345),"",Лист1!V345)</f>
        <v/>
      </c>
      <c r="W345" s="5" t="str">
        <f>IF(ISBLANK(Лист1!W345),"",Лист1!W345)</f>
        <v/>
      </c>
      <c r="X345" s="5" t="str">
        <f>IF(ISBLANK(Лист1!X345),"",Лист1!X345)</f>
        <v/>
      </c>
      <c r="Y345" s="5" t="str">
        <f>IF(ISERROR(VLOOKUP($X345,Лист2!$A$2:$G$498,1,FALSE)),"",VLOOKUP($X345,Лист2!$A$2:$G$498,1,FALSE))</f>
        <v/>
      </c>
      <c r="Z345" s="5" t="str">
        <f>IF(ISERROR(VLOOKUP($X345,Лист2!$A$2:$G$498,5,FALSE)),"",VLOOKUP($X345,Лист2!$A$2:$G$498,5,FALSE))</f>
        <v/>
      </c>
      <c r="AA345" s="5" t="str">
        <f>IF(ISERROR(VLOOKUP($X345,Лист2!$A$2:$G$498,6,FALSE)),"",VLOOKUP($X345,Лист2!$A$2:$G$498,6,FALSE))</f>
        <v/>
      </c>
      <c r="AB345" s="5" t="str">
        <f>IF(ISERROR(VLOOKUP($X345,Лист2!$A$2:$G$498,7,FALSE)),"",VLOOKUP($X345,Лист2!$A$2:$G$498,7,FALSE))</f>
        <v/>
      </c>
    </row>
    <row r="346" spans="1:28" x14ac:dyDescent="0.25">
      <c r="A346" s="5" t="str">
        <f>IF(ISBLANK(Лист1!A346),"",Лист1!A346)</f>
        <v/>
      </c>
      <c r="B346" s="5" t="str">
        <f>IF(ISBLANK(Лист1!B346),"",Лист1!B346)</f>
        <v/>
      </c>
      <c r="C346" s="5" t="str">
        <f>IF(ISBLANK(Лист1!C346),"",Лист1!C346)</f>
        <v/>
      </c>
      <c r="D346" s="5" t="str">
        <f>IF(ISBLANK(Лист1!D346),"",Лист1!D346)</f>
        <v/>
      </c>
      <c r="E346" s="5" t="str">
        <f>IF(ISBLANK(Лист1!E346),"",Лист1!E346)</f>
        <v/>
      </c>
      <c r="F346" s="5" t="str">
        <f>IF(ISBLANK(Лист1!F346),"",Лист1!F346)</f>
        <v/>
      </c>
      <c r="G346" s="5" t="str">
        <f>IF(ISBLANK(Лист1!G346),"",Лист1!G346)</f>
        <v/>
      </c>
      <c r="H346" s="5" t="str">
        <f>IF(ISBLANK(Лист1!H346),"",Лист1!H346)</f>
        <v/>
      </c>
      <c r="I346" s="5" t="str">
        <f>IF(ISBLANK(Лист1!I346),"",Лист1!I346)</f>
        <v/>
      </c>
      <c r="J346" s="5" t="str">
        <f>IF(ISBLANK(Лист1!J346),"",Лист1!J346)</f>
        <v/>
      </c>
      <c r="K346" s="5" t="str">
        <f>IF(ISBLANK(Лист1!K346),"",Лист1!K346)</f>
        <v/>
      </c>
      <c r="L346" s="5" t="str">
        <f>IF(ISBLANK(Лист1!L346),"",Лист1!L346)</f>
        <v/>
      </c>
      <c r="M346" s="5" t="str">
        <f>IF(ISBLANK(Лист1!M346),"",Лист1!M346)</f>
        <v/>
      </c>
      <c r="N346" s="5" t="str">
        <f>IF(ISBLANK(Лист1!N346),"",Лист1!N346)</f>
        <v/>
      </c>
      <c r="O346" s="5" t="str">
        <f>IF(ISBLANK(Лист1!O346),"",Лист1!O346)</f>
        <v/>
      </c>
      <c r="P346" s="5" t="str">
        <f>IF(ISBLANK(Лист1!P346),"",Лист1!P346)</f>
        <v/>
      </c>
      <c r="Q346" s="5" t="str">
        <f>IF(ISBLANK(Лист1!Q346),"",Лист1!Q346)</f>
        <v/>
      </c>
      <c r="R346" s="5" t="str">
        <f>IF(ISBLANK(Лист1!R346),"",Лист1!R346)</f>
        <v/>
      </c>
      <c r="S346" s="5" t="str">
        <f>IF(ISBLANK(Лист1!S346),"",Лист1!S346)</f>
        <v/>
      </c>
      <c r="T346" s="5" t="str">
        <f>IF(ISBLANK(Лист1!T346),"",Лист1!T346)</f>
        <v/>
      </c>
      <c r="U346" s="5" t="str">
        <f>IF(ISBLANK(Лист1!U346),"",Лист1!U346)</f>
        <v/>
      </c>
      <c r="V346" s="5" t="str">
        <f>IF(ISBLANK(Лист1!V346),"",Лист1!V346)</f>
        <v/>
      </c>
      <c r="W346" s="5" t="str">
        <f>IF(ISBLANK(Лист1!W346),"",Лист1!W346)</f>
        <v/>
      </c>
      <c r="X346" s="5" t="str">
        <f>IF(ISBLANK(Лист1!X346),"",Лист1!X346)</f>
        <v/>
      </c>
      <c r="Y346" s="5" t="str">
        <f>IF(ISERROR(VLOOKUP($X346,Лист2!$A$2:$G$498,1,FALSE)),"",VLOOKUP($X346,Лист2!$A$2:$G$498,1,FALSE))</f>
        <v/>
      </c>
      <c r="Z346" s="5" t="str">
        <f>IF(ISERROR(VLOOKUP($X346,Лист2!$A$2:$G$498,5,FALSE)),"",VLOOKUP($X346,Лист2!$A$2:$G$498,5,FALSE))</f>
        <v/>
      </c>
      <c r="AA346" s="5" t="str">
        <f>IF(ISERROR(VLOOKUP($X346,Лист2!$A$2:$G$498,6,FALSE)),"",VLOOKUP($X346,Лист2!$A$2:$G$498,6,FALSE))</f>
        <v/>
      </c>
      <c r="AB346" s="5" t="str">
        <f>IF(ISERROR(VLOOKUP($X346,Лист2!$A$2:$G$498,7,FALSE)),"",VLOOKUP($X346,Лист2!$A$2:$G$498,7,FALSE))</f>
        <v/>
      </c>
    </row>
    <row r="347" spans="1:28" x14ac:dyDescent="0.25">
      <c r="A347" s="5" t="str">
        <f>IF(ISBLANK(Лист1!A347),"",Лист1!A347)</f>
        <v/>
      </c>
      <c r="B347" s="5" t="str">
        <f>IF(ISBLANK(Лист1!B347),"",Лист1!B347)</f>
        <v/>
      </c>
      <c r="C347" s="5" t="str">
        <f>IF(ISBLANK(Лист1!C347),"",Лист1!C347)</f>
        <v/>
      </c>
      <c r="D347" s="5" t="str">
        <f>IF(ISBLANK(Лист1!D347),"",Лист1!D347)</f>
        <v/>
      </c>
      <c r="E347" s="5" t="str">
        <f>IF(ISBLANK(Лист1!E347),"",Лист1!E347)</f>
        <v/>
      </c>
      <c r="F347" s="5" t="str">
        <f>IF(ISBLANK(Лист1!F347),"",Лист1!F347)</f>
        <v/>
      </c>
      <c r="G347" s="5" t="str">
        <f>IF(ISBLANK(Лист1!G347),"",Лист1!G347)</f>
        <v/>
      </c>
      <c r="H347" s="5" t="str">
        <f>IF(ISBLANK(Лист1!H347),"",Лист1!H347)</f>
        <v/>
      </c>
      <c r="I347" s="5" t="str">
        <f>IF(ISBLANK(Лист1!I347),"",Лист1!I347)</f>
        <v/>
      </c>
      <c r="J347" s="5" t="str">
        <f>IF(ISBLANK(Лист1!J347),"",Лист1!J347)</f>
        <v/>
      </c>
      <c r="K347" s="5" t="str">
        <f>IF(ISBLANK(Лист1!K347),"",Лист1!K347)</f>
        <v/>
      </c>
      <c r="L347" s="5" t="str">
        <f>IF(ISBLANK(Лист1!L347),"",Лист1!L347)</f>
        <v/>
      </c>
      <c r="M347" s="5" t="str">
        <f>IF(ISBLANK(Лист1!M347),"",Лист1!M347)</f>
        <v/>
      </c>
      <c r="N347" s="5" t="str">
        <f>IF(ISBLANK(Лист1!N347),"",Лист1!N347)</f>
        <v/>
      </c>
      <c r="O347" s="5" t="str">
        <f>IF(ISBLANK(Лист1!O347),"",Лист1!O347)</f>
        <v/>
      </c>
      <c r="P347" s="5" t="str">
        <f>IF(ISBLANK(Лист1!P347),"",Лист1!P347)</f>
        <v/>
      </c>
      <c r="Q347" s="5" t="str">
        <f>IF(ISBLANK(Лист1!Q347),"",Лист1!Q347)</f>
        <v/>
      </c>
      <c r="R347" s="5" t="str">
        <f>IF(ISBLANK(Лист1!R347),"",Лист1!R347)</f>
        <v/>
      </c>
      <c r="S347" s="5" t="str">
        <f>IF(ISBLANK(Лист1!S347),"",Лист1!S347)</f>
        <v/>
      </c>
      <c r="T347" s="5" t="str">
        <f>IF(ISBLANK(Лист1!T347),"",Лист1!T347)</f>
        <v/>
      </c>
      <c r="U347" s="5" t="str">
        <f>IF(ISBLANK(Лист1!U347),"",Лист1!U347)</f>
        <v/>
      </c>
      <c r="V347" s="5" t="str">
        <f>IF(ISBLANK(Лист1!V347),"",Лист1!V347)</f>
        <v/>
      </c>
      <c r="W347" s="5" t="str">
        <f>IF(ISBLANK(Лист1!W347),"",Лист1!W347)</f>
        <v/>
      </c>
      <c r="X347" s="5" t="str">
        <f>IF(ISBLANK(Лист1!X347),"",Лист1!X347)</f>
        <v/>
      </c>
      <c r="Y347" s="5" t="str">
        <f>IF(ISERROR(VLOOKUP($X347,Лист2!$A$2:$G$498,1,FALSE)),"",VLOOKUP($X347,Лист2!$A$2:$G$498,1,FALSE))</f>
        <v/>
      </c>
      <c r="Z347" s="5" t="str">
        <f>IF(ISERROR(VLOOKUP($X347,Лист2!$A$2:$G$498,5,FALSE)),"",VLOOKUP($X347,Лист2!$A$2:$G$498,5,FALSE))</f>
        <v/>
      </c>
      <c r="AA347" s="5" t="str">
        <f>IF(ISERROR(VLOOKUP($X347,Лист2!$A$2:$G$498,6,FALSE)),"",VLOOKUP($X347,Лист2!$A$2:$G$498,6,FALSE))</f>
        <v/>
      </c>
      <c r="AB347" s="5" t="str">
        <f>IF(ISERROR(VLOOKUP($X347,Лист2!$A$2:$G$498,7,FALSE)),"",VLOOKUP($X347,Лист2!$A$2:$G$498,7,FALSE))</f>
        <v/>
      </c>
    </row>
    <row r="348" spans="1:28" x14ac:dyDescent="0.25">
      <c r="A348" s="5" t="str">
        <f>IF(ISBLANK(Лист1!A348),"",Лист1!A348)</f>
        <v/>
      </c>
      <c r="B348" s="5" t="str">
        <f>IF(ISBLANK(Лист1!B348),"",Лист1!B348)</f>
        <v/>
      </c>
      <c r="C348" s="5" t="str">
        <f>IF(ISBLANK(Лист1!C348),"",Лист1!C348)</f>
        <v/>
      </c>
      <c r="D348" s="5" t="str">
        <f>IF(ISBLANK(Лист1!D348),"",Лист1!D348)</f>
        <v/>
      </c>
      <c r="E348" s="5" t="str">
        <f>IF(ISBLANK(Лист1!E348),"",Лист1!E348)</f>
        <v/>
      </c>
      <c r="F348" s="5" t="str">
        <f>IF(ISBLANK(Лист1!F348),"",Лист1!F348)</f>
        <v/>
      </c>
      <c r="G348" s="5" t="str">
        <f>IF(ISBLANK(Лист1!G348),"",Лист1!G348)</f>
        <v/>
      </c>
      <c r="H348" s="5" t="str">
        <f>IF(ISBLANK(Лист1!H348),"",Лист1!H348)</f>
        <v/>
      </c>
      <c r="I348" s="5" t="str">
        <f>IF(ISBLANK(Лист1!I348),"",Лист1!I348)</f>
        <v/>
      </c>
      <c r="J348" s="5" t="str">
        <f>IF(ISBLANK(Лист1!J348),"",Лист1!J348)</f>
        <v/>
      </c>
      <c r="K348" s="5" t="str">
        <f>IF(ISBLANK(Лист1!K348),"",Лист1!K348)</f>
        <v/>
      </c>
      <c r="L348" s="5" t="str">
        <f>IF(ISBLANK(Лист1!L348),"",Лист1!L348)</f>
        <v/>
      </c>
      <c r="M348" s="5" t="str">
        <f>IF(ISBLANK(Лист1!M348),"",Лист1!M348)</f>
        <v/>
      </c>
      <c r="N348" s="5" t="str">
        <f>IF(ISBLANK(Лист1!N348),"",Лист1!N348)</f>
        <v/>
      </c>
      <c r="O348" s="5" t="str">
        <f>IF(ISBLANK(Лист1!O348),"",Лист1!O348)</f>
        <v/>
      </c>
      <c r="P348" s="5" t="str">
        <f>IF(ISBLANK(Лист1!P348),"",Лист1!P348)</f>
        <v/>
      </c>
      <c r="Q348" s="5" t="str">
        <f>IF(ISBLANK(Лист1!Q348),"",Лист1!Q348)</f>
        <v/>
      </c>
      <c r="R348" s="5" t="str">
        <f>IF(ISBLANK(Лист1!R348),"",Лист1!R348)</f>
        <v/>
      </c>
      <c r="S348" s="5" t="str">
        <f>IF(ISBLANK(Лист1!S348),"",Лист1!S348)</f>
        <v/>
      </c>
      <c r="T348" s="5" t="str">
        <f>IF(ISBLANK(Лист1!T348),"",Лист1!T348)</f>
        <v/>
      </c>
      <c r="U348" s="5" t="str">
        <f>IF(ISBLANK(Лист1!U348),"",Лист1!U348)</f>
        <v/>
      </c>
      <c r="V348" s="5" t="str">
        <f>IF(ISBLANK(Лист1!V348),"",Лист1!V348)</f>
        <v/>
      </c>
      <c r="W348" s="5" t="str">
        <f>IF(ISBLANK(Лист1!W348),"",Лист1!W348)</f>
        <v/>
      </c>
      <c r="X348" s="5" t="str">
        <f>IF(ISBLANK(Лист1!X348),"",Лист1!X348)</f>
        <v/>
      </c>
      <c r="Y348" s="5" t="str">
        <f>IF(ISERROR(VLOOKUP($X348,Лист2!$A$2:$G$498,1,FALSE)),"",VLOOKUP($X348,Лист2!$A$2:$G$498,1,FALSE))</f>
        <v/>
      </c>
      <c r="Z348" s="5" t="str">
        <f>IF(ISERROR(VLOOKUP($X348,Лист2!$A$2:$G$498,5,FALSE)),"",VLOOKUP($X348,Лист2!$A$2:$G$498,5,FALSE))</f>
        <v/>
      </c>
      <c r="AA348" s="5" t="str">
        <f>IF(ISERROR(VLOOKUP($X348,Лист2!$A$2:$G$498,6,FALSE)),"",VLOOKUP($X348,Лист2!$A$2:$G$498,6,FALSE))</f>
        <v/>
      </c>
      <c r="AB348" s="5" t="str">
        <f>IF(ISERROR(VLOOKUP($X348,Лист2!$A$2:$G$498,7,FALSE)),"",VLOOKUP($X348,Лист2!$A$2:$G$498,7,FALSE))</f>
        <v/>
      </c>
    </row>
    <row r="349" spans="1:28" x14ac:dyDescent="0.25">
      <c r="A349" s="5" t="str">
        <f>IF(ISBLANK(Лист1!A349),"",Лист1!A349)</f>
        <v/>
      </c>
      <c r="B349" s="5" t="str">
        <f>IF(ISBLANK(Лист1!B349),"",Лист1!B349)</f>
        <v/>
      </c>
      <c r="C349" s="5" t="str">
        <f>IF(ISBLANK(Лист1!C349),"",Лист1!C349)</f>
        <v/>
      </c>
      <c r="D349" s="5" t="str">
        <f>IF(ISBLANK(Лист1!D349),"",Лист1!D349)</f>
        <v/>
      </c>
      <c r="E349" s="5" t="str">
        <f>IF(ISBLANK(Лист1!E349),"",Лист1!E349)</f>
        <v/>
      </c>
      <c r="F349" s="5" t="str">
        <f>IF(ISBLANK(Лист1!F349),"",Лист1!F349)</f>
        <v/>
      </c>
      <c r="G349" s="5" t="str">
        <f>IF(ISBLANK(Лист1!G349),"",Лист1!G349)</f>
        <v/>
      </c>
      <c r="H349" s="5" t="str">
        <f>IF(ISBLANK(Лист1!H349),"",Лист1!H349)</f>
        <v/>
      </c>
      <c r="I349" s="5" t="str">
        <f>IF(ISBLANK(Лист1!I349),"",Лист1!I349)</f>
        <v/>
      </c>
      <c r="J349" s="5" t="str">
        <f>IF(ISBLANK(Лист1!J349),"",Лист1!J349)</f>
        <v/>
      </c>
      <c r="K349" s="5" t="str">
        <f>IF(ISBLANK(Лист1!K349),"",Лист1!K349)</f>
        <v/>
      </c>
      <c r="L349" s="5" t="str">
        <f>IF(ISBLANK(Лист1!L349),"",Лист1!L349)</f>
        <v/>
      </c>
      <c r="M349" s="5" t="str">
        <f>IF(ISBLANK(Лист1!M349),"",Лист1!M349)</f>
        <v/>
      </c>
      <c r="N349" s="5" t="str">
        <f>IF(ISBLANK(Лист1!N349),"",Лист1!N349)</f>
        <v/>
      </c>
      <c r="O349" s="5" t="str">
        <f>IF(ISBLANK(Лист1!O349),"",Лист1!O349)</f>
        <v/>
      </c>
      <c r="P349" s="5" t="str">
        <f>IF(ISBLANK(Лист1!P349),"",Лист1!P349)</f>
        <v/>
      </c>
      <c r="Q349" s="5" t="str">
        <f>IF(ISBLANK(Лист1!Q349),"",Лист1!Q349)</f>
        <v/>
      </c>
      <c r="R349" s="5" t="str">
        <f>IF(ISBLANK(Лист1!R349),"",Лист1!R349)</f>
        <v/>
      </c>
      <c r="S349" s="5" t="str">
        <f>IF(ISBLANK(Лист1!S349),"",Лист1!S349)</f>
        <v/>
      </c>
      <c r="T349" s="5" t="str">
        <f>IF(ISBLANK(Лист1!T349),"",Лист1!T349)</f>
        <v/>
      </c>
      <c r="U349" s="5" t="str">
        <f>IF(ISBLANK(Лист1!U349),"",Лист1!U349)</f>
        <v/>
      </c>
      <c r="V349" s="5" t="str">
        <f>IF(ISBLANK(Лист1!V349),"",Лист1!V349)</f>
        <v/>
      </c>
      <c r="W349" s="5" t="str">
        <f>IF(ISBLANK(Лист1!W349),"",Лист1!W349)</f>
        <v/>
      </c>
      <c r="X349" s="5" t="str">
        <f>IF(ISBLANK(Лист1!X349),"",Лист1!X349)</f>
        <v/>
      </c>
      <c r="Y349" s="5" t="str">
        <f>IF(ISERROR(VLOOKUP($X349,Лист2!$A$2:$G$498,1,FALSE)),"",VLOOKUP($X349,Лист2!$A$2:$G$498,1,FALSE))</f>
        <v/>
      </c>
      <c r="Z349" s="5" t="str">
        <f>IF(ISERROR(VLOOKUP($X349,Лист2!$A$2:$G$498,5,FALSE)),"",VLOOKUP($X349,Лист2!$A$2:$G$498,5,FALSE))</f>
        <v/>
      </c>
      <c r="AA349" s="5" t="str">
        <f>IF(ISERROR(VLOOKUP($X349,Лист2!$A$2:$G$498,6,FALSE)),"",VLOOKUP($X349,Лист2!$A$2:$G$498,6,FALSE))</f>
        <v/>
      </c>
      <c r="AB349" s="5" t="str">
        <f>IF(ISERROR(VLOOKUP($X349,Лист2!$A$2:$G$498,7,FALSE)),"",VLOOKUP($X349,Лист2!$A$2:$G$498,7,FALSE))</f>
        <v/>
      </c>
    </row>
    <row r="350" spans="1:28" x14ac:dyDescent="0.25">
      <c r="A350" s="5" t="str">
        <f>IF(ISBLANK(Лист1!A350),"",Лист1!A350)</f>
        <v/>
      </c>
      <c r="B350" s="5" t="str">
        <f>IF(ISBLANK(Лист1!B350),"",Лист1!B350)</f>
        <v/>
      </c>
      <c r="C350" s="5" t="str">
        <f>IF(ISBLANK(Лист1!C350),"",Лист1!C350)</f>
        <v/>
      </c>
      <c r="D350" s="5" t="str">
        <f>IF(ISBLANK(Лист1!D350),"",Лист1!D350)</f>
        <v/>
      </c>
      <c r="E350" s="5" t="str">
        <f>IF(ISBLANK(Лист1!E350),"",Лист1!E350)</f>
        <v/>
      </c>
      <c r="F350" s="5" t="str">
        <f>IF(ISBLANK(Лист1!F350),"",Лист1!F350)</f>
        <v/>
      </c>
      <c r="G350" s="5" t="str">
        <f>IF(ISBLANK(Лист1!G350),"",Лист1!G350)</f>
        <v/>
      </c>
      <c r="H350" s="5" t="str">
        <f>IF(ISBLANK(Лист1!H350),"",Лист1!H350)</f>
        <v/>
      </c>
      <c r="I350" s="5" t="str">
        <f>IF(ISBLANK(Лист1!I350),"",Лист1!I350)</f>
        <v/>
      </c>
      <c r="J350" s="5" t="str">
        <f>IF(ISBLANK(Лист1!J350),"",Лист1!J350)</f>
        <v/>
      </c>
      <c r="K350" s="5" t="str">
        <f>IF(ISBLANK(Лист1!K350),"",Лист1!K350)</f>
        <v/>
      </c>
      <c r="L350" s="5" t="str">
        <f>IF(ISBLANK(Лист1!L350),"",Лист1!L350)</f>
        <v/>
      </c>
      <c r="M350" s="5" t="str">
        <f>IF(ISBLANK(Лист1!M350),"",Лист1!M350)</f>
        <v/>
      </c>
      <c r="N350" s="5" t="str">
        <f>IF(ISBLANK(Лист1!N350),"",Лист1!N350)</f>
        <v/>
      </c>
      <c r="O350" s="5" t="str">
        <f>IF(ISBLANK(Лист1!O350),"",Лист1!O350)</f>
        <v/>
      </c>
      <c r="P350" s="5" t="str">
        <f>IF(ISBLANK(Лист1!P350),"",Лист1!P350)</f>
        <v/>
      </c>
      <c r="Q350" s="5" t="str">
        <f>IF(ISBLANK(Лист1!Q350),"",Лист1!Q350)</f>
        <v/>
      </c>
      <c r="R350" s="5" t="str">
        <f>IF(ISBLANK(Лист1!R350),"",Лист1!R350)</f>
        <v/>
      </c>
      <c r="S350" s="5" t="str">
        <f>IF(ISBLANK(Лист1!S350),"",Лист1!S350)</f>
        <v/>
      </c>
      <c r="T350" s="5" t="str">
        <f>IF(ISBLANK(Лист1!T350),"",Лист1!T350)</f>
        <v/>
      </c>
      <c r="U350" s="5" t="str">
        <f>IF(ISBLANK(Лист1!U350),"",Лист1!U350)</f>
        <v/>
      </c>
      <c r="V350" s="5" t="str">
        <f>IF(ISBLANK(Лист1!V350),"",Лист1!V350)</f>
        <v/>
      </c>
      <c r="W350" s="5" t="str">
        <f>IF(ISBLANK(Лист1!W350),"",Лист1!W350)</f>
        <v/>
      </c>
      <c r="X350" s="5" t="str">
        <f>IF(ISBLANK(Лист1!X350),"",Лист1!X350)</f>
        <v/>
      </c>
      <c r="Y350" s="5" t="str">
        <f>IF(ISERROR(VLOOKUP($X350,Лист2!$A$2:$G$498,1,FALSE)),"",VLOOKUP($X350,Лист2!$A$2:$G$498,1,FALSE))</f>
        <v/>
      </c>
      <c r="Z350" s="5" t="str">
        <f>IF(ISERROR(VLOOKUP($X350,Лист2!$A$2:$G$498,5,FALSE)),"",VLOOKUP($X350,Лист2!$A$2:$G$498,5,FALSE))</f>
        <v/>
      </c>
      <c r="AA350" s="5" t="str">
        <f>IF(ISERROR(VLOOKUP($X350,Лист2!$A$2:$G$498,6,FALSE)),"",VLOOKUP($X350,Лист2!$A$2:$G$498,6,FALSE))</f>
        <v/>
      </c>
      <c r="AB350" s="5" t="str">
        <f>IF(ISERROR(VLOOKUP($X350,Лист2!$A$2:$G$498,7,FALSE)),"",VLOOKUP($X350,Лист2!$A$2:$G$498,7,FALSE))</f>
        <v/>
      </c>
    </row>
    <row r="351" spans="1:28" x14ac:dyDescent="0.25">
      <c r="A351" s="5" t="str">
        <f>IF(ISBLANK(Лист1!A351),"",Лист1!A351)</f>
        <v/>
      </c>
      <c r="B351" s="5" t="str">
        <f>IF(ISBLANK(Лист1!B351),"",Лист1!B351)</f>
        <v/>
      </c>
      <c r="C351" s="5" t="str">
        <f>IF(ISBLANK(Лист1!C351),"",Лист1!C351)</f>
        <v/>
      </c>
      <c r="D351" s="5" t="str">
        <f>IF(ISBLANK(Лист1!D351),"",Лист1!D351)</f>
        <v/>
      </c>
      <c r="E351" s="5" t="str">
        <f>IF(ISBLANK(Лист1!E351),"",Лист1!E351)</f>
        <v/>
      </c>
      <c r="F351" s="5" t="str">
        <f>IF(ISBLANK(Лист1!F351),"",Лист1!F351)</f>
        <v/>
      </c>
      <c r="G351" s="5" t="str">
        <f>IF(ISBLANK(Лист1!G351),"",Лист1!G351)</f>
        <v/>
      </c>
      <c r="H351" s="5" t="str">
        <f>IF(ISBLANK(Лист1!H351),"",Лист1!H351)</f>
        <v/>
      </c>
      <c r="I351" s="5" t="str">
        <f>IF(ISBLANK(Лист1!I351),"",Лист1!I351)</f>
        <v/>
      </c>
      <c r="J351" s="5" t="str">
        <f>IF(ISBLANK(Лист1!J351),"",Лист1!J351)</f>
        <v/>
      </c>
      <c r="K351" s="5" t="str">
        <f>IF(ISBLANK(Лист1!K351),"",Лист1!K351)</f>
        <v/>
      </c>
      <c r="L351" s="5" t="str">
        <f>IF(ISBLANK(Лист1!L351),"",Лист1!L351)</f>
        <v/>
      </c>
      <c r="M351" s="5" t="str">
        <f>IF(ISBLANK(Лист1!M351),"",Лист1!M351)</f>
        <v/>
      </c>
      <c r="N351" s="5" t="str">
        <f>IF(ISBLANK(Лист1!N351),"",Лист1!N351)</f>
        <v/>
      </c>
      <c r="O351" s="5" t="str">
        <f>IF(ISBLANK(Лист1!O351),"",Лист1!O351)</f>
        <v/>
      </c>
      <c r="P351" s="5" t="str">
        <f>IF(ISBLANK(Лист1!P351),"",Лист1!P351)</f>
        <v/>
      </c>
      <c r="Q351" s="5" t="str">
        <f>IF(ISBLANK(Лист1!Q351),"",Лист1!Q351)</f>
        <v/>
      </c>
      <c r="R351" s="5" t="str">
        <f>IF(ISBLANK(Лист1!R351),"",Лист1!R351)</f>
        <v/>
      </c>
      <c r="S351" s="5" t="str">
        <f>IF(ISBLANK(Лист1!S351),"",Лист1!S351)</f>
        <v/>
      </c>
      <c r="T351" s="5" t="str">
        <f>IF(ISBLANK(Лист1!T351),"",Лист1!T351)</f>
        <v/>
      </c>
      <c r="U351" s="5" t="str">
        <f>IF(ISBLANK(Лист1!U351),"",Лист1!U351)</f>
        <v/>
      </c>
      <c r="V351" s="5" t="str">
        <f>IF(ISBLANK(Лист1!V351),"",Лист1!V351)</f>
        <v/>
      </c>
      <c r="W351" s="5" t="str">
        <f>IF(ISBLANK(Лист1!W351),"",Лист1!W351)</f>
        <v/>
      </c>
      <c r="X351" s="5" t="str">
        <f>IF(ISBLANK(Лист1!X351),"",Лист1!X351)</f>
        <v/>
      </c>
      <c r="Y351" s="5" t="str">
        <f>IF(ISERROR(VLOOKUP($X351,Лист2!$A$2:$G$498,1,FALSE)),"",VLOOKUP($X351,Лист2!$A$2:$G$498,1,FALSE))</f>
        <v/>
      </c>
      <c r="Z351" s="5" t="str">
        <f>IF(ISERROR(VLOOKUP($X351,Лист2!$A$2:$G$498,5,FALSE)),"",VLOOKUP($X351,Лист2!$A$2:$G$498,5,FALSE))</f>
        <v/>
      </c>
      <c r="AA351" s="5" t="str">
        <f>IF(ISERROR(VLOOKUP($X351,Лист2!$A$2:$G$498,6,FALSE)),"",VLOOKUP($X351,Лист2!$A$2:$G$498,6,FALSE))</f>
        <v/>
      </c>
      <c r="AB351" s="5" t="str">
        <f>IF(ISERROR(VLOOKUP($X351,Лист2!$A$2:$G$498,7,FALSE)),"",VLOOKUP($X351,Лист2!$A$2:$G$498,7,FALSE))</f>
        <v/>
      </c>
    </row>
    <row r="352" spans="1:28" x14ac:dyDescent="0.25">
      <c r="A352" s="5" t="str">
        <f>IF(ISBLANK(Лист1!A352),"",Лист1!A352)</f>
        <v/>
      </c>
      <c r="B352" s="5" t="str">
        <f>IF(ISBLANK(Лист1!B352),"",Лист1!B352)</f>
        <v/>
      </c>
      <c r="C352" s="5" t="str">
        <f>IF(ISBLANK(Лист1!C352),"",Лист1!C352)</f>
        <v/>
      </c>
      <c r="D352" s="5" t="str">
        <f>IF(ISBLANK(Лист1!D352),"",Лист1!D352)</f>
        <v/>
      </c>
      <c r="E352" s="5" t="str">
        <f>IF(ISBLANK(Лист1!E352),"",Лист1!E352)</f>
        <v/>
      </c>
      <c r="F352" s="5" t="str">
        <f>IF(ISBLANK(Лист1!F352),"",Лист1!F352)</f>
        <v/>
      </c>
      <c r="G352" s="5" t="str">
        <f>IF(ISBLANK(Лист1!G352),"",Лист1!G352)</f>
        <v/>
      </c>
      <c r="H352" s="5" t="str">
        <f>IF(ISBLANK(Лист1!H352),"",Лист1!H352)</f>
        <v/>
      </c>
      <c r="I352" s="5" t="str">
        <f>IF(ISBLANK(Лист1!I352),"",Лист1!I352)</f>
        <v/>
      </c>
      <c r="J352" s="5" t="str">
        <f>IF(ISBLANK(Лист1!J352),"",Лист1!J352)</f>
        <v/>
      </c>
      <c r="K352" s="5" t="str">
        <f>IF(ISBLANK(Лист1!K352),"",Лист1!K352)</f>
        <v/>
      </c>
      <c r="L352" s="5" t="str">
        <f>IF(ISBLANK(Лист1!L352),"",Лист1!L352)</f>
        <v/>
      </c>
      <c r="M352" s="5" t="str">
        <f>IF(ISBLANK(Лист1!M352),"",Лист1!M352)</f>
        <v/>
      </c>
      <c r="N352" s="5" t="str">
        <f>IF(ISBLANK(Лист1!N352),"",Лист1!N352)</f>
        <v/>
      </c>
      <c r="O352" s="5" t="str">
        <f>IF(ISBLANK(Лист1!O352),"",Лист1!O352)</f>
        <v/>
      </c>
      <c r="P352" s="5" t="str">
        <f>IF(ISBLANK(Лист1!P352),"",Лист1!P352)</f>
        <v/>
      </c>
      <c r="Q352" s="5" t="str">
        <f>IF(ISBLANK(Лист1!Q352),"",Лист1!Q352)</f>
        <v/>
      </c>
      <c r="R352" s="5" t="str">
        <f>IF(ISBLANK(Лист1!R352),"",Лист1!R352)</f>
        <v/>
      </c>
      <c r="S352" s="5" t="str">
        <f>IF(ISBLANK(Лист1!S352),"",Лист1!S352)</f>
        <v/>
      </c>
      <c r="T352" s="5" t="str">
        <f>IF(ISBLANK(Лист1!T352),"",Лист1!T352)</f>
        <v/>
      </c>
      <c r="U352" s="5" t="str">
        <f>IF(ISBLANK(Лист1!U352),"",Лист1!U352)</f>
        <v/>
      </c>
      <c r="V352" s="5" t="str">
        <f>IF(ISBLANK(Лист1!V352),"",Лист1!V352)</f>
        <v/>
      </c>
      <c r="W352" s="5" t="str">
        <f>IF(ISBLANK(Лист1!W352),"",Лист1!W352)</f>
        <v/>
      </c>
      <c r="X352" s="5" t="str">
        <f>IF(ISBLANK(Лист1!X352),"",Лист1!X352)</f>
        <v/>
      </c>
      <c r="Y352" s="5" t="str">
        <f>IF(ISERROR(VLOOKUP($X352,Лист2!$A$2:$G$498,1,FALSE)),"",VLOOKUP($X352,Лист2!$A$2:$G$498,1,FALSE))</f>
        <v/>
      </c>
      <c r="Z352" s="5" t="str">
        <f>IF(ISERROR(VLOOKUP($X352,Лист2!$A$2:$G$498,5,FALSE)),"",VLOOKUP($X352,Лист2!$A$2:$G$498,5,FALSE))</f>
        <v/>
      </c>
      <c r="AA352" s="5" t="str">
        <f>IF(ISERROR(VLOOKUP($X352,Лист2!$A$2:$G$498,6,FALSE)),"",VLOOKUP($X352,Лист2!$A$2:$G$498,6,FALSE))</f>
        <v/>
      </c>
      <c r="AB352" s="5" t="str">
        <f>IF(ISERROR(VLOOKUP($X352,Лист2!$A$2:$G$498,7,FALSE)),"",VLOOKUP($X352,Лист2!$A$2:$G$498,7,FALSE))</f>
        <v/>
      </c>
    </row>
    <row r="353" spans="1:28" x14ac:dyDescent="0.25">
      <c r="A353" s="5" t="str">
        <f>IF(ISBLANK(Лист1!A353),"",Лист1!A353)</f>
        <v/>
      </c>
      <c r="B353" s="5" t="str">
        <f>IF(ISBLANK(Лист1!B353),"",Лист1!B353)</f>
        <v/>
      </c>
      <c r="C353" s="5" t="str">
        <f>IF(ISBLANK(Лист1!C353),"",Лист1!C353)</f>
        <v/>
      </c>
      <c r="D353" s="5" t="str">
        <f>IF(ISBLANK(Лист1!D353),"",Лист1!D353)</f>
        <v/>
      </c>
      <c r="E353" s="5" t="str">
        <f>IF(ISBLANK(Лист1!E353),"",Лист1!E353)</f>
        <v/>
      </c>
      <c r="F353" s="5" t="str">
        <f>IF(ISBLANK(Лист1!F353),"",Лист1!F353)</f>
        <v/>
      </c>
      <c r="G353" s="5" t="str">
        <f>IF(ISBLANK(Лист1!G353),"",Лист1!G353)</f>
        <v/>
      </c>
      <c r="H353" s="5" t="str">
        <f>IF(ISBLANK(Лист1!H353),"",Лист1!H353)</f>
        <v/>
      </c>
      <c r="I353" s="5" t="str">
        <f>IF(ISBLANK(Лист1!I353),"",Лист1!I353)</f>
        <v/>
      </c>
      <c r="J353" s="5" t="str">
        <f>IF(ISBLANK(Лист1!J353),"",Лист1!J353)</f>
        <v/>
      </c>
      <c r="K353" s="5" t="str">
        <f>IF(ISBLANK(Лист1!K353),"",Лист1!K353)</f>
        <v/>
      </c>
      <c r="L353" s="5" t="str">
        <f>IF(ISBLANK(Лист1!L353),"",Лист1!L353)</f>
        <v/>
      </c>
      <c r="M353" s="5" t="str">
        <f>IF(ISBLANK(Лист1!M353),"",Лист1!M353)</f>
        <v/>
      </c>
      <c r="N353" s="5" t="str">
        <f>IF(ISBLANK(Лист1!N353),"",Лист1!N353)</f>
        <v/>
      </c>
      <c r="O353" s="5" t="str">
        <f>IF(ISBLANK(Лист1!O353),"",Лист1!O353)</f>
        <v/>
      </c>
      <c r="P353" s="5" t="str">
        <f>IF(ISBLANK(Лист1!P353),"",Лист1!P353)</f>
        <v/>
      </c>
      <c r="Q353" s="5" t="str">
        <f>IF(ISBLANK(Лист1!Q353),"",Лист1!Q353)</f>
        <v/>
      </c>
      <c r="R353" s="5" t="str">
        <f>IF(ISBLANK(Лист1!R353),"",Лист1!R353)</f>
        <v/>
      </c>
      <c r="S353" s="5" t="str">
        <f>IF(ISBLANK(Лист1!S353),"",Лист1!S353)</f>
        <v/>
      </c>
      <c r="T353" s="5" t="str">
        <f>IF(ISBLANK(Лист1!T353),"",Лист1!T353)</f>
        <v/>
      </c>
      <c r="U353" s="5" t="str">
        <f>IF(ISBLANK(Лист1!U353),"",Лист1!U353)</f>
        <v/>
      </c>
      <c r="V353" s="5" t="str">
        <f>IF(ISBLANK(Лист1!V353),"",Лист1!V353)</f>
        <v/>
      </c>
      <c r="W353" s="5" t="str">
        <f>IF(ISBLANK(Лист1!W353),"",Лист1!W353)</f>
        <v/>
      </c>
      <c r="X353" s="5" t="str">
        <f>IF(ISBLANK(Лист1!X353),"",Лист1!X353)</f>
        <v/>
      </c>
      <c r="Y353" s="5" t="str">
        <f>IF(ISERROR(VLOOKUP($X353,Лист2!$A$2:$G$498,1,FALSE)),"",VLOOKUP($X353,Лист2!$A$2:$G$498,1,FALSE))</f>
        <v/>
      </c>
      <c r="Z353" s="5" t="str">
        <f>IF(ISERROR(VLOOKUP($X353,Лист2!$A$2:$G$498,5,FALSE)),"",VLOOKUP($X353,Лист2!$A$2:$G$498,5,FALSE))</f>
        <v/>
      </c>
      <c r="AA353" s="5" t="str">
        <f>IF(ISERROR(VLOOKUP($X353,Лист2!$A$2:$G$498,6,FALSE)),"",VLOOKUP($X353,Лист2!$A$2:$G$498,6,FALSE))</f>
        <v/>
      </c>
      <c r="AB353" s="5" t="str">
        <f>IF(ISERROR(VLOOKUP($X353,Лист2!$A$2:$G$498,7,FALSE)),"",VLOOKUP($X353,Лист2!$A$2:$G$498,7,FALSE))</f>
        <v/>
      </c>
    </row>
    <row r="354" spans="1:28" x14ac:dyDescent="0.25">
      <c r="A354" s="5" t="str">
        <f>IF(ISBLANK(Лист1!A354),"",Лист1!A354)</f>
        <v/>
      </c>
      <c r="B354" s="5" t="str">
        <f>IF(ISBLANK(Лист1!B354),"",Лист1!B354)</f>
        <v/>
      </c>
      <c r="C354" s="5" t="str">
        <f>IF(ISBLANK(Лист1!C354),"",Лист1!C354)</f>
        <v/>
      </c>
      <c r="D354" s="5" t="str">
        <f>IF(ISBLANK(Лист1!D354),"",Лист1!D354)</f>
        <v/>
      </c>
      <c r="E354" s="5" t="str">
        <f>IF(ISBLANK(Лист1!E354),"",Лист1!E354)</f>
        <v/>
      </c>
      <c r="F354" s="5" t="str">
        <f>IF(ISBLANK(Лист1!F354),"",Лист1!F354)</f>
        <v/>
      </c>
      <c r="G354" s="5" t="str">
        <f>IF(ISBLANK(Лист1!G354),"",Лист1!G354)</f>
        <v/>
      </c>
      <c r="H354" s="5" t="str">
        <f>IF(ISBLANK(Лист1!H354),"",Лист1!H354)</f>
        <v/>
      </c>
      <c r="I354" s="5" t="str">
        <f>IF(ISBLANK(Лист1!I354),"",Лист1!I354)</f>
        <v/>
      </c>
      <c r="J354" s="5" t="str">
        <f>IF(ISBLANK(Лист1!J354),"",Лист1!J354)</f>
        <v/>
      </c>
      <c r="K354" s="5" t="str">
        <f>IF(ISBLANK(Лист1!K354),"",Лист1!K354)</f>
        <v/>
      </c>
      <c r="L354" s="5" t="str">
        <f>IF(ISBLANK(Лист1!L354),"",Лист1!L354)</f>
        <v/>
      </c>
      <c r="M354" s="5" t="str">
        <f>IF(ISBLANK(Лист1!M354),"",Лист1!M354)</f>
        <v/>
      </c>
      <c r="N354" s="5" t="str">
        <f>IF(ISBLANK(Лист1!N354),"",Лист1!N354)</f>
        <v/>
      </c>
      <c r="O354" s="5" t="str">
        <f>IF(ISBLANK(Лист1!O354),"",Лист1!O354)</f>
        <v/>
      </c>
      <c r="P354" s="5" t="str">
        <f>IF(ISBLANK(Лист1!P354),"",Лист1!P354)</f>
        <v/>
      </c>
      <c r="Q354" s="5" t="str">
        <f>IF(ISBLANK(Лист1!Q354),"",Лист1!Q354)</f>
        <v/>
      </c>
      <c r="R354" s="5" t="str">
        <f>IF(ISBLANK(Лист1!R354),"",Лист1!R354)</f>
        <v/>
      </c>
      <c r="S354" s="5" t="str">
        <f>IF(ISBLANK(Лист1!S354),"",Лист1!S354)</f>
        <v/>
      </c>
      <c r="T354" s="5" t="str">
        <f>IF(ISBLANK(Лист1!T354),"",Лист1!T354)</f>
        <v/>
      </c>
      <c r="U354" s="5" t="str">
        <f>IF(ISBLANK(Лист1!U354),"",Лист1!U354)</f>
        <v/>
      </c>
      <c r="V354" s="5" t="str">
        <f>IF(ISBLANK(Лист1!V354),"",Лист1!V354)</f>
        <v/>
      </c>
      <c r="W354" s="5" t="str">
        <f>IF(ISBLANK(Лист1!W354),"",Лист1!W354)</f>
        <v/>
      </c>
      <c r="X354" s="5" t="str">
        <f>IF(ISBLANK(Лист1!X354),"",Лист1!X354)</f>
        <v/>
      </c>
      <c r="Y354" s="5" t="str">
        <f>IF(ISERROR(VLOOKUP($X354,Лист2!$A$2:$G$498,1,FALSE)),"",VLOOKUP($X354,Лист2!$A$2:$G$498,1,FALSE))</f>
        <v/>
      </c>
      <c r="Z354" s="5" t="str">
        <f>IF(ISERROR(VLOOKUP($X354,Лист2!$A$2:$G$498,5,FALSE)),"",VLOOKUP($X354,Лист2!$A$2:$G$498,5,FALSE))</f>
        <v/>
      </c>
      <c r="AA354" s="5" t="str">
        <f>IF(ISERROR(VLOOKUP($X354,Лист2!$A$2:$G$498,6,FALSE)),"",VLOOKUP($X354,Лист2!$A$2:$G$498,6,FALSE))</f>
        <v/>
      </c>
      <c r="AB354" s="5" t="str">
        <f>IF(ISERROR(VLOOKUP($X354,Лист2!$A$2:$G$498,7,FALSE)),"",VLOOKUP($X354,Лист2!$A$2:$G$498,7,FALSE))</f>
        <v/>
      </c>
    </row>
    <row r="355" spans="1:28" x14ac:dyDescent="0.25">
      <c r="A355" s="5" t="str">
        <f>IF(ISBLANK(Лист1!A355),"",Лист1!A355)</f>
        <v/>
      </c>
      <c r="B355" s="5" t="str">
        <f>IF(ISBLANK(Лист1!B355),"",Лист1!B355)</f>
        <v/>
      </c>
      <c r="C355" s="5" t="str">
        <f>IF(ISBLANK(Лист1!C355),"",Лист1!C355)</f>
        <v/>
      </c>
      <c r="D355" s="5" t="str">
        <f>IF(ISBLANK(Лист1!D355),"",Лист1!D355)</f>
        <v/>
      </c>
      <c r="E355" s="5" t="str">
        <f>IF(ISBLANK(Лист1!E355),"",Лист1!E355)</f>
        <v/>
      </c>
      <c r="F355" s="5" t="str">
        <f>IF(ISBLANK(Лист1!F355),"",Лист1!F355)</f>
        <v/>
      </c>
      <c r="G355" s="5" t="str">
        <f>IF(ISBLANK(Лист1!G355),"",Лист1!G355)</f>
        <v/>
      </c>
      <c r="H355" s="5" t="str">
        <f>IF(ISBLANK(Лист1!H355),"",Лист1!H355)</f>
        <v/>
      </c>
      <c r="I355" s="5" t="str">
        <f>IF(ISBLANK(Лист1!I355),"",Лист1!I355)</f>
        <v/>
      </c>
      <c r="J355" s="5" t="str">
        <f>IF(ISBLANK(Лист1!J355),"",Лист1!J355)</f>
        <v/>
      </c>
      <c r="K355" s="5" t="str">
        <f>IF(ISBLANK(Лист1!K355),"",Лист1!K355)</f>
        <v/>
      </c>
      <c r="L355" s="5" t="str">
        <f>IF(ISBLANK(Лист1!L355),"",Лист1!L355)</f>
        <v/>
      </c>
      <c r="M355" s="5" t="str">
        <f>IF(ISBLANK(Лист1!M355),"",Лист1!M355)</f>
        <v/>
      </c>
      <c r="N355" s="5" t="str">
        <f>IF(ISBLANK(Лист1!N355),"",Лист1!N355)</f>
        <v/>
      </c>
      <c r="O355" s="5" t="str">
        <f>IF(ISBLANK(Лист1!O355),"",Лист1!O355)</f>
        <v/>
      </c>
      <c r="P355" s="5" t="str">
        <f>IF(ISBLANK(Лист1!P355),"",Лист1!P355)</f>
        <v/>
      </c>
      <c r="Q355" s="5" t="str">
        <f>IF(ISBLANK(Лист1!Q355),"",Лист1!Q355)</f>
        <v/>
      </c>
      <c r="R355" s="5" t="str">
        <f>IF(ISBLANK(Лист1!R355),"",Лист1!R355)</f>
        <v/>
      </c>
      <c r="S355" s="5" t="str">
        <f>IF(ISBLANK(Лист1!S355),"",Лист1!S355)</f>
        <v/>
      </c>
      <c r="T355" s="5" t="str">
        <f>IF(ISBLANK(Лист1!T355),"",Лист1!T355)</f>
        <v/>
      </c>
      <c r="U355" s="5" t="str">
        <f>IF(ISBLANK(Лист1!U355),"",Лист1!U355)</f>
        <v/>
      </c>
      <c r="V355" s="5" t="str">
        <f>IF(ISBLANK(Лист1!V355),"",Лист1!V355)</f>
        <v/>
      </c>
      <c r="W355" s="5" t="str">
        <f>IF(ISBLANK(Лист1!W355),"",Лист1!W355)</f>
        <v/>
      </c>
      <c r="X355" s="5" t="str">
        <f>IF(ISBLANK(Лист1!X355),"",Лист1!X355)</f>
        <v/>
      </c>
      <c r="Y355" s="5" t="str">
        <f>IF(ISERROR(VLOOKUP($X355,Лист2!$A$2:$G$498,1,FALSE)),"",VLOOKUP($X355,Лист2!$A$2:$G$498,1,FALSE))</f>
        <v/>
      </c>
      <c r="Z355" s="5" t="str">
        <f>IF(ISERROR(VLOOKUP($X355,Лист2!$A$2:$G$498,5,FALSE)),"",VLOOKUP($X355,Лист2!$A$2:$G$498,5,FALSE))</f>
        <v/>
      </c>
      <c r="AA355" s="5" t="str">
        <f>IF(ISERROR(VLOOKUP($X355,Лист2!$A$2:$G$498,6,FALSE)),"",VLOOKUP($X355,Лист2!$A$2:$G$498,6,FALSE))</f>
        <v/>
      </c>
      <c r="AB355" s="5" t="str">
        <f>IF(ISERROR(VLOOKUP($X355,Лист2!$A$2:$G$498,7,FALSE)),"",VLOOKUP($X355,Лист2!$A$2:$G$498,7,FALSE))</f>
        <v/>
      </c>
    </row>
    <row r="356" spans="1:28" x14ac:dyDescent="0.25">
      <c r="A356" s="5" t="str">
        <f>IF(ISBLANK(Лист1!A356),"",Лист1!A356)</f>
        <v/>
      </c>
      <c r="B356" s="5" t="str">
        <f>IF(ISBLANK(Лист1!B356),"",Лист1!B356)</f>
        <v/>
      </c>
      <c r="C356" s="5" t="str">
        <f>IF(ISBLANK(Лист1!C356),"",Лист1!C356)</f>
        <v/>
      </c>
      <c r="D356" s="5" t="str">
        <f>IF(ISBLANK(Лист1!D356),"",Лист1!D356)</f>
        <v/>
      </c>
      <c r="E356" s="5" t="str">
        <f>IF(ISBLANK(Лист1!E356),"",Лист1!E356)</f>
        <v/>
      </c>
      <c r="F356" s="5" t="str">
        <f>IF(ISBLANK(Лист1!F356),"",Лист1!F356)</f>
        <v/>
      </c>
      <c r="G356" s="5" t="str">
        <f>IF(ISBLANK(Лист1!G356),"",Лист1!G356)</f>
        <v/>
      </c>
      <c r="H356" s="5" t="str">
        <f>IF(ISBLANK(Лист1!H356),"",Лист1!H356)</f>
        <v/>
      </c>
      <c r="I356" s="5" t="str">
        <f>IF(ISBLANK(Лист1!I356),"",Лист1!I356)</f>
        <v/>
      </c>
      <c r="J356" s="5" t="str">
        <f>IF(ISBLANK(Лист1!J356),"",Лист1!J356)</f>
        <v/>
      </c>
      <c r="K356" s="5" t="str">
        <f>IF(ISBLANK(Лист1!K356),"",Лист1!K356)</f>
        <v/>
      </c>
      <c r="L356" s="5" t="str">
        <f>IF(ISBLANK(Лист1!L356),"",Лист1!L356)</f>
        <v/>
      </c>
      <c r="M356" s="5" t="str">
        <f>IF(ISBLANK(Лист1!M356),"",Лист1!M356)</f>
        <v/>
      </c>
      <c r="N356" s="5" t="str">
        <f>IF(ISBLANK(Лист1!N356),"",Лист1!N356)</f>
        <v/>
      </c>
      <c r="O356" s="5" t="str">
        <f>IF(ISBLANK(Лист1!O356),"",Лист1!O356)</f>
        <v/>
      </c>
      <c r="P356" s="5" t="str">
        <f>IF(ISBLANK(Лист1!P356),"",Лист1!P356)</f>
        <v/>
      </c>
      <c r="Q356" s="5" t="str">
        <f>IF(ISBLANK(Лист1!Q356),"",Лист1!Q356)</f>
        <v/>
      </c>
      <c r="R356" s="5" t="str">
        <f>IF(ISBLANK(Лист1!R356),"",Лист1!R356)</f>
        <v/>
      </c>
      <c r="S356" s="5" t="str">
        <f>IF(ISBLANK(Лист1!S356),"",Лист1!S356)</f>
        <v/>
      </c>
      <c r="T356" s="5" t="str">
        <f>IF(ISBLANK(Лист1!T356),"",Лист1!T356)</f>
        <v/>
      </c>
      <c r="U356" s="5" t="str">
        <f>IF(ISBLANK(Лист1!U356),"",Лист1!U356)</f>
        <v/>
      </c>
      <c r="V356" s="5" t="str">
        <f>IF(ISBLANK(Лист1!V356),"",Лист1!V356)</f>
        <v/>
      </c>
      <c r="W356" s="5" t="str">
        <f>IF(ISBLANK(Лист1!W356),"",Лист1!W356)</f>
        <v/>
      </c>
      <c r="X356" s="5" t="str">
        <f>IF(ISBLANK(Лист1!X356),"",Лист1!X356)</f>
        <v/>
      </c>
      <c r="Y356" s="5" t="str">
        <f>IF(ISERROR(VLOOKUP($X356,Лист2!$A$2:$G$498,1,FALSE)),"",VLOOKUP($X356,Лист2!$A$2:$G$498,1,FALSE))</f>
        <v/>
      </c>
      <c r="Z356" s="5" t="str">
        <f>IF(ISERROR(VLOOKUP($X356,Лист2!$A$2:$G$498,5,FALSE)),"",VLOOKUP($X356,Лист2!$A$2:$G$498,5,FALSE))</f>
        <v/>
      </c>
      <c r="AA356" s="5" t="str">
        <f>IF(ISERROR(VLOOKUP($X356,Лист2!$A$2:$G$498,6,FALSE)),"",VLOOKUP($X356,Лист2!$A$2:$G$498,6,FALSE))</f>
        <v/>
      </c>
      <c r="AB356" s="5" t="str">
        <f>IF(ISERROR(VLOOKUP($X356,Лист2!$A$2:$G$498,7,FALSE)),"",VLOOKUP($X356,Лист2!$A$2:$G$498,7,FALSE))</f>
        <v/>
      </c>
    </row>
    <row r="357" spans="1:28" x14ac:dyDescent="0.25">
      <c r="A357" s="5" t="str">
        <f>IF(ISBLANK(Лист1!A357),"",Лист1!A357)</f>
        <v/>
      </c>
      <c r="B357" s="5" t="str">
        <f>IF(ISBLANK(Лист1!B357),"",Лист1!B357)</f>
        <v/>
      </c>
      <c r="C357" s="5" t="str">
        <f>IF(ISBLANK(Лист1!C357),"",Лист1!C357)</f>
        <v/>
      </c>
      <c r="D357" s="5" t="str">
        <f>IF(ISBLANK(Лист1!D357),"",Лист1!D357)</f>
        <v/>
      </c>
      <c r="E357" s="5" t="str">
        <f>IF(ISBLANK(Лист1!E357),"",Лист1!E357)</f>
        <v/>
      </c>
      <c r="F357" s="5" t="str">
        <f>IF(ISBLANK(Лист1!F357),"",Лист1!F357)</f>
        <v/>
      </c>
      <c r="G357" s="5" t="str">
        <f>IF(ISBLANK(Лист1!G357),"",Лист1!G357)</f>
        <v/>
      </c>
      <c r="H357" s="5" t="str">
        <f>IF(ISBLANK(Лист1!H357),"",Лист1!H357)</f>
        <v/>
      </c>
      <c r="I357" s="5" t="str">
        <f>IF(ISBLANK(Лист1!I357),"",Лист1!I357)</f>
        <v/>
      </c>
      <c r="J357" s="5" t="str">
        <f>IF(ISBLANK(Лист1!J357),"",Лист1!J357)</f>
        <v/>
      </c>
      <c r="K357" s="5" t="str">
        <f>IF(ISBLANK(Лист1!K357),"",Лист1!K357)</f>
        <v/>
      </c>
      <c r="L357" s="5" t="str">
        <f>IF(ISBLANK(Лист1!L357),"",Лист1!L357)</f>
        <v/>
      </c>
      <c r="M357" s="5" t="str">
        <f>IF(ISBLANK(Лист1!M357),"",Лист1!M357)</f>
        <v/>
      </c>
      <c r="N357" s="5" t="str">
        <f>IF(ISBLANK(Лист1!N357),"",Лист1!N357)</f>
        <v/>
      </c>
      <c r="O357" s="5" t="str">
        <f>IF(ISBLANK(Лист1!O357),"",Лист1!O357)</f>
        <v/>
      </c>
      <c r="P357" s="5" t="str">
        <f>IF(ISBLANK(Лист1!P357),"",Лист1!P357)</f>
        <v/>
      </c>
      <c r="Q357" s="5" t="str">
        <f>IF(ISBLANK(Лист1!Q357),"",Лист1!Q357)</f>
        <v/>
      </c>
      <c r="R357" s="5" t="str">
        <f>IF(ISBLANK(Лист1!R357),"",Лист1!R357)</f>
        <v/>
      </c>
      <c r="S357" s="5" t="str">
        <f>IF(ISBLANK(Лист1!S357),"",Лист1!S357)</f>
        <v/>
      </c>
      <c r="T357" s="5" t="str">
        <f>IF(ISBLANK(Лист1!T357),"",Лист1!T357)</f>
        <v/>
      </c>
      <c r="U357" s="5" t="str">
        <f>IF(ISBLANK(Лист1!U357),"",Лист1!U357)</f>
        <v/>
      </c>
      <c r="V357" s="5" t="str">
        <f>IF(ISBLANK(Лист1!V357),"",Лист1!V357)</f>
        <v/>
      </c>
      <c r="W357" s="5" t="str">
        <f>IF(ISBLANK(Лист1!W357),"",Лист1!W357)</f>
        <v/>
      </c>
      <c r="X357" s="5" t="str">
        <f>IF(ISBLANK(Лист1!X357),"",Лист1!X357)</f>
        <v/>
      </c>
      <c r="Y357" s="5" t="str">
        <f>IF(ISERROR(VLOOKUP($X357,Лист2!$A$2:$G$498,1,FALSE)),"",VLOOKUP($X357,Лист2!$A$2:$G$498,1,FALSE))</f>
        <v/>
      </c>
      <c r="Z357" s="5" t="str">
        <f>IF(ISERROR(VLOOKUP($X357,Лист2!$A$2:$G$498,5,FALSE)),"",VLOOKUP($X357,Лист2!$A$2:$G$498,5,FALSE))</f>
        <v/>
      </c>
      <c r="AA357" s="5" t="str">
        <f>IF(ISERROR(VLOOKUP($X357,Лист2!$A$2:$G$498,6,FALSE)),"",VLOOKUP($X357,Лист2!$A$2:$G$498,6,FALSE))</f>
        <v/>
      </c>
      <c r="AB357" s="5" t="str">
        <f>IF(ISERROR(VLOOKUP($X357,Лист2!$A$2:$G$498,7,FALSE)),"",VLOOKUP($X357,Лист2!$A$2:$G$498,7,FALSE))</f>
        <v/>
      </c>
    </row>
    <row r="358" spans="1:28" x14ac:dyDescent="0.25">
      <c r="A358" s="5" t="str">
        <f>IF(ISBLANK(Лист1!A358),"",Лист1!A358)</f>
        <v/>
      </c>
      <c r="B358" s="5" t="str">
        <f>IF(ISBLANK(Лист1!B358),"",Лист1!B358)</f>
        <v/>
      </c>
      <c r="C358" s="5" t="str">
        <f>IF(ISBLANK(Лист1!C358),"",Лист1!C358)</f>
        <v/>
      </c>
      <c r="D358" s="5" t="str">
        <f>IF(ISBLANK(Лист1!D358),"",Лист1!D358)</f>
        <v/>
      </c>
      <c r="E358" s="5" t="str">
        <f>IF(ISBLANK(Лист1!E358),"",Лист1!E358)</f>
        <v/>
      </c>
      <c r="F358" s="5" t="str">
        <f>IF(ISBLANK(Лист1!F358),"",Лист1!F358)</f>
        <v/>
      </c>
      <c r="G358" s="5" t="str">
        <f>IF(ISBLANK(Лист1!G358),"",Лист1!G358)</f>
        <v/>
      </c>
      <c r="H358" s="5" t="str">
        <f>IF(ISBLANK(Лист1!H358),"",Лист1!H358)</f>
        <v/>
      </c>
      <c r="I358" s="5" t="str">
        <f>IF(ISBLANK(Лист1!I358),"",Лист1!I358)</f>
        <v/>
      </c>
      <c r="J358" s="5" t="str">
        <f>IF(ISBLANK(Лист1!J358),"",Лист1!J358)</f>
        <v/>
      </c>
      <c r="K358" s="5" t="str">
        <f>IF(ISBLANK(Лист1!K358),"",Лист1!K358)</f>
        <v/>
      </c>
      <c r="L358" s="5" t="str">
        <f>IF(ISBLANK(Лист1!L358),"",Лист1!L358)</f>
        <v/>
      </c>
      <c r="M358" s="5" t="str">
        <f>IF(ISBLANK(Лист1!M358),"",Лист1!M358)</f>
        <v/>
      </c>
      <c r="N358" s="5" t="str">
        <f>IF(ISBLANK(Лист1!N358),"",Лист1!N358)</f>
        <v/>
      </c>
      <c r="O358" s="5" t="str">
        <f>IF(ISBLANK(Лист1!O358),"",Лист1!O358)</f>
        <v/>
      </c>
      <c r="P358" s="5" t="str">
        <f>IF(ISBLANK(Лист1!P358),"",Лист1!P358)</f>
        <v/>
      </c>
      <c r="Q358" s="5" t="str">
        <f>IF(ISBLANK(Лист1!Q358),"",Лист1!Q358)</f>
        <v/>
      </c>
      <c r="R358" s="5" t="str">
        <f>IF(ISBLANK(Лист1!R358),"",Лист1!R358)</f>
        <v/>
      </c>
      <c r="S358" s="5" t="str">
        <f>IF(ISBLANK(Лист1!S358),"",Лист1!S358)</f>
        <v/>
      </c>
      <c r="T358" s="5" t="str">
        <f>IF(ISBLANK(Лист1!T358),"",Лист1!T358)</f>
        <v/>
      </c>
      <c r="U358" s="5" t="str">
        <f>IF(ISBLANK(Лист1!U358),"",Лист1!U358)</f>
        <v/>
      </c>
      <c r="V358" s="5" t="str">
        <f>IF(ISBLANK(Лист1!V358),"",Лист1!V358)</f>
        <v/>
      </c>
      <c r="W358" s="5" t="str">
        <f>IF(ISBLANK(Лист1!W358),"",Лист1!W358)</f>
        <v/>
      </c>
      <c r="X358" s="5" t="str">
        <f>IF(ISBLANK(Лист1!X358),"",Лист1!X358)</f>
        <v/>
      </c>
      <c r="Y358" s="5" t="str">
        <f>IF(ISERROR(VLOOKUP($X358,Лист2!$A$2:$G$498,1,FALSE)),"",VLOOKUP($X358,Лист2!$A$2:$G$498,1,FALSE))</f>
        <v/>
      </c>
      <c r="Z358" s="5" t="str">
        <f>IF(ISERROR(VLOOKUP($X358,Лист2!$A$2:$G$498,5,FALSE)),"",VLOOKUP($X358,Лист2!$A$2:$G$498,5,FALSE))</f>
        <v/>
      </c>
      <c r="AA358" s="5" t="str">
        <f>IF(ISERROR(VLOOKUP($X358,Лист2!$A$2:$G$498,6,FALSE)),"",VLOOKUP($X358,Лист2!$A$2:$G$498,6,FALSE))</f>
        <v/>
      </c>
      <c r="AB358" s="5" t="str">
        <f>IF(ISERROR(VLOOKUP($X358,Лист2!$A$2:$G$498,7,FALSE)),"",VLOOKUP($X358,Лист2!$A$2:$G$498,7,FALSE))</f>
        <v/>
      </c>
    </row>
    <row r="359" spans="1:28" x14ac:dyDescent="0.25">
      <c r="A359" s="5" t="str">
        <f>IF(ISBLANK(Лист1!A359),"",Лист1!A359)</f>
        <v/>
      </c>
      <c r="B359" s="5" t="str">
        <f>IF(ISBLANK(Лист1!B359),"",Лист1!B359)</f>
        <v/>
      </c>
      <c r="C359" s="5" t="str">
        <f>IF(ISBLANK(Лист1!C359),"",Лист1!C359)</f>
        <v/>
      </c>
      <c r="D359" s="5" t="str">
        <f>IF(ISBLANK(Лист1!D359),"",Лист1!D359)</f>
        <v/>
      </c>
      <c r="E359" s="5" t="str">
        <f>IF(ISBLANK(Лист1!E359),"",Лист1!E359)</f>
        <v/>
      </c>
      <c r="F359" s="5" t="str">
        <f>IF(ISBLANK(Лист1!F359),"",Лист1!F359)</f>
        <v/>
      </c>
      <c r="G359" s="5" t="str">
        <f>IF(ISBLANK(Лист1!G359),"",Лист1!G359)</f>
        <v/>
      </c>
      <c r="H359" s="5" t="str">
        <f>IF(ISBLANK(Лист1!H359),"",Лист1!H359)</f>
        <v/>
      </c>
      <c r="I359" s="5" t="str">
        <f>IF(ISBLANK(Лист1!I359),"",Лист1!I359)</f>
        <v/>
      </c>
      <c r="J359" s="5" t="str">
        <f>IF(ISBLANK(Лист1!J359),"",Лист1!J359)</f>
        <v/>
      </c>
      <c r="K359" s="5" t="str">
        <f>IF(ISBLANK(Лист1!K359),"",Лист1!K359)</f>
        <v/>
      </c>
      <c r="L359" s="5" t="str">
        <f>IF(ISBLANK(Лист1!L359),"",Лист1!L359)</f>
        <v/>
      </c>
      <c r="M359" s="5" t="str">
        <f>IF(ISBLANK(Лист1!M359),"",Лист1!M359)</f>
        <v/>
      </c>
      <c r="N359" s="5" t="str">
        <f>IF(ISBLANK(Лист1!N359),"",Лист1!N359)</f>
        <v/>
      </c>
      <c r="O359" s="5" t="str">
        <f>IF(ISBLANK(Лист1!O359),"",Лист1!O359)</f>
        <v/>
      </c>
      <c r="P359" s="5" t="str">
        <f>IF(ISBLANK(Лист1!P359),"",Лист1!P359)</f>
        <v/>
      </c>
      <c r="Q359" s="5" t="str">
        <f>IF(ISBLANK(Лист1!Q359),"",Лист1!Q359)</f>
        <v/>
      </c>
      <c r="R359" s="5" t="str">
        <f>IF(ISBLANK(Лист1!R359),"",Лист1!R359)</f>
        <v/>
      </c>
      <c r="S359" s="5" t="str">
        <f>IF(ISBLANK(Лист1!S359),"",Лист1!S359)</f>
        <v/>
      </c>
      <c r="T359" s="5" t="str">
        <f>IF(ISBLANK(Лист1!T359),"",Лист1!T359)</f>
        <v/>
      </c>
      <c r="U359" s="5" t="str">
        <f>IF(ISBLANK(Лист1!U359),"",Лист1!U359)</f>
        <v/>
      </c>
      <c r="V359" s="5" t="str">
        <f>IF(ISBLANK(Лист1!V359),"",Лист1!V359)</f>
        <v/>
      </c>
      <c r="W359" s="5" t="str">
        <f>IF(ISBLANK(Лист1!W359),"",Лист1!W359)</f>
        <v/>
      </c>
      <c r="X359" s="5" t="str">
        <f>IF(ISBLANK(Лист1!X359),"",Лист1!X359)</f>
        <v/>
      </c>
      <c r="Y359" s="5" t="str">
        <f>IF(ISERROR(VLOOKUP($X359,Лист2!$A$2:$G$498,1,FALSE)),"",VLOOKUP($X359,Лист2!$A$2:$G$498,1,FALSE))</f>
        <v/>
      </c>
      <c r="Z359" s="5" t="str">
        <f>IF(ISERROR(VLOOKUP($X359,Лист2!$A$2:$G$498,5,FALSE)),"",VLOOKUP($X359,Лист2!$A$2:$G$498,5,FALSE))</f>
        <v/>
      </c>
      <c r="AA359" s="5" t="str">
        <f>IF(ISERROR(VLOOKUP($X359,Лист2!$A$2:$G$498,6,FALSE)),"",VLOOKUP($X359,Лист2!$A$2:$G$498,6,FALSE))</f>
        <v/>
      </c>
      <c r="AB359" s="5" t="str">
        <f>IF(ISERROR(VLOOKUP($X359,Лист2!$A$2:$G$498,7,FALSE)),"",VLOOKUP($X359,Лист2!$A$2:$G$498,7,FALSE))</f>
        <v/>
      </c>
    </row>
    <row r="360" spans="1:28" x14ac:dyDescent="0.25">
      <c r="A360" s="5" t="str">
        <f>IF(ISBLANK(Лист1!A360),"",Лист1!A360)</f>
        <v/>
      </c>
      <c r="B360" s="5" t="str">
        <f>IF(ISBLANK(Лист1!B360),"",Лист1!B360)</f>
        <v/>
      </c>
      <c r="C360" s="5" t="str">
        <f>IF(ISBLANK(Лист1!C360),"",Лист1!C360)</f>
        <v/>
      </c>
      <c r="D360" s="5" t="str">
        <f>IF(ISBLANK(Лист1!D360),"",Лист1!D360)</f>
        <v/>
      </c>
      <c r="E360" s="5" t="str">
        <f>IF(ISBLANK(Лист1!E360),"",Лист1!E360)</f>
        <v/>
      </c>
      <c r="F360" s="5" t="str">
        <f>IF(ISBLANK(Лист1!F360),"",Лист1!F360)</f>
        <v/>
      </c>
      <c r="G360" s="5" t="str">
        <f>IF(ISBLANK(Лист1!G360),"",Лист1!G360)</f>
        <v/>
      </c>
      <c r="H360" s="5" t="str">
        <f>IF(ISBLANK(Лист1!H360),"",Лист1!H360)</f>
        <v/>
      </c>
      <c r="I360" s="5" t="str">
        <f>IF(ISBLANK(Лист1!I360),"",Лист1!I360)</f>
        <v/>
      </c>
      <c r="J360" s="5" t="str">
        <f>IF(ISBLANK(Лист1!J360),"",Лист1!J360)</f>
        <v/>
      </c>
      <c r="K360" s="5" t="str">
        <f>IF(ISBLANK(Лист1!K360),"",Лист1!K360)</f>
        <v/>
      </c>
      <c r="L360" s="5" t="str">
        <f>IF(ISBLANK(Лист1!L360),"",Лист1!L360)</f>
        <v/>
      </c>
      <c r="M360" s="5" t="str">
        <f>IF(ISBLANK(Лист1!M360),"",Лист1!M360)</f>
        <v/>
      </c>
      <c r="N360" s="5" t="str">
        <f>IF(ISBLANK(Лист1!N360),"",Лист1!N360)</f>
        <v/>
      </c>
      <c r="O360" s="5" t="str">
        <f>IF(ISBLANK(Лист1!O360),"",Лист1!O360)</f>
        <v/>
      </c>
      <c r="P360" s="5" t="str">
        <f>IF(ISBLANK(Лист1!P360),"",Лист1!P360)</f>
        <v/>
      </c>
      <c r="Q360" s="5" t="str">
        <f>IF(ISBLANK(Лист1!Q360),"",Лист1!Q360)</f>
        <v/>
      </c>
      <c r="R360" s="5" t="str">
        <f>IF(ISBLANK(Лист1!R360),"",Лист1!R360)</f>
        <v/>
      </c>
      <c r="S360" s="5" t="str">
        <f>IF(ISBLANK(Лист1!S360),"",Лист1!S360)</f>
        <v/>
      </c>
      <c r="T360" s="5" t="str">
        <f>IF(ISBLANK(Лист1!T360),"",Лист1!T360)</f>
        <v/>
      </c>
      <c r="U360" s="5" t="str">
        <f>IF(ISBLANK(Лист1!U360),"",Лист1!U360)</f>
        <v/>
      </c>
      <c r="V360" s="5" t="str">
        <f>IF(ISBLANK(Лист1!V360),"",Лист1!V360)</f>
        <v/>
      </c>
      <c r="W360" s="5" t="str">
        <f>IF(ISBLANK(Лист1!W360),"",Лист1!W360)</f>
        <v/>
      </c>
      <c r="X360" s="5" t="str">
        <f>IF(ISBLANK(Лист1!X360),"",Лист1!X360)</f>
        <v/>
      </c>
      <c r="Y360" s="5" t="str">
        <f>IF(ISERROR(VLOOKUP($X360,Лист2!$A$2:$G$498,1,FALSE)),"",VLOOKUP($X360,Лист2!$A$2:$G$498,1,FALSE))</f>
        <v/>
      </c>
      <c r="Z360" s="5" t="str">
        <f>IF(ISERROR(VLOOKUP($X360,Лист2!$A$2:$G$498,5,FALSE)),"",VLOOKUP($X360,Лист2!$A$2:$G$498,5,FALSE))</f>
        <v/>
      </c>
      <c r="AA360" s="5" t="str">
        <f>IF(ISERROR(VLOOKUP($X360,Лист2!$A$2:$G$498,6,FALSE)),"",VLOOKUP($X360,Лист2!$A$2:$G$498,6,FALSE))</f>
        <v/>
      </c>
      <c r="AB360" s="5" t="str">
        <f>IF(ISERROR(VLOOKUP($X360,Лист2!$A$2:$G$498,7,FALSE)),"",VLOOKUP($X360,Лист2!$A$2:$G$498,7,FALSE))</f>
        <v/>
      </c>
    </row>
    <row r="361" spans="1:28" x14ac:dyDescent="0.25">
      <c r="A361" s="5" t="str">
        <f>IF(ISBLANK(Лист1!A361),"",Лист1!A361)</f>
        <v/>
      </c>
      <c r="B361" s="5" t="str">
        <f>IF(ISBLANK(Лист1!B361),"",Лист1!B361)</f>
        <v/>
      </c>
      <c r="C361" s="5" t="str">
        <f>IF(ISBLANK(Лист1!C361),"",Лист1!C361)</f>
        <v/>
      </c>
      <c r="D361" s="5" t="str">
        <f>IF(ISBLANK(Лист1!D361),"",Лист1!D361)</f>
        <v/>
      </c>
      <c r="E361" s="5" t="str">
        <f>IF(ISBLANK(Лист1!E361),"",Лист1!E361)</f>
        <v/>
      </c>
      <c r="F361" s="5" t="str">
        <f>IF(ISBLANK(Лист1!F361),"",Лист1!F361)</f>
        <v/>
      </c>
      <c r="G361" s="5" t="str">
        <f>IF(ISBLANK(Лист1!G361),"",Лист1!G361)</f>
        <v/>
      </c>
      <c r="H361" s="5" t="str">
        <f>IF(ISBLANK(Лист1!H361),"",Лист1!H361)</f>
        <v/>
      </c>
      <c r="I361" s="5" t="str">
        <f>IF(ISBLANK(Лист1!I361),"",Лист1!I361)</f>
        <v/>
      </c>
      <c r="J361" s="5" t="str">
        <f>IF(ISBLANK(Лист1!J361),"",Лист1!J361)</f>
        <v/>
      </c>
      <c r="K361" s="5" t="str">
        <f>IF(ISBLANK(Лист1!K361),"",Лист1!K361)</f>
        <v/>
      </c>
      <c r="L361" s="5" t="str">
        <f>IF(ISBLANK(Лист1!L361),"",Лист1!L361)</f>
        <v/>
      </c>
      <c r="M361" s="5" t="str">
        <f>IF(ISBLANK(Лист1!M361),"",Лист1!M361)</f>
        <v/>
      </c>
      <c r="N361" s="5" t="str">
        <f>IF(ISBLANK(Лист1!N361),"",Лист1!N361)</f>
        <v/>
      </c>
      <c r="O361" s="5" t="str">
        <f>IF(ISBLANK(Лист1!O361),"",Лист1!O361)</f>
        <v/>
      </c>
      <c r="P361" s="5" t="str">
        <f>IF(ISBLANK(Лист1!P361),"",Лист1!P361)</f>
        <v/>
      </c>
      <c r="Q361" s="5" t="str">
        <f>IF(ISBLANK(Лист1!Q361),"",Лист1!Q361)</f>
        <v/>
      </c>
      <c r="R361" s="5" t="str">
        <f>IF(ISBLANK(Лист1!R361),"",Лист1!R361)</f>
        <v/>
      </c>
      <c r="S361" s="5" t="str">
        <f>IF(ISBLANK(Лист1!S361),"",Лист1!S361)</f>
        <v/>
      </c>
      <c r="T361" s="5" t="str">
        <f>IF(ISBLANK(Лист1!T361),"",Лист1!T361)</f>
        <v/>
      </c>
      <c r="U361" s="5" t="str">
        <f>IF(ISBLANK(Лист1!U361),"",Лист1!U361)</f>
        <v/>
      </c>
      <c r="V361" s="5" t="str">
        <f>IF(ISBLANK(Лист1!V361),"",Лист1!V361)</f>
        <v/>
      </c>
      <c r="W361" s="5" t="str">
        <f>IF(ISBLANK(Лист1!W361),"",Лист1!W361)</f>
        <v/>
      </c>
      <c r="X361" s="5" t="str">
        <f>IF(ISBLANK(Лист1!X361),"",Лист1!X361)</f>
        <v/>
      </c>
      <c r="Y361" s="5" t="str">
        <f>IF(ISERROR(VLOOKUP($X361,Лист2!$A$2:$G$498,1,FALSE)),"",VLOOKUP($X361,Лист2!$A$2:$G$498,1,FALSE))</f>
        <v/>
      </c>
      <c r="Z361" s="5" t="str">
        <f>IF(ISERROR(VLOOKUP($X361,Лист2!$A$2:$G$498,5,FALSE)),"",VLOOKUP($X361,Лист2!$A$2:$G$498,5,FALSE))</f>
        <v/>
      </c>
      <c r="AA361" s="5" t="str">
        <f>IF(ISERROR(VLOOKUP($X361,Лист2!$A$2:$G$498,6,FALSE)),"",VLOOKUP($X361,Лист2!$A$2:$G$498,6,FALSE))</f>
        <v/>
      </c>
      <c r="AB361" s="5" t="str">
        <f>IF(ISERROR(VLOOKUP($X361,Лист2!$A$2:$G$498,7,FALSE)),"",VLOOKUP($X361,Лист2!$A$2:$G$498,7,FALSE))</f>
        <v/>
      </c>
    </row>
    <row r="362" spans="1:28" x14ac:dyDescent="0.25">
      <c r="A362" s="5" t="str">
        <f>IF(ISBLANK(Лист1!A362),"",Лист1!A362)</f>
        <v/>
      </c>
      <c r="B362" s="5" t="str">
        <f>IF(ISBLANK(Лист1!B362),"",Лист1!B362)</f>
        <v/>
      </c>
      <c r="C362" s="5" t="str">
        <f>IF(ISBLANK(Лист1!C362),"",Лист1!C362)</f>
        <v/>
      </c>
      <c r="D362" s="5" t="str">
        <f>IF(ISBLANK(Лист1!D362),"",Лист1!D362)</f>
        <v/>
      </c>
      <c r="E362" s="5" t="str">
        <f>IF(ISBLANK(Лист1!E362),"",Лист1!E362)</f>
        <v/>
      </c>
      <c r="F362" s="5" t="str">
        <f>IF(ISBLANK(Лист1!F362),"",Лист1!F362)</f>
        <v/>
      </c>
      <c r="G362" s="5" t="str">
        <f>IF(ISBLANK(Лист1!G362),"",Лист1!G362)</f>
        <v/>
      </c>
      <c r="H362" s="5" t="str">
        <f>IF(ISBLANK(Лист1!H362),"",Лист1!H362)</f>
        <v/>
      </c>
      <c r="I362" s="5" t="str">
        <f>IF(ISBLANK(Лист1!I362),"",Лист1!I362)</f>
        <v/>
      </c>
      <c r="J362" s="5" t="str">
        <f>IF(ISBLANK(Лист1!J362),"",Лист1!J362)</f>
        <v/>
      </c>
      <c r="K362" s="5" t="str">
        <f>IF(ISBLANK(Лист1!K362),"",Лист1!K362)</f>
        <v/>
      </c>
      <c r="L362" s="5" t="str">
        <f>IF(ISBLANK(Лист1!L362),"",Лист1!L362)</f>
        <v/>
      </c>
      <c r="M362" s="5" t="str">
        <f>IF(ISBLANK(Лист1!M362),"",Лист1!M362)</f>
        <v/>
      </c>
      <c r="N362" s="5" t="str">
        <f>IF(ISBLANK(Лист1!N362),"",Лист1!N362)</f>
        <v/>
      </c>
      <c r="O362" s="5" t="str">
        <f>IF(ISBLANK(Лист1!O362),"",Лист1!O362)</f>
        <v/>
      </c>
      <c r="P362" s="5" t="str">
        <f>IF(ISBLANK(Лист1!P362),"",Лист1!P362)</f>
        <v/>
      </c>
      <c r="Q362" s="5" t="str">
        <f>IF(ISBLANK(Лист1!Q362),"",Лист1!Q362)</f>
        <v/>
      </c>
      <c r="R362" s="5" t="str">
        <f>IF(ISBLANK(Лист1!R362),"",Лист1!R362)</f>
        <v/>
      </c>
      <c r="S362" s="5" t="str">
        <f>IF(ISBLANK(Лист1!S362),"",Лист1!S362)</f>
        <v/>
      </c>
      <c r="T362" s="5" t="str">
        <f>IF(ISBLANK(Лист1!T362),"",Лист1!T362)</f>
        <v/>
      </c>
      <c r="U362" s="5" t="str">
        <f>IF(ISBLANK(Лист1!U362),"",Лист1!U362)</f>
        <v/>
      </c>
      <c r="V362" s="5" t="str">
        <f>IF(ISBLANK(Лист1!V362),"",Лист1!V362)</f>
        <v/>
      </c>
      <c r="W362" s="5" t="str">
        <f>IF(ISBLANK(Лист1!W362),"",Лист1!W362)</f>
        <v/>
      </c>
      <c r="X362" s="5" t="str">
        <f>IF(ISBLANK(Лист1!X362),"",Лист1!X362)</f>
        <v/>
      </c>
      <c r="Y362" s="5" t="str">
        <f>IF(ISERROR(VLOOKUP($X362,Лист2!$A$2:$G$498,1,FALSE)),"",VLOOKUP($X362,Лист2!$A$2:$G$498,1,FALSE))</f>
        <v/>
      </c>
      <c r="Z362" s="5" t="str">
        <f>IF(ISERROR(VLOOKUP($X362,Лист2!$A$2:$G$498,5,FALSE)),"",VLOOKUP($X362,Лист2!$A$2:$G$498,5,FALSE))</f>
        <v/>
      </c>
      <c r="AA362" s="5" t="str">
        <f>IF(ISERROR(VLOOKUP($X362,Лист2!$A$2:$G$498,6,FALSE)),"",VLOOKUP($X362,Лист2!$A$2:$G$498,6,FALSE))</f>
        <v/>
      </c>
      <c r="AB362" s="5" t="str">
        <f>IF(ISERROR(VLOOKUP($X362,Лист2!$A$2:$G$498,7,FALSE)),"",VLOOKUP($X362,Лист2!$A$2:$G$498,7,FALSE))</f>
        <v/>
      </c>
    </row>
    <row r="363" spans="1:28" x14ac:dyDescent="0.25">
      <c r="A363" s="5" t="str">
        <f>IF(ISBLANK(Лист1!A363),"",Лист1!A363)</f>
        <v/>
      </c>
      <c r="B363" s="5" t="str">
        <f>IF(ISBLANK(Лист1!B363),"",Лист1!B363)</f>
        <v/>
      </c>
      <c r="C363" s="5" t="str">
        <f>IF(ISBLANK(Лист1!C363),"",Лист1!C363)</f>
        <v/>
      </c>
      <c r="D363" s="5" t="str">
        <f>IF(ISBLANK(Лист1!D363),"",Лист1!D363)</f>
        <v/>
      </c>
      <c r="E363" s="5" t="str">
        <f>IF(ISBLANK(Лист1!E363),"",Лист1!E363)</f>
        <v/>
      </c>
      <c r="F363" s="5" t="str">
        <f>IF(ISBLANK(Лист1!F363),"",Лист1!F363)</f>
        <v/>
      </c>
      <c r="G363" s="5" t="str">
        <f>IF(ISBLANK(Лист1!G363),"",Лист1!G363)</f>
        <v/>
      </c>
      <c r="H363" s="5" t="str">
        <f>IF(ISBLANK(Лист1!H363),"",Лист1!H363)</f>
        <v/>
      </c>
      <c r="I363" s="5" t="str">
        <f>IF(ISBLANK(Лист1!I363),"",Лист1!I363)</f>
        <v/>
      </c>
      <c r="J363" s="5" t="str">
        <f>IF(ISBLANK(Лист1!J363),"",Лист1!J363)</f>
        <v/>
      </c>
      <c r="K363" s="5" t="str">
        <f>IF(ISBLANK(Лист1!K363),"",Лист1!K363)</f>
        <v/>
      </c>
      <c r="L363" s="5" t="str">
        <f>IF(ISBLANK(Лист1!L363),"",Лист1!L363)</f>
        <v/>
      </c>
      <c r="M363" s="5" t="str">
        <f>IF(ISBLANK(Лист1!M363),"",Лист1!M363)</f>
        <v/>
      </c>
      <c r="N363" s="5" t="str">
        <f>IF(ISBLANK(Лист1!N363),"",Лист1!N363)</f>
        <v/>
      </c>
      <c r="O363" s="5" t="str">
        <f>IF(ISBLANK(Лист1!O363),"",Лист1!O363)</f>
        <v/>
      </c>
      <c r="P363" s="5" t="str">
        <f>IF(ISBLANK(Лист1!P363),"",Лист1!P363)</f>
        <v/>
      </c>
      <c r="Q363" s="5" t="str">
        <f>IF(ISBLANK(Лист1!Q363),"",Лист1!Q363)</f>
        <v/>
      </c>
      <c r="R363" s="5" t="str">
        <f>IF(ISBLANK(Лист1!R363),"",Лист1!R363)</f>
        <v/>
      </c>
      <c r="S363" s="5" t="str">
        <f>IF(ISBLANK(Лист1!S363),"",Лист1!S363)</f>
        <v/>
      </c>
      <c r="T363" s="5" t="str">
        <f>IF(ISBLANK(Лист1!T363),"",Лист1!T363)</f>
        <v/>
      </c>
      <c r="U363" s="5" t="str">
        <f>IF(ISBLANK(Лист1!U363),"",Лист1!U363)</f>
        <v/>
      </c>
      <c r="V363" s="5" t="str">
        <f>IF(ISBLANK(Лист1!V363),"",Лист1!V363)</f>
        <v/>
      </c>
      <c r="W363" s="5" t="str">
        <f>IF(ISBLANK(Лист1!W363),"",Лист1!W363)</f>
        <v/>
      </c>
      <c r="X363" s="5" t="str">
        <f>IF(ISBLANK(Лист1!X363),"",Лист1!X363)</f>
        <v/>
      </c>
      <c r="Y363" s="5" t="str">
        <f>IF(ISERROR(VLOOKUP($X363,Лист2!$A$2:$G$498,1,FALSE)),"",VLOOKUP($X363,Лист2!$A$2:$G$498,1,FALSE))</f>
        <v/>
      </c>
      <c r="Z363" s="5" t="str">
        <f>IF(ISERROR(VLOOKUP($X363,Лист2!$A$2:$G$498,5,FALSE)),"",VLOOKUP($X363,Лист2!$A$2:$G$498,5,FALSE))</f>
        <v/>
      </c>
      <c r="AA363" s="5" t="str">
        <f>IF(ISERROR(VLOOKUP($X363,Лист2!$A$2:$G$498,6,FALSE)),"",VLOOKUP($X363,Лист2!$A$2:$G$498,6,FALSE))</f>
        <v/>
      </c>
      <c r="AB363" s="5" t="str">
        <f>IF(ISERROR(VLOOKUP($X363,Лист2!$A$2:$G$498,7,FALSE)),"",VLOOKUP($X363,Лист2!$A$2:$G$498,7,FALSE))</f>
        <v/>
      </c>
    </row>
    <row r="364" spans="1:28" x14ac:dyDescent="0.25">
      <c r="A364" s="5" t="str">
        <f>IF(ISBLANK(Лист1!A364),"",Лист1!A364)</f>
        <v/>
      </c>
      <c r="B364" s="5" t="str">
        <f>IF(ISBLANK(Лист1!B364),"",Лист1!B364)</f>
        <v/>
      </c>
      <c r="C364" s="5" t="str">
        <f>IF(ISBLANK(Лист1!C364),"",Лист1!C364)</f>
        <v/>
      </c>
      <c r="D364" s="5" t="str">
        <f>IF(ISBLANK(Лист1!D364),"",Лист1!D364)</f>
        <v/>
      </c>
      <c r="E364" s="5" t="str">
        <f>IF(ISBLANK(Лист1!E364),"",Лист1!E364)</f>
        <v/>
      </c>
      <c r="F364" s="5" t="str">
        <f>IF(ISBLANK(Лист1!F364),"",Лист1!F364)</f>
        <v/>
      </c>
      <c r="G364" s="5" t="str">
        <f>IF(ISBLANK(Лист1!G364),"",Лист1!G364)</f>
        <v/>
      </c>
      <c r="H364" s="5" t="str">
        <f>IF(ISBLANK(Лист1!H364),"",Лист1!H364)</f>
        <v/>
      </c>
      <c r="I364" s="5" t="str">
        <f>IF(ISBLANK(Лист1!I364),"",Лист1!I364)</f>
        <v/>
      </c>
      <c r="J364" s="5" t="str">
        <f>IF(ISBLANK(Лист1!J364),"",Лист1!J364)</f>
        <v/>
      </c>
      <c r="K364" s="5" t="str">
        <f>IF(ISBLANK(Лист1!K364),"",Лист1!K364)</f>
        <v/>
      </c>
      <c r="L364" s="5" t="str">
        <f>IF(ISBLANK(Лист1!L364),"",Лист1!L364)</f>
        <v/>
      </c>
      <c r="M364" s="5" t="str">
        <f>IF(ISBLANK(Лист1!M364),"",Лист1!M364)</f>
        <v/>
      </c>
      <c r="N364" s="5" t="str">
        <f>IF(ISBLANK(Лист1!N364),"",Лист1!N364)</f>
        <v/>
      </c>
      <c r="O364" s="5" t="str">
        <f>IF(ISBLANK(Лист1!O364),"",Лист1!O364)</f>
        <v/>
      </c>
      <c r="P364" s="5" t="str">
        <f>IF(ISBLANK(Лист1!P364),"",Лист1!P364)</f>
        <v/>
      </c>
      <c r="Q364" s="5" t="str">
        <f>IF(ISBLANK(Лист1!Q364),"",Лист1!Q364)</f>
        <v/>
      </c>
      <c r="R364" s="5" t="str">
        <f>IF(ISBLANK(Лист1!R364),"",Лист1!R364)</f>
        <v/>
      </c>
      <c r="S364" s="5" t="str">
        <f>IF(ISBLANK(Лист1!S364),"",Лист1!S364)</f>
        <v/>
      </c>
      <c r="T364" s="5" t="str">
        <f>IF(ISBLANK(Лист1!T364),"",Лист1!T364)</f>
        <v/>
      </c>
      <c r="U364" s="5" t="str">
        <f>IF(ISBLANK(Лист1!U364),"",Лист1!U364)</f>
        <v/>
      </c>
      <c r="V364" s="5" t="str">
        <f>IF(ISBLANK(Лист1!V364),"",Лист1!V364)</f>
        <v/>
      </c>
      <c r="W364" s="5" t="str">
        <f>IF(ISBLANK(Лист1!W364),"",Лист1!W364)</f>
        <v/>
      </c>
      <c r="X364" s="5" t="str">
        <f>IF(ISBLANK(Лист1!X364),"",Лист1!X364)</f>
        <v/>
      </c>
      <c r="Y364" s="5" t="str">
        <f>IF(ISERROR(VLOOKUP($X364,Лист2!$A$2:$G$498,1,FALSE)),"",VLOOKUP($X364,Лист2!$A$2:$G$498,1,FALSE))</f>
        <v/>
      </c>
      <c r="Z364" s="5" t="str">
        <f>IF(ISERROR(VLOOKUP($X364,Лист2!$A$2:$G$498,5,FALSE)),"",VLOOKUP($X364,Лист2!$A$2:$G$498,5,FALSE))</f>
        <v/>
      </c>
      <c r="AA364" s="5" t="str">
        <f>IF(ISERROR(VLOOKUP($X364,Лист2!$A$2:$G$498,6,FALSE)),"",VLOOKUP($X364,Лист2!$A$2:$G$498,6,FALSE))</f>
        <v/>
      </c>
      <c r="AB364" s="5" t="str">
        <f>IF(ISERROR(VLOOKUP($X364,Лист2!$A$2:$G$498,7,FALSE)),"",VLOOKUP($X364,Лист2!$A$2:$G$498,7,FALSE))</f>
        <v/>
      </c>
    </row>
    <row r="365" spans="1:28" x14ac:dyDescent="0.25">
      <c r="A365" s="5" t="str">
        <f>IF(ISBLANK(Лист1!A365),"",Лист1!A365)</f>
        <v/>
      </c>
      <c r="B365" s="5" t="str">
        <f>IF(ISBLANK(Лист1!B365),"",Лист1!B365)</f>
        <v/>
      </c>
      <c r="C365" s="5" t="str">
        <f>IF(ISBLANK(Лист1!C365),"",Лист1!C365)</f>
        <v/>
      </c>
      <c r="D365" s="5" t="str">
        <f>IF(ISBLANK(Лист1!D365),"",Лист1!D365)</f>
        <v/>
      </c>
      <c r="E365" s="5" t="str">
        <f>IF(ISBLANK(Лист1!E365),"",Лист1!E365)</f>
        <v/>
      </c>
      <c r="F365" s="5" t="str">
        <f>IF(ISBLANK(Лист1!F365),"",Лист1!F365)</f>
        <v/>
      </c>
      <c r="G365" s="5" t="str">
        <f>IF(ISBLANK(Лист1!G365),"",Лист1!G365)</f>
        <v/>
      </c>
      <c r="H365" s="5" t="str">
        <f>IF(ISBLANK(Лист1!H365),"",Лист1!H365)</f>
        <v/>
      </c>
      <c r="I365" s="5" t="str">
        <f>IF(ISBLANK(Лист1!I365),"",Лист1!I365)</f>
        <v/>
      </c>
      <c r="J365" s="5" t="str">
        <f>IF(ISBLANK(Лист1!J365),"",Лист1!J365)</f>
        <v/>
      </c>
      <c r="K365" s="5" t="str">
        <f>IF(ISBLANK(Лист1!K365),"",Лист1!K365)</f>
        <v/>
      </c>
      <c r="L365" s="5" t="str">
        <f>IF(ISBLANK(Лист1!L365),"",Лист1!L365)</f>
        <v/>
      </c>
      <c r="M365" s="5" t="str">
        <f>IF(ISBLANK(Лист1!M365),"",Лист1!M365)</f>
        <v/>
      </c>
      <c r="N365" s="5" t="str">
        <f>IF(ISBLANK(Лист1!N365),"",Лист1!N365)</f>
        <v/>
      </c>
      <c r="O365" s="5" t="str">
        <f>IF(ISBLANK(Лист1!O365),"",Лист1!O365)</f>
        <v/>
      </c>
      <c r="P365" s="5" t="str">
        <f>IF(ISBLANK(Лист1!P365),"",Лист1!P365)</f>
        <v/>
      </c>
      <c r="Q365" s="5" t="str">
        <f>IF(ISBLANK(Лист1!Q365),"",Лист1!Q365)</f>
        <v/>
      </c>
      <c r="R365" s="5" t="str">
        <f>IF(ISBLANK(Лист1!R365),"",Лист1!R365)</f>
        <v/>
      </c>
      <c r="S365" s="5" t="str">
        <f>IF(ISBLANK(Лист1!S365),"",Лист1!S365)</f>
        <v/>
      </c>
      <c r="T365" s="5" t="str">
        <f>IF(ISBLANK(Лист1!T365),"",Лист1!T365)</f>
        <v/>
      </c>
      <c r="U365" s="5" t="str">
        <f>IF(ISBLANK(Лист1!U365),"",Лист1!U365)</f>
        <v/>
      </c>
      <c r="V365" s="5" t="str">
        <f>IF(ISBLANK(Лист1!V365),"",Лист1!V365)</f>
        <v/>
      </c>
      <c r="W365" s="5" t="str">
        <f>IF(ISBLANK(Лист1!W365),"",Лист1!W365)</f>
        <v/>
      </c>
      <c r="X365" s="5" t="str">
        <f>IF(ISBLANK(Лист1!X365),"",Лист1!X365)</f>
        <v/>
      </c>
      <c r="Y365" s="5" t="str">
        <f>IF(ISERROR(VLOOKUP($X365,Лист2!$A$2:$G$498,1,FALSE)),"",VLOOKUP($X365,Лист2!$A$2:$G$498,1,FALSE))</f>
        <v/>
      </c>
      <c r="Z365" s="5" t="str">
        <f>IF(ISERROR(VLOOKUP($X365,Лист2!$A$2:$G$498,5,FALSE)),"",VLOOKUP($X365,Лист2!$A$2:$G$498,5,FALSE))</f>
        <v/>
      </c>
      <c r="AA365" s="5" t="str">
        <f>IF(ISERROR(VLOOKUP($X365,Лист2!$A$2:$G$498,6,FALSE)),"",VLOOKUP($X365,Лист2!$A$2:$G$498,6,FALSE))</f>
        <v/>
      </c>
      <c r="AB365" s="5" t="str">
        <f>IF(ISERROR(VLOOKUP($X365,Лист2!$A$2:$G$498,7,FALSE)),"",VLOOKUP($X365,Лист2!$A$2:$G$498,7,FALSE))</f>
        <v/>
      </c>
    </row>
    <row r="366" spans="1:28" x14ac:dyDescent="0.25">
      <c r="A366" s="5" t="str">
        <f>IF(ISBLANK(Лист1!A366),"",Лист1!A366)</f>
        <v/>
      </c>
      <c r="B366" s="5" t="str">
        <f>IF(ISBLANK(Лист1!B366),"",Лист1!B366)</f>
        <v/>
      </c>
      <c r="C366" s="5" t="str">
        <f>IF(ISBLANK(Лист1!C366),"",Лист1!C366)</f>
        <v/>
      </c>
      <c r="D366" s="5" t="str">
        <f>IF(ISBLANK(Лист1!D366),"",Лист1!D366)</f>
        <v/>
      </c>
      <c r="E366" s="5" t="str">
        <f>IF(ISBLANK(Лист1!E366),"",Лист1!E366)</f>
        <v/>
      </c>
      <c r="F366" s="5" t="str">
        <f>IF(ISBLANK(Лист1!F366),"",Лист1!F366)</f>
        <v/>
      </c>
      <c r="G366" s="5" t="str">
        <f>IF(ISBLANK(Лист1!G366),"",Лист1!G366)</f>
        <v/>
      </c>
      <c r="H366" s="5" t="str">
        <f>IF(ISBLANK(Лист1!H366),"",Лист1!H366)</f>
        <v/>
      </c>
      <c r="I366" s="5" t="str">
        <f>IF(ISBLANK(Лист1!I366),"",Лист1!I366)</f>
        <v/>
      </c>
      <c r="J366" s="5" t="str">
        <f>IF(ISBLANK(Лист1!J366),"",Лист1!J366)</f>
        <v/>
      </c>
      <c r="K366" s="5" t="str">
        <f>IF(ISBLANK(Лист1!K366),"",Лист1!K366)</f>
        <v/>
      </c>
      <c r="L366" s="5" t="str">
        <f>IF(ISBLANK(Лист1!L366),"",Лист1!L366)</f>
        <v/>
      </c>
      <c r="M366" s="5" t="str">
        <f>IF(ISBLANK(Лист1!M366),"",Лист1!M366)</f>
        <v/>
      </c>
      <c r="N366" s="5" t="str">
        <f>IF(ISBLANK(Лист1!N366),"",Лист1!N366)</f>
        <v/>
      </c>
      <c r="O366" s="5" t="str">
        <f>IF(ISBLANK(Лист1!O366),"",Лист1!O366)</f>
        <v/>
      </c>
      <c r="P366" s="5" t="str">
        <f>IF(ISBLANK(Лист1!P366),"",Лист1!P366)</f>
        <v/>
      </c>
      <c r="Q366" s="5" t="str">
        <f>IF(ISBLANK(Лист1!Q366),"",Лист1!Q366)</f>
        <v/>
      </c>
      <c r="R366" s="5" t="str">
        <f>IF(ISBLANK(Лист1!R366),"",Лист1!R366)</f>
        <v/>
      </c>
      <c r="S366" s="5" t="str">
        <f>IF(ISBLANK(Лист1!S366),"",Лист1!S366)</f>
        <v/>
      </c>
      <c r="T366" s="5" t="str">
        <f>IF(ISBLANK(Лист1!T366),"",Лист1!T366)</f>
        <v/>
      </c>
      <c r="U366" s="5" t="str">
        <f>IF(ISBLANK(Лист1!U366),"",Лист1!U366)</f>
        <v/>
      </c>
      <c r="V366" s="5" t="str">
        <f>IF(ISBLANK(Лист1!V366),"",Лист1!V366)</f>
        <v/>
      </c>
      <c r="W366" s="5" t="str">
        <f>IF(ISBLANK(Лист1!W366),"",Лист1!W366)</f>
        <v/>
      </c>
      <c r="X366" s="5" t="str">
        <f>IF(ISBLANK(Лист1!X366),"",Лист1!X366)</f>
        <v/>
      </c>
      <c r="Y366" s="5" t="str">
        <f>IF(ISERROR(VLOOKUP($X366,Лист2!$A$2:$G$498,1,FALSE)),"",VLOOKUP($X366,Лист2!$A$2:$G$498,1,FALSE))</f>
        <v/>
      </c>
      <c r="Z366" s="5" t="str">
        <f>IF(ISERROR(VLOOKUP($X366,Лист2!$A$2:$G$498,5,FALSE)),"",VLOOKUP($X366,Лист2!$A$2:$G$498,5,FALSE))</f>
        <v/>
      </c>
      <c r="AA366" s="5" t="str">
        <f>IF(ISERROR(VLOOKUP($X366,Лист2!$A$2:$G$498,6,FALSE)),"",VLOOKUP($X366,Лист2!$A$2:$G$498,6,FALSE))</f>
        <v/>
      </c>
      <c r="AB366" s="5" t="str">
        <f>IF(ISERROR(VLOOKUP($X366,Лист2!$A$2:$G$498,7,FALSE)),"",VLOOKUP($X366,Лист2!$A$2:$G$498,7,FALSE))</f>
        <v/>
      </c>
    </row>
    <row r="367" spans="1:28" x14ac:dyDescent="0.25">
      <c r="A367" s="5" t="str">
        <f>IF(ISBLANK(Лист1!A367),"",Лист1!A367)</f>
        <v/>
      </c>
      <c r="B367" s="5" t="str">
        <f>IF(ISBLANK(Лист1!B367),"",Лист1!B367)</f>
        <v/>
      </c>
      <c r="C367" s="5" t="str">
        <f>IF(ISBLANK(Лист1!C367),"",Лист1!C367)</f>
        <v/>
      </c>
      <c r="D367" s="5" t="str">
        <f>IF(ISBLANK(Лист1!D367),"",Лист1!D367)</f>
        <v/>
      </c>
      <c r="E367" s="5" t="str">
        <f>IF(ISBLANK(Лист1!E367),"",Лист1!E367)</f>
        <v/>
      </c>
      <c r="F367" s="5" t="str">
        <f>IF(ISBLANK(Лист1!F367),"",Лист1!F367)</f>
        <v/>
      </c>
      <c r="G367" s="5" t="str">
        <f>IF(ISBLANK(Лист1!G367),"",Лист1!G367)</f>
        <v/>
      </c>
      <c r="H367" s="5" t="str">
        <f>IF(ISBLANK(Лист1!H367),"",Лист1!H367)</f>
        <v/>
      </c>
      <c r="I367" s="5" t="str">
        <f>IF(ISBLANK(Лист1!I367),"",Лист1!I367)</f>
        <v/>
      </c>
      <c r="J367" s="5" t="str">
        <f>IF(ISBLANK(Лист1!J367),"",Лист1!J367)</f>
        <v/>
      </c>
      <c r="K367" s="5" t="str">
        <f>IF(ISBLANK(Лист1!K367),"",Лист1!K367)</f>
        <v/>
      </c>
      <c r="L367" s="5" t="str">
        <f>IF(ISBLANK(Лист1!L367),"",Лист1!L367)</f>
        <v/>
      </c>
      <c r="M367" s="5" t="str">
        <f>IF(ISBLANK(Лист1!M367),"",Лист1!M367)</f>
        <v/>
      </c>
      <c r="N367" s="5" t="str">
        <f>IF(ISBLANK(Лист1!N367),"",Лист1!N367)</f>
        <v/>
      </c>
      <c r="O367" s="5" t="str">
        <f>IF(ISBLANK(Лист1!O367),"",Лист1!O367)</f>
        <v/>
      </c>
      <c r="P367" s="5" t="str">
        <f>IF(ISBLANK(Лист1!P367),"",Лист1!P367)</f>
        <v/>
      </c>
      <c r="Q367" s="5" t="str">
        <f>IF(ISBLANK(Лист1!Q367),"",Лист1!Q367)</f>
        <v/>
      </c>
      <c r="R367" s="5" t="str">
        <f>IF(ISBLANK(Лист1!R367),"",Лист1!R367)</f>
        <v/>
      </c>
      <c r="S367" s="5" t="str">
        <f>IF(ISBLANK(Лист1!S367),"",Лист1!S367)</f>
        <v/>
      </c>
      <c r="T367" s="5" t="str">
        <f>IF(ISBLANK(Лист1!T367),"",Лист1!T367)</f>
        <v/>
      </c>
      <c r="U367" s="5" t="str">
        <f>IF(ISBLANK(Лист1!U367),"",Лист1!U367)</f>
        <v/>
      </c>
      <c r="V367" s="5" t="str">
        <f>IF(ISBLANK(Лист1!V367),"",Лист1!V367)</f>
        <v/>
      </c>
      <c r="W367" s="5" t="str">
        <f>IF(ISBLANK(Лист1!W367),"",Лист1!W367)</f>
        <v/>
      </c>
      <c r="X367" s="5" t="str">
        <f>IF(ISBLANK(Лист1!X367),"",Лист1!X367)</f>
        <v/>
      </c>
      <c r="Y367" s="5" t="str">
        <f>IF(ISERROR(VLOOKUP($X367,Лист2!$A$2:$G$498,1,FALSE)),"",VLOOKUP($X367,Лист2!$A$2:$G$498,1,FALSE))</f>
        <v/>
      </c>
      <c r="Z367" s="5" t="str">
        <f>IF(ISERROR(VLOOKUP($X367,Лист2!$A$2:$G$498,5,FALSE)),"",VLOOKUP($X367,Лист2!$A$2:$G$498,5,FALSE))</f>
        <v/>
      </c>
      <c r="AA367" s="5" t="str">
        <f>IF(ISERROR(VLOOKUP($X367,Лист2!$A$2:$G$498,6,FALSE)),"",VLOOKUP($X367,Лист2!$A$2:$G$498,6,FALSE))</f>
        <v/>
      </c>
      <c r="AB367" s="5" t="str">
        <f>IF(ISERROR(VLOOKUP($X367,Лист2!$A$2:$G$498,7,FALSE)),"",VLOOKUP($X367,Лист2!$A$2:$G$498,7,FALSE))</f>
        <v/>
      </c>
    </row>
    <row r="368" spans="1:28" x14ac:dyDescent="0.25">
      <c r="A368" s="5" t="str">
        <f>IF(ISBLANK(Лист1!A368),"",Лист1!A368)</f>
        <v/>
      </c>
      <c r="B368" s="5" t="str">
        <f>IF(ISBLANK(Лист1!B368),"",Лист1!B368)</f>
        <v/>
      </c>
      <c r="C368" s="5" t="str">
        <f>IF(ISBLANK(Лист1!C368),"",Лист1!C368)</f>
        <v/>
      </c>
      <c r="D368" s="5" t="str">
        <f>IF(ISBLANK(Лист1!D368),"",Лист1!D368)</f>
        <v/>
      </c>
      <c r="E368" s="5" t="str">
        <f>IF(ISBLANK(Лист1!E368),"",Лист1!E368)</f>
        <v/>
      </c>
      <c r="F368" s="5" t="str">
        <f>IF(ISBLANK(Лист1!F368),"",Лист1!F368)</f>
        <v/>
      </c>
      <c r="G368" s="5" t="str">
        <f>IF(ISBLANK(Лист1!G368),"",Лист1!G368)</f>
        <v/>
      </c>
      <c r="H368" s="5" t="str">
        <f>IF(ISBLANK(Лист1!H368),"",Лист1!H368)</f>
        <v/>
      </c>
      <c r="I368" s="5" t="str">
        <f>IF(ISBLANK(Лист1!I368),"",Лист1!I368)</f>
        <v/>
      </c>
      <c r="J368" s="5" t="str">
        <f>IF(ISBLANK(Лист1!J368),"",Лист1!J368)</f>
        <v/>
      </c>
      <c r="K368" s="5" t="str">
        <f>IF(ISBLANK(Лист1!K368),"",Лист1!K368)</f>
        <v/>
      </c>
      <c r="L368" s="5" t="str">
        <f>IF(ISBLANK(Лист1!L368),"",Лист1!L368)</f>
        <v/>
      </c>
      <c r="M368" s="5" t="str">
        <f>IF(ISBLANK(Лист1!M368),"",Лист1!M368)</f>
        <v/>
      </c>
      <c r="N368" s="5" t="str">
        <f>IF(ISBLANK(Лист1!N368),"",Лист1!N368)</f>
        <v/>
      </c>
      <c r="O368" s="5" t="str">
        <f>IF(ISBLANK(Лист1!O368),"",Лист1!O368)</f>
        <v/>
      </c>
      <c r="P368" s="5" t="str">
        <f>IF(ISBLANK(Лист1!P368),"",Лист1!P368)</f>
        <v/>
      </c>
      <c r="Q368" s="5" t="str">
        <f>IF(ISBLANK(Лист1!Q368),"",Лист1!Q368)</f>
        <v/>
      </c>
      <c r="R368" s="5" t="str">
        <f>IF(ISBLANK(Лист1!R368),"",Лист1!R368)</f>
        <v/>
      </c>
      <c r="S368" s="5" t="str">
        <f>IF(ISBLANK(Лист1!S368),"",Лист1!S368)</f>
        <v/>
      </c>
      <c r="T368" s="5" t="str">
        <f>IF(ISBLANK(Лист1!T368),"",Лист1!T368)</f>
        <v/>
      </c>
      <c r="U368" s="5" t="str">
        <f>IF(ISBLANK(Лист1!U368),"",Лист1!U368)</f>
        <v/>
      </c>
      <c r="V368" s="5" t="str">
        <f>IF(ISBLANK(Лист1!V368),"",Лист1!V368)</f>
        <v/>
      </c>
      <c r="W368" s="5" t="str">
        <f>IF(ISBLANK(Лист1!W368),"",Лист1!W368)</f>
        <v/>
      </c>
      <c r="X368" s="5" t="str">
        <f>IF(ISBLANK(Лист1!X368),"",Лист1!X368)</f>
        <v/>
      </c>
      <c r="Y368" s="5" t="str">
        <f>IF(ISERROR(VLOOKUP($X368,Лист2!$A$2:$G$498,1,FALSE)),"",VLOOKUP($X368,Лист2!$A$2:$G$498,1,FALSE))</f>
        <v/>
      </c>
      <c r="Z368" s="5" t="str">
        <f>IF(ISERROR(VLOOKUP($X368,Лист2!$A$2:$G$498,5,FALSE)),"",VLOOKUP($X368,Лист2!$A$2:$G$498,5,FALSE))</f>
        <v/>
      </c>
      <c r="AA368" s="5" t="str">
        <f>IF(ISERROR(VLOOKUP($X368,Лист2!$A$2:$G$498,6,FALSE)),"",VLOOKUP($X368,Лист2!$A$2:$G$498,6,FALSE))</f>
        <v/>
      </c>
      <c r="AB368" s="5" t="str">
        <f>IF(ISERROR(VLOOKUP($X368,Лист2!$A$2:$G$498,7,FALSE)),"",VLOOKUP($X368,Лист2!$A$2:$G$498,7,FALSE))</f>
        <v/>
      </c>
    </row>
    <row r="369" spans="1:28" x14ac:dyDescent="0.25">
      <c r="A369" s="5" t="str">
        <f>IF(ISBLANK(Лист1!A369),"",Лист1!A369)</f>
        <v/>
      </c>
      <c r="B369" s="5" t="str">
        <f>IF(ISBLANK(Лист1!B369),"",Лист1!B369)</f>
        <v/>
      </c>
      <c r="C369" s="5" t="str">
        <f>IF(ISBLANK(Лист1!C369),"",Лист1!C369)</f>
        <v/>
      </c>
      <c r="D369" s="5" t="str">
        <f>IF(ISBLANK(Лист1!D369),"",Лист1!D369)</f>
        <v/>
      </c>
      <c r="E369" s="5" t="str">
        <f>IF(ISBLANK(Лист1!E369),"",Лист1!E369)</f>
        <v/>
      </c>
      <c r="F369" s="5" t="str">
        <f>IF(ISBLANK(Лист1!F369),"",Лист1!F369)</f>
        <v/>
      </c>
      <c r="G369" s="5" t="str">
        <f>IF(ISBLANK(Лист1!G369),"",Лист1!G369)</f>
        <v/>
      </c>
      <c r="H369" s="5" t="str">
        <f>IF(ISBLANK(Лист1!H369),"",Лист1!H369)</f>
        <v/>
      </c>
      <c r="I369" s="5" t="str">
        <f>IF(ISBLANK(Лист1!I369),"",Лист1!I369)</f>
        <v/>
      </c>
      <c r="J369" s="5" t="str">
        <f>IF(ISBLANK(Лист1!J369),"",Лист1!J369)</f>
        <v/>
      </c>
      <c r="K369" s="5" t="str">
        <f>IF(ISBLANK(Лист1!K369),"",Лист1!K369)</f>
        <v/>
      </c>
      <c r="L369" s="5" t="str">
        <f>IF(ISBLANK(Лист1!L369),"",Лист1!L369)</f>
        <v/>
      </c>
      <c r="M369" s="5" t="str">
        <f>IF(ISBLANK(Лист1!M369),"",Лист1!M369)</f>
        <v/>
      </c>
      <c r="N369" s="5" t="str">
        <f>IF(ISBLANK(Лист1!N369),"",Лист1!N369)</f>
        <v/>
      </c>
      <c r="O369" s="5" t="str">
        <f>IF(ISBLANK(Лист1!O369),"",Лист1!O369)</f>
        <v/>
      </c>
      <c r="P369" s="5" t="str">
        <f>IF(ISBLANK(Лист1!P369),"",Лист1!P369)</f>
        <v/>
      </c>
      <c r="Q369" s="5" t="str">
        <f>IF(ISBLANK(Лист1!Q369),"",Лист1!Q369)</f>
        <v/>
      </c>
      <c r="R369" s="5" t="str">
        <f>IF(ISBLANK(Лист1!R369),"",Лист1!R369)</f>
        <v/>
      </c>
      <c r="S369" s="5" t="str">
        <f>IF(ISBLANK(Лист1!S369),"",Лист1!S369)</f>
        <v/>
      </c>
      <c r="T369" s="5" t="str">
        <f>IF(ISBLANK(Лист1!T369),"",Лист1!T369)</f>
        <v/>
      </c>
      <c r="U369" s="5" t="str">
        <f>IF(ISBLANK(Лист1!U369),"",Лист1!U369)</f>
        <v/>
      </c>
      <c r="V369" s="5" t="str">
        <f>IF(ISBLANK(Лист1!V369),"",Лист1!V369)</f>
        <v/>
      </c>
      <c r="W369" s="5" t="str">
        <f>IF(ISBLANK(Лист1!W369),"",Лист1!W369)</f>
        <v/>
      </c>
      <c r="X369" s="5" t="str">
        <f>IF(ISBLANK(Лист1!X369),"",Лист1!X369)</f>
        <v/>
      </c>
      <c r="Y369" s="5" t="str">
        <f>IF(ISERROR(VLOOKUP($X369,Лист2!$A$2:$G$498,1,FALSE)),"",VLOOKUP($X369,Лист2!$A$2:$G$498,1,FALSE))</f>
        <v/>
      </c>
      <c r="Z369" s="5" t="str">
        <f>IF(ISERROR(VLOOKUP($X369,Лист2!$A$2:$G$498,5,FALSE)),"",VLOOKUP($X369,Лист2!$A$2:$G$498,5,FALSE))</f>
        <v/>
      </c>
      <c r="AA369" s="5" t="str">
        <f>IF(ISERROR(VLOOKUP($X369,Лист2!$A$2:$G$498,6,FALSE)),"",VLOOKUP($X369,Лист2!$A$2:$G$498,6,FALSE))</f>
        <v/>
      </c>
      <c r="AB369" s="5" t="str">
        <f>IF(ISERROR(VLOOKUP($X369,Лист2!$A$2:$G$498,7,FALSE)),"",VLOOKUP($X369,Лист2!$A$2:$G$498,7,FALSE))</f>
        <v/>
      </c>
    </row>
    <row r="370" spans="1:28" x14ac:dyDescent="0.25">
      <c r="A370" s="5" t="str">
        <f>IF(ISBLANK(Лист1!A370),"",Лист1!A370)</f>
        <v/>
      </c>
      <c r="B370" s="5" t="str">
        <f>IF(ISBLANK(Лист1!B370),"",Лист1!B370)</f>
        <v/>
      </c>
      <c r="C370" s="5" t="str">
        <f>IF(ISBLANK(Лист1!C370),"",Лист1!C370)</f>
        <v/>
      </c>
      <c r="D370" s="5" t="str">
        <f>IF(ISBLANK(Лист1!D370),"",Лист1!D370)</f>
        <v/>
      </c>
      <c r="E370" s="5" t="str">
        <f>IF(ISBLANK(Лист1!E370),"",Лист1!E370)</f>
        <v/>
      </c>
      <c r="F370" s="5" t="str">
        <f>IF(ISBLANK(Лист1!F370),"",Лист1!F370)</f>
        <v/>
      </c>
      <c r="G370" s="5" t="str">
        <f>IF(ISBLANK(Лист1!G370),"",Лист1!G370)</f>
        <v/>
      </c>
      <c r="H370" s="5" t="str">
        <f>IF(ISBLANK(Лист1!H370),"",Лист1!H370)</f>
        <v/>
      </c>
      <c r="I370" s="5" t="str">
        <f>IF(ISBLANK(Лист1!I370),"",Лист1!I370)</f>
        <v/>
      </c>
      <c r="J370" s="5" t="str">
        <f>IF(ISBLANK(Лист1!J370),"",Лист1!J370)</f>
        <v/>
      </c>
      <c r="K370" s="5" t="str">
        <f>IF(ISBLANK(Лист1!K370),"",Лист1!K370)</f>
        <v/>
      </c>
      <c r="L370" s="5" t="str">
        <f>IF(ISBLANK(Лист1!L370),"",Лист1!L370)</f>
        <v/>
      </c>
      <c r="M370" s="5" t="str">
        <f>IF(ISBLANK(Лист1!M370),"",Лист1!M370)</f>
        <v/>
      </c>
      <c r="N370" s="5" t="str">
        <f>IF(ISBLANK(Лист1!N370),"",Лист1!N370)</f>
        <v/>
      </c>
      <c r="O370" s="5" t="str">
        <f>IF(ISBLANK(Лист1!O370),"",Лист1!O370)</f>
        <v/>
      </c>
      <c r="P370" s="5" t="str">
        <f>IF(ISBLANK(Лист1!P370),"",Лист1!P370)</f>
        <v/>
      </c>
      <c r="Q370" s="5" t="str">
        <f>IF(ISBLANK(Лист1!Q370),"",Лист1!Q370)</f>
        <v/>
      </c>
      <c r="R370" s="5" t="str">
        <f>IF(ISBLANK(Лист1!R370),"",Лист1!R370)</f>
        <v/>
      </c>
      <c r="S370" s="5" t="str">
        <f>IF(ISBLANK(Лист1!S370),"",Лист1!S370)</f>
        <v/>
      </c>
      <c r="T370" s="5" t="str">
        <f>IF(ISBLANK(Лист1!T370),"",Лист1!T370)</f>
        <v/>
      </c>
      <c r="U370" s="5" t="str">
        <f>IF(ISBLANK(Лист1!U370),"",Лист1!U370)</f>
        <v/>
      </c>
      <c r="V370" s="5" t="str">
        <f>IF(ISBLANK(Лист1!V370),"",Лист1!V370)</f>
        <v/>
      </c>
      <c r="W370" s="5" t="str">
        <f>IF(ISBLANK(Лист1!W370),"",Лист1!W370)</f>
        <v/>
      </c>
      <c r="X370" s="5" t="str">
        <f>IF(ISBLANK(Лист1!X370),"",Лист1!X370)</f>
        <v/>
      </c>
      <c r="Y370" s="5" t="str">
        <f>IF(ISERROR(VLOOKUP($X370,Лист2!$A$2:$G$498,1,FALSE)),"",VLOOKUP($X370,Лист2!$A$2:$G$498,1,FALSE))</f>
        <v/>
      </c>
      <c r="Z370" s="5" t="str">
        <f>IF(ISERROR(VLOOKUP($X370,Лист2!$A$2:$G$498,5,FALSE)),"",VLOOKUP($X370,Лист2!$A$2:$G$498,5,FALSE))</f>
        <v/>
      </c>
      <c r="AA370" s="5" t="str">
        <f>IF(ISERROR(VLOOKUP($X370,Лист2!$A$2:$G$498,6,FALSE)),"",VLOOKUP($X370,Лист2!$A$2:$G$498,6,FALSE))</f>
        <v/>
      </c>
      <c r="AB370" s="5" t="str">
        <f>IF(ISERROR(VLOOKUP($X370,Лист2!$A$2:$G$498,7,FALSE)),"",VLOOKUP($X370,Лист2!$A$2:$G$498,7,FALSE))</f>
        <v/>
      </c>
    </row>
    <row r="371" spans="1:28" x14ac:dyDescent="0.25">
      <c r="A371" s="5" t="str">
        <f>IF(ISBLANK(Лист1!A371),"",Лист1!A371)</f>
        <v/>
      </c>
      <c r="B371" s="5" t="str">
        <f>IF(ISBLANK(Лист1!B371),"",Лист1!B371)</f>
        <v/>
      </c>
      <c r="C371" s="5" t="str">
        <f>IF(ISBLANK(Лист1!C371),"",Лист1!C371)</f>
        <v/>
      </c>
      <c r="D371" s="5" t="str">
        <f>IF(ISBLANK(Лист1!D371),"",Лист1!D371)</f>
        <v/>
      </c>
      <c r="E371" s="5" t="str">
        <f>IF(ISBLANK(Лист1!E371),"",Лист1!E371)</f>
        <v/>
      </c>
      <c r="F371" s="5" t="str">
        <f>IF(ISBLANK(Лист1!F371),"",Лист1!F371)</f>
        <v/>
      </c>
      <c r="G371" s="5" t="str">
        <f>IF(ISBLANK(Лист1!G371),"",Лист1!G371)</f>
        <v/>
      </c>
      <c r="H371" s="5" t="str">
        <f>IF(ISBLANK(Лист1!H371),"",Лист1!H371)</f>
        <v/>
      </c>
      <c r="I371" s="5" t="str">
        <f>IF(ISBLANK(Лист1!I371),"",Лист1!I371)</f>
        <v/>
      </c>
      <c r="J371" s="5" t="str">
        <f>IF(ISBLANK(Лист1!J371),"",Лист1!J371)</f>
        <v/>
      </c>
      <c r="K371" s="5" t="str">
        <f>IF(ISBLANK(Лист1!K371),"",Лист1!K371)</f>
        <v/>
      </c>
      <c r="L371" s="5" t="str">
        <f>IF(ISBLANK(Лист1!L371),"",Лист1!L371)</f>
        <v/>
      </c>
      <c r="M371" s="5" t="str">
        <f>IF(ISBLANK(Лист1!M371),"",Лист1!M371)</f>
        <v/>
      </c>
      <c r="N371" s="5" t="str">
        <f>IF(ISBLANK(Лист1!N371),"",Лист1!N371)</f>
        <v/>
      </c>
      <c r="O371" s="5" t="str">
        <f>IF(ISBLANK(Лист1!O371),"",Лист1!O371)</f>
        <v/>
      </c>
      <c r="P371" s="5" t="str">
        <f>IF(ISBLANK(Лист1!P371),"",Лист1!P371)</f>
        <v/>
      </c>
      <c r="Q371" s="5" t="str">
        <f>IF(ISBLANK(Лист1!Q371),"",Лист1!Q371)</f>
        <v/>
      </c>
      <c r="R371" s="5" t="str">
        <f>IF(ISBLANK(Лист1!R371),"",Лист1!R371)</f>
        <v/>
      </c>
      <c r="S371" s="5" t="str">
        <f>IF(ISBLANK(Лист1!S371),"",Лист1!S371)</f>
        <v/>
      </c>
      <c r="T371" s="5" t="str">
        <f>IF(ISBLANK(Лист1!T371),"",Лист1!T371)</f>
        <v/>
      </c>
      <c r="U371" s="5" t="str">
        <f>IF(ISBLANK(Лист1!U371),"",Лист1!U371)</f>
        <v/>
      </c>
      <c r="V371" s="5" t="str">
        <f>IF(ISBLANK(Лист1!V371),"",Лист1!V371)</f>
        <v/>
      </c>
      <c r="W371" s="5" t="str">
        <f>IF(ISBLANK(Лист1!W371),"",Лист1!W371)</f>
        <v/>
      </c>
      <c r="X371" s="5" t="str">
        <f>IF(ISBLANK(Лист1!X371),"",Лист1!X371)</f>
        <v/>
      </c>
      <c r="Y371" s="5" t="str">
        <f>IF(ISERROR(VLOOKUP($X371,Лист2!$A$2:$G$498,1,FALSE)),"",VLOOKUP($X371,Лист2!$A$2:$G$498,1,FALSE))</f>
        <v/>
      </c>
      <c r="Z371" s="5" t="str">
        <f>IF(ISERROR(VLOOKUP($X371,Лист2!$A$2:$G$498,5,FALSE)),"",VLOOKUP($X371,Лист2!$A$2:$G$498,5,FALSE))</f>
        <v/>
      </c>
      <c r="AA371" s="5" t="str">
        <f>IF(ISERROR(VLOOKUP($X371,Лист2!$A$2:$G$498,6,FALSE)),"",VLOOKUP($X371,Лист2!$A$2:$G$498,6,FALSE))</f>
        <v/>
      </c>
      <c r="AB371" s="5" t="str">
        <f>IF(ISERROR(VLOOKUP($X371,Лист2!$A$2:$G$498,7,FALSE)),"",VLOOKUP($X371,Лист2!$A$2:$G$498,7,FALSE))</f>
        <v/>
      </c>
    </row>
    <row r="372" spans="1:28" x14ac:dyDescent="0.25">
      <c r="A372" s="5" t="str">
        <f>IF(ISBLANK(Лист1!A372),"",Лист1!A372)</f>
        <v/>
      </c>
      <c r="B372" s="5" t="str">
        <f>IF(ISBLANK(Лист1!B372),"",Лист1!B372)</f>
        <v/>
      </c>
      <c r="C372" s="5" t="str">
        <f>IF(ISBLANK(Лист1!C372),"",Лист1!C372)</f>
        <v/>
      </c>
      <c r="D372" s="5" t="str">
        <f>IF(ISBLANK(Лист1!D372),"",Лист1!D372)</f>
        <v/>
      </c>
      <c r="E372" s="5" t="str">
        <f>IF(ISBLANK(Лист1!E372),"",Лист1!E372)</f>
        <v/>
      </c>
      <c r="F372" s="5" t="str">
        <f>IF(ISBLANK(Лист1!F372),"",Лист1!F372)</f>
        <v/>
      </c>
      <c r="G372" s="5" t="str">
        <f>IF(ISBLANK(Лист1!G372),"",Лист1!G372)</f>
        <v/>
      </c>
      <c r="H372" s="5" t="str">
        <f>IF(ISBLANK(Лист1!H372),"",Лист1!H372)</f>
        <v/>
      </c>
      <c r="I372" s="5" t="str">
        <f>IF(ISBLANK(Лист1!I372),"",Лист1!I372)</f>
        <v/>
      </c>
      <c r="J372" s="5" t="str">
        <f>IF(ISBLANK(Лист1!J372),"",Лист1!J372)</f>
        <v/>
      </c>
      <c r="K372" s="5" t="str">
        <f>IF(ISBLANK(Лист1!K372),"",Лист1!K372)</f>
        <v/>
      </c>
      <c r="L372" s="5" t="str">
        <f>IF(ISBLANK(Лист1!L372),"",Лист1!L372)</f>
        <v/>
      </c>
      <c r="M372" s="5" t="str">
        <f>IF(ISBLANK(Лист1!M372),"",Лист1!M372)</f>
        <v/>
      </c>
      <c r="N372" s="5" t="str">
        <f>IF(ISBLANK(Лист1!N372),"",Лист1!N372)</f>
        <v/>
      </c>
      <c r="O372" s="5" t="str">
        <f>IF(ISBLANK(Лист1!O372),"",Лист1!O372)</f>
        <v/>
      </c>
      <c r="P372" s="5" t="str">
        <f>IF(ISBLANK(Лист1!P372),"",Лист1!P372)</f>
        <v/>
      </c>
      <c r="Q372" s="5" t="str">
        <f>IF(ISBLANK(Лист1!Q372),"",Лист1!Q372)</f>
        <v/>
      </c>
      <c r="R372" s="5" t="str">
        <f>IF(ISBLANK(Лист1!R372),"",Лист1!R372)</f>
        <v/>
      </c>
      <c r="S372" s="5" t="str">
        <f>IF(ISBLANK(Лист1!S372),"",Лист1!S372)</f>
        <v/>
      </c>
      <c r="T372" s="5" t="str">
        <f>IF(ISBLANK(Лист1!T372),"",Лист1!T372)</f>
        <v/>
      </c>
      <c r="U372" s="5" t="str">
        <f>IF(ISBLANK(Лист1!U372),"",Лист1!U372)</f>
        <v/>
      </c>
      <c r="V372" s="5" t="str">
        <f>IF(ISBLANK(Лист1!V372),"",Лист1!V372)</f>
        <v/>
      </c>
      <c r="W372" s="5" t="str">
        <f>IF(ISBLANK(Лист1!W372),"",Лист1!W372)</f>
        <v/>
      </c>
      <c r="X372" s="5" t="str">
        <f>IF(ISBLANK(Лист1!X372),"",Лист1!X372)</f>
        <v/>
      </c>
      <c r="Y372" s="5" t="str">
        <f>IF(ISERROR(VLOOKUP($X372,Лист2!$A$2:$G$498,1,FALSE)),"",VLOOKUP($X372,Лист2!$A$2:$G$498,1,FALSE))</f>
        <v/>
      </c>
      <c r="Z372" s="5" t="str">
        <f>IF(ISERROR(VLOOKUP($X372,Лист2!$A$2:$G$498,5,FALSE)),"",VLOOKUP($X372,Лист2!$A$2:$G$498,5,FALSE))</f>
        <v/>
      </c>
      <c r="AA372" s="5" t="str">
        <f>IF(ISERROR(VLOOKUP($X372,Лист2!$A$2:$G$498,6,FALSE)),"",VLOOKUP($X372,Лист2!$A$2:$G$498,6,FALSE))</f>
        <v/>
      </c>
      <c r="AB372" s="5" t="str">
        <f>IF(ISERROR(VLOOKUP($X372,Лист2!$A$2:$G$498,7,FALSE)),"",VLOOKUP($X372,Лист2!$A$2:$G$498,7,FALSE))</f>
        <v/>
      </c>
    </row>
    <row r="373" spans="1:28" x14ac:dyDescent="0.25">
      <c r="A373" s="5" t="str">
        <f>IF(ISBLANK(Лист1!A373),"",Лист1!A373)</f>
        <v/>
      </c>
      <c r="B373" s="5" t="str">
        <f>IF(ISBLANK(Лист1!B373),"",Лист1!B373)</f>
        <v/>
      </c>
      <c r="C373" s="5" t="str">
        <f>IF(ISBLANK(Лист1!C373),"",Лист1!C373)</f>
        <v/>
      </c>
      <c r="D373" s="5" t="str">
        <f>IF(ISBLANK(Лист1!D373),"",Лист1!D373)</f>
        <v/>
      </c>
      <c r="E373" s="5" t="str">
        <f>IF(ISBLANK(Лист1!E373),"",Лист1!E373)</f>
        <v/>
      </c>
      <c r="F373" s="5" t="str">
        <f>IF(ISBLANK(Лист1!F373),"",Лист1!F373)</f>
        <v/>
      </c>
      <c r="G373" s="5" t="str">
        <f>IF(ISBLANK(Лист1!G373),"",Лист1!G373)</f>
        <v/>
      </c>
      <c r="H373" s="5" t="str">
        <f>IF(ISBLANK(Лист1!H373),"",Лист1!H373)</f>
        <v/>
      </c>
      <c r="I373" s="5" t="str">
        <f>IF(ISBLANK(Лист1!I373),"",Лист1!I373)</f>
        <v/>
      </c>
      <c r="J373" s="5" t="str">
        <f>IF(ISBLANK(Лист1!J373),"",Лист1!J373)</f>
        <v/>
      </c>
      <c r="K373" s="5" t="str">
        <f>IF(ISBLANK(Лист1!K373),"",Лист1!K373)</f>
        <v/>
      </c>
      <c r="L373" s="5" t="str">
        <f>IF(ISBLANK(Лист1!L373),"",Лист1!L373)</f>
        <v/>
      </c>
      <c r="M373" s="5" t="str">
        <f>IF(ISBLANK(Лист1!M373),"",Лист1!M373)</f>
        <v/>
      </c>
      <c r="N373" s="5" t="str">
        <f>IF(ISBLANK(Лист1!N373),"",Лист1!N373)</f>
        <v/>
      </c>
      <c r="O373" s="5" t="str">
        <f>IF(ISBLANK(Лист1!O373),"",Лист1!O373)</f>
        <v/>
      </c>
      <c r="P373" s="5" t="str">
        <f>IF(ISBLANK(Лист1!P373),"",Лист1!P373)</f>
        <v/>
      </c>
      <c r="Q373" s="5" t="str">
        <f>IF(ISBLANK(Лист1!Q373),"",Лист1!Q373)</f>
        <v/>
      </c>
      <c r="R373" s="5" t="str">
        <f>IF(ISBLANK(Лист1!R373),"",Лист1!R373)</f>
        <v/>
      </c>
      <c r="S373" s="5" t="str">
        <f>IF(ISBLANK(Лист1!S373),"",Лист1!S373)</f>
        <v/>
      </c>
      <c r="T373" s="5" t="str">
        <f>IF(ISBLANK(Лист1!T373),"",Лист1!T373)</f>
        <v/>
      </c>
      <c r="U373" s="5" t="str">
        <f>IF(ISBLANK(Лист1!U373),"",Лист1!U373)</f>
        <v/>
      </c>
      <c r="V373" s="5" t="str">
        <f>IF(ISBLANK(Лист1!V373),"",Лист1!V373)</f>
        <v/>
      </c>
      <c r="W373" s="5" t="str">
        <f>IF(ISBLANK(Лист1!W373),"",Лист1!W373)</f>
        <v/>
      </c>
      <c r="X373" s="5" t="str">
        <f>IF(ISBLANK(Лист1!X373),"",Лист1!X373)</f>
        <v/>
      </c>
      <c r="Y373" s="5" t="str">
        <f>IF(ISERROR(VLOOKUP($X373,Лист2!$A$2:$G$498,1,FALSE)),"",VLOOKUP($X373,Лист2!$A$2:$G$498,1,FALSE))</f>
        <v/>
      </c>
      <c r="Z373" s="5" t="str">
        <f>IF(ISERROR(VLOOKUP($X373,Лист2!$A$2:$G$498,5,FALSE)),"",VLOOKUP($X373,Лист2!$A$2:$G$498,5,FALSE))</f>
        <v/>
      </c>
      <c r="AA373" s="5" t="str">
        <f>IF(ISERROR(VLOOKUP($X373,Лист2!$A$2:$G$498,6,FALSE)),"",VLOOKUP($X373,Лист2!$A$2:$G$498,6,FALSE))</f>
        <v/>
      </c>
      <c r="AB373" s="5" t="str">
        <f>IF(ISERROR(VLOOKUP($X373,Лист2!$A$2:$G$498,7,FALSE)),"",VLOOKUP($X373,Лист2!$A$2:$G$498,7,FALSE))</f>
        <v/>
      </c>
    </row>
    <row r="374" spans="1:28" x14ac:dyDescent="0.25">
      <c r="A374" s="5" t="str">
        <f>IF(ISBLANK(Лист1!A374),"",Лист1!A374)</f>
        <v/>
      </c>
      <c r="B374" s="5" t="str">
        <f>IF(ISBLANK(Лист1!B374),"",Лист1!B374)</f>
        <v/>
      </c>
      <c r="C374" s="5" t="str">
        <f>IF(ISBLANK(Лист1!C374),"",Лист1!C374)</f>
        <v/>
      </c>
      <c r="D374" s="5" t="str">
        <f>IF(ISBLANK(Лист1!D374),"",Лист1!D374)</f>
        <v/>
      </c>
      <c r="E374" s="5" t="str">
        <f>IF(ISBLANK(Лист1!E374),"",Лист1!E374)</f>
        <v/>
      </c>
      <c r="F374" s="5" t="str">
        <f>IF(ISBLANK(Лист1!F374),"",Лист1!F374)</f>
        <v/>
      </c>
      <c r="G374" s="5" t="str">
        <f>IF(ISBLANK(Лист1!G374),"",Лист1!G374)</f>
        <v/>
      </c>
      <c r="H374" s="5" t="str">
        <f>IF(ISBLANK(Лист1!H374),"",Лист1!H374)</f>
        <v/>
      </c>
      <c r="I374" s="5" t="str">
        <f>IF(ISBLANK(Лист1!I374),"",Лист1!I374)</f>
        <v/>
      </c>
      <c r="J374" s="5" t="str">
        <f>IF(ISBLANK(Лист1!J374),"",Лист1!J374)</f>
        <v/>
      </c>
      <c r="K374" s="5" t="str">
        <f>IF(ISBLANK(Лист1!K374),"",Лист1!K374)</f>
        <v/>
      </c>
      <c r="L374" s="5" t="str">
        <f>IF(ISBLANK(Лист1!L374),"",Лист1!L374)</f>
        <v/>
      </c>
      <c r="M374" s="5" t="str">
        <f>IF(ISBLANK(Лист1!M374),"",Лист1!M374)</f>
        <v/>
      </c>
      <c r="N374" s="5" t="str">
        <f>IF(ISBLANK(Лист1!N374),"",Лист1!N374)</f>
        <v/>
      </c>
      <c r="O374" s="5" t="str">
        <f>IF(ISBLANK(Лист1!O374),"",Лист1!O374)</f>
        <v/>
      </c>
      <c r="P374" s="5" t="str">
        <f>IF(ISBLANK(Лист1!P374),"",Лист1!P374)</f>
        <v/>
      </c>
      <c r="Q374" s="5" t="str">
        <f>IF(ISBLANK(Лист1!Q374),"",Лист1!Q374)</f>
        <v/>
      </c>
      <c r="R374" s="5" t="str">
        <f>IF(ISBLANK(Лист1!R374),"",Лист1!R374)</f>
        <v/>
      </c>
      <c r="S374" s="5" t="str">
        <f>IF(ISBLANK(Лист1!S374),"",Лист1!S374)</f>
        <v/>
      </c>
      <c r="T374" s="5" t="str">
        <f>IF(ISBLANK(Лист1!T374),"",Лист1!T374)</f>
        <v/>
      </c>
      <c r="U374" s="5" t="str">
        <f>IF(ISBLANK(Лист1!U374),"",Лист1!U374)</f>
        <v/>
      </c>
      <c r="V374" s="5" t="str">
        <f>IF(ISBLANK(Лист1!V374),"",Лист1!V374)</f>
        <v/>
      </c>
      <c r="W374" s="5" t="str">
        <f>IF(ISBLANK(Лист1!W374),"",Лист1!W374)</f>
        <v/>
      </c>
      <c r="X374" s="5" t="str">
        <f>IF(ISBLANK(Лист1!X374),"",Лист1!X374)</f>
        <v/>
      </c>
      <c r="Y374" s="5" t="str">
        <f>IF(ISERROR(VLOOKUP($X374,Лист2!$A$2:$G$498,1,FALSE)),"",VLOOKUP($X374,Лист2!$A$2:$G$498,1,FALSE))</f>
        <v/>
      </c>
      <c r="Z374" s="5" t="str">
        <f>IF(ISERROR(VLOOKUP($X374,Лист2!$A$2:$G$498,5,FALSE)),"",VLOOKUP($X374,Лист2!$A$2:$G$498,5,FALSE))</f>
        <v/>
      </c>
      <c r="AA374" s="5" t="str">
        <f>IF(ISERROR(VLOOKUP($X374,Лист2!$A$2:$G$498,6,FALSE)),"",VLOOKUP($X374,Лист2!$A$2:$G$498,6,FALSE))</f>
        <v/>
      </c>
      <c r="AB374" s="5" t="str">
        <f>IF(ISERROR(VLOOKUP($X374,Лист2!$A$2:$G$498,7,FALSE)),"",VLOOKUP($X374,Лист2!$A$2:$G$498,7,FALSE))</f>
        <v/>
      </c>
    </row>
    <row r="375" spans="1:28" x14ac:dyDescent="0.25">
      <c r="A375" s="5" t="str">
        <f>IF(ISBLANK(Лист1!A375),"",Лист1!A375)</f>
        <v/>
      </c>
      <c r="B375" s="5" t="str">
        <f>IF(ISBLANK(Лист1!B375),"",Лист1!B375)</f>
        <v/>
      </c>
      <c r="C375" s="5" t="str">
        <f>IF(ISBLANK(Лист1!C375),"",Лист1!C375)</f>
        <v/>
      </c>
      <c r="D375" s="5" t="str">
        <f>IF(ISBLANK(Лист1!D375),"",Лист1!D375)</f>
        <v/>
      </c>
      <c r="E375" s="5" t="str">
        <f>IF(ISBLANK(Лист1!E375),"",Лист1!E375)</f>
        <v/>
      </c>
      <c r="F375" s="5" t="str">
        <f>IF(ISBLANK(Лист1!F375),"",Лист1!F375)</f>
        <v/>
      </c>
      <c r="G375" s="5" t="str">
        <f>IF(ISBLANK(Лист1!G375),"",Лист1!G375)</f>
        <v/>
      </c>
      <c r="H375" s="5" t="str">
        <f>IF(ISBLANK(Лист1!H375),"",Лист1!H375)</f>
        <v/>
      </c>
      <c r="I375" s="5" t="str">
        <f>IF(ISBLANK(Лист1!I375),"",Лист1!I375)</f>
        <v/>
      </c>
      <c r="J375" s="5" t="str">
        <f>IF(ISBLANK(Лист1!J375),"",Лист1!J375)</f>
        <v/>
      </c>
      <c r="K375" s="5" t="str">
        <f>IF(ISBLANK(Лист1!K375),"",Лист1!K375)</f>
        <v/>
      </c>
      <c r="L375" s="5" t="str">
        <f>IF(ISBLANK(Лист1!L375),"",Лист1!L375)</f>
        <v/>
      </c>
      <c r="M375" s="5" t="str">
        <f>IF(ISBLANK(Лист1!M375),"",Лист1!M375)</f>
        <v/>
      </c>
      <c r="N375" s="5" t="str">
        <f>IF(ISBLANK(Лист1!N375),"",Лист1!N375)</f>
        <v/>
      </c>
      <c r="O375" s="5" t="str">
        <f>IF(ISBLANK(Лист1!O375),"",Лист1!O375)</f>
        <v/>
      </c>
      <c r="P375" s="5" t="str">
        <f>IF(ISBLANK(Лист1!P375),"",Лист1!P375)</f>
        <v/>
      </c>
      <c r="Q375" s="5" t="str">
        <f>IF(ISBLANK(Лист1!Q375),"",Лист1!Q375)</f>
        <v/>
      </c>
      <c r="R375" s="5" t="str">
        <f>IF(ISBLANK(Лист1!R375),"",Лист1!R375)</f>
        <v/>
      </c>
      <c r="S375" s="5" t="str">
        <f>IF(ISBLANK(Лист1!S375),"",Лист1!S375)</f>
        <v/>
      </c>
      <c r="T375" s="5" t="str">
        <f>IF(ISBLANK(Лист1!T375),"",Лист1!T375)</f>
        <v/>
      </c>
      <c r="U375" s="5" t="str">
        <f>IF(ISBLANK(Лист1!U375),"",Лист1!U375)</f>
        <v/>
      </c>
      <c r="V375" s="5" t="str">
        <f>IF(ISBLANK(Лист1!V375),"",Лист1!V375)</f>
        <v/>
      </c>
      <c r="W375" s="5" t="str">
        <f>IF(ISBLANK(Лист1!W375),"",Лист1!W375)</f>
        <v/>
      </c>
      <c r="X375" s="5" t="str">
        <f>IF(ISBLANK(Лист1!X375),"",Лист1!X375)</f>
        <v/>
      </c>
      <c r="Y375" s="5" t="str">
        <f>IF(ISERROR(VLOOKUP($X375,Лист2!$A$2:$G$498,1,FALSE)),"",VLOOKUP($X375,Лист2!$A$2:$G$498,1,FALSE))</f>
        <v/>
      </c>
      <c r="Z375" s="5" t="str">
        <f>IF(ISERROR(VLOOKUP($X375,Лист2!$A$2:$G$498,5,FALSE)),"",VLOOKUP($X375,Лист2!$A$2:$G$498,5,FALSE))</f>
        <v/>
      </c>
      <c r="AA375" s="5" t="str">
        <f>IF(ISERROR(VLOOKUP($X375,Лист2!$A$2:$G$498,6,FALSE)),"",VLOOKUP($X375,Лист2!$A$2:$G$498,6,FALSE))</f>
        <v/>
      </c>
      <c r="AB375" s="5" t="str">
        <f>IF(ISERROR(VLOOKUP($X375,Лист2!$A$2:$G$498,7,FALSE)),"",VLOOKUP($X375,Лист2!$A$2:$G$498,7,FALSE))</f>
        <v/>
      </c>
    </row>
    <row r="376" spans="1:28" x14ac:dyDescent="0.25">
      <c r="A376" s="5" t="str">
        <f>IF(ISBLANK(Лист1!A376),"",Лист1!A376)</f>
        <v/>
      </c>
      <c r="B376" s="5" t="str">
        <f>IF(ISBLANK(Лист1!B376),"",Лист1!B376)</f>
        <v/>
      </c>
      <c r="C376" s="5" t="str">
        <f>IF(ISBLANK(Лист1!C376),"",Лист1!C376)</f>
        <v/>
      </c>
      <c r="D376" s="5" t="str">
        <f>IF(ISBLANK(Лист1!D376),"",Лист1!D376)</f>
        <v/>
      </c>
      <c r="E376" s="5" t="str">
        <f>IF(ISBLANK(Лист1!E376),"",Лист1!E376)</f>
        <v/>
      </c>
      <c r="F376" s="5" t="str">
        <f>IF(ISBLANK(Лист1!F376),"",Лист1!F376)</f>
        <v/>
      </c>
      <c r="G376" s="5" t="str">
        <f>IF(ISBLANK(Лист1!G376),"",Лист1!G376)</f>
        <v/>
      </c>
      <c r="H376" s="5" t="str">
        <f>IF(ISBLANK(Лист1!H376),"",Лист1!H376)</f>
        <v/>
      </c>
      <c r="I376" s="5" t="str">
        <f>IF(ISBLANK(Лист1!I376),"",Лист1!I376)</f>
        <v/>
      </c>
      <c r="J376" s="5" t="str">
        <f>IF(ISBLANK(Лист1!J376),"",Лист1!J376)</f>
        <v/>
      </c>
      <c r="K376" s="5" t="str">
        <f>IF(ISBLANK(Лист1!K376),"",Лист1!K376)</f>
        <v/>
      </c>
      <c r="L376" s="5" t="str">
        <f>IF(ISBLANK(Лист1!L376),"",Лист1!L376)</f>
        <v/>
      </c>
      <c r="M376" s="5" t="str">
        <f>IF(ISBLANK(Лист1!M376),"",Лист1!M376)</f>
        <v/>
      </c>
      <c r="N376" s="5" t="str">
        <f>IF(ISBLANK(Лист1!N376),"",Лист1!N376)</f>
        <v/>
      </c>
      <c r="O376" s="5" t="str">
        <f>IF(ISBLANK(Лист1!O376),"",Лист1!O376)</f>
        <v/>
      </c>
      <c r="P376" s="5" t="str">
        <f>IF(ISBLANK(Лист1!P376),"",Лист1!P376)</f>
        <v/>
      </c>
      <c r="Q376" s="5" t="str">
        <f>IF(ISBLANK(Лист1!Q376),"",Лист1!Q376)</f>
        <v/>
      </c>
      <c r="R376" s="5" t="str">
        <f>IF(ISBLANK(Лист1!R376),"",Лист1!R376)</f>
        <v/>
      </c>
      <c r="S376" s="5" t="str">
        <f>IF(ISBLANK(Лист1!S376),"",Лист1!S376)</f>
        <v/>
      </c>
      <c r="T376" s="5" t="str">
        <f>IF(ISBLANK(Лист1!T376),"",Лист1!T376)</f>
        <v/>
      </c>
      <c r="U376" s="5" t="str">
        <f>IF(ISBLANK(Лист1!U376),"",Лист1!U376)</f>
        <v/>
      </c>
      <c r="V376" s="5" t="str">
        <f>IF(ISBLANK(Лист1!V376),"",Лист1!V376)</f>
        <v/>
      </c>
      <c r="W376" s="5" t="str">
        <f>IF(ISBLANK(Лист1!W376),"",Лист1!W376)</f>
        <v/>
      </c>
      <c r="X376" s="5" t="str">
        <f>IF(ISBLANK(Лист1!X376),"",Лист1!X376)</f>
        <v/>
      </c>
      <c r="Y376" s="5" t="str">
        <f>IF(ISERROR(VLOOKUP($X376,Лист2!$A$2:$G$498,1,FALSE)),"",VLOOKUP($X376,Лист2!$A$2:$G$498,1,FALSE))</f>
        <v/>
      </c>
      <c r="Z376" s="5" t="str">
        <f>IF(ISERROR(VLOOKUP($X376,Лист2!$A$2:$G$498,5,FALSE)),"",VLOOKUP($X376,Лист2!$A$2:$G$498,5,FALSE))</f>
        <v/>
      </c>
      <c r="AA376" s="5" t="str">
        <f>IF(ISERROR(VLOOKUP($X376,Лист2!$A$2:$G$498,6,FALSE)),"",VLOOKUP($X376,Лист2!$A$2:$G$498,6,FALSE))</f>
        <v/>
      </c>
      <c r="AB376" s="5" t="str">
        <f>IF(ISERROR(VLOOKUP($X376,Лист2!$A$2:$G$498,7,FALSE)),"",VLOOKUP($X376,Лист2!$A$2:$G$498,7,FALSE))</f>
        <v/>
      </c>
    </row>
    <row r="377" spans="1:28" x14ac:dyDescent="0.25">
      <c r="A377" s="5" t="str">
        <f>IF(ISBLANK(Лист1!A377),"",Лист1!A377)</f>
        <v/>
      </c>
      <c r="B377" s="5" t="str">
        <f>IF(ISBLANK(Лист1!B377),"",Лист1!B377)</f>
        <v/>
      </c>
      <c r="C377" s="5" t="str">
        <f>IF(ISBLANK(Лист1!C377),"",Лист1!C377)</f>
        <v/>
      </c>
      <c r="D377" s="5" t="str">
        <f>IF(ISBLANK(Лист1!D377),"",Лист1!D377)</f>
        <v/>
      </c>
      <c r="E377" s="5" t="str">
        <f>IF(ISBLANK(Лист1!E377),"",Лист1!E377)</f>
        <v/>
      </c>
      <c r="F377" s="5" t="str">
        <f>IF(ISBLANK(Лист1!F377),"",Лист1!F377)</f>
        <v/>
      </c>
      <c r="G377" s="5" t="str">
        <f>IF(ISBLANK(Лист1!G377),"",Лист1!G377)</f>
        <v/>
      </c>
      <c r="H377" s="5" t="str">
        <f>IF(ISBLANK(Лист1!H377),"",Лист1!H377)</f>
        <v/>
      </c>
      <c r="I377" s="5" t="str">
        <f>IF(ISBLANK(Лист1!I377),"",Лист1!I377)</f>
        <v/>
      </c>
      <c r="J377" s="5" t="str">
        <f>IF(ISBLANK(Лист1!J377),"",Лист1!J377)</f>
        <v/>
      </c>
      <c r="K377" s="5" t="str">
        <f>IF(ISBLANK(Лист1!K377),"",Лист1!K377)</f>
        <v/>
      </c>
      <c r="L377" s="5" t="str">
        <f>IF(ISBLANK(Лист1!L377),"",Лист1!L377)</f>
        <v/>
      </c>
      <c r="M377" s="5" t="str">
        <f>IF(ISBLANK(Лист1!M377),"",Лист1!M377)</f>
        <v/>
      </c>
      <c r="N377" s="5" t="str">
        <f>IF(ISBLANK(Лист1!N377),"",Лист1!N377)</f>
        <v/>
      </c>
      <c r="O377" s="5" t="str">
        <f>IF(ISBLANK(Лист1!O377),"",Лист1!O377)</f>
        <v/>
      </c>
      <c r="P377" s="5" t="str">
        <f>IF(ISBLANK(Лист1!P377),"",Лист1!P377)</f>
        <v/>
      </c>
      <c r="Q377" s="5" t="str">
        <f>IF(ISBLANK(Лист1!Q377),"",Лист1!Q377)</f>
        <v/>
      </c>
      <c r="R377" s="5" t="str">
        <f>IF(ISBLANK(Лист1!R377),"",Лист1!R377)</f>
        <v/>
      </c>
      <c r="S377" s="5" t="str">
        <f>IF(ISBLANK(Лист1!S377),"",Лист1!S377)</f>
        <v/>
      </c>
      <c r="T377" s="5" t="str">
        <f>IF(ISBLANK(Лист1!T377),"",Лист1!T377)</f>
        <v/>
      </c>
      <c r="U377" s="5" t="str">
        <f>IF(ISBLANK(Лист1!U377),"",Лист1!U377)</f>
        <v/>
      </c>
      <c r="V377" s="5" t="str">
        <f>IF(ISBLANK(Лист1!V377),"",Лист1!V377)</f>
        <v/>
      </c>
      <c r="W377" s="5" t="str">
        <f>IF(ISBLANK(Лист1!W377),"",Лист1!W377)</f>
        <v/>
      </c>
      <c r="X377" s="5" t="str">
        <f>IF(ISBLANK(Лист1!X377),"",Лист1!X377)</f>
        <v/>
      </c>
      <c r="Y377" s="5" t="str">
        <f>IF(ISERROR(VLOOKUP($X377,Лист2!$A$2:$G$498,1,FALSE)),"",VLOOKUP($X377,Лист2!$A$2:$G$498,1,FALSE))</f>
        <v/>
      </c>
      <c r="Z377" s="5" t="str">
        <f>IF(ISERROR(VLOOKUP($X377,Лист2!$A$2:$G$498,5,FALSE)),"",VLOOKUP($X377,Лист2!$A$2:$G$498,5,FALSE))</f>
        <v/>
      </c>
      <c r="AA377" s="5" t="str">
        <f>IF(ISERROR(VLOOKUP($X377,Лист2!$A$2:$G$498,6,FALSE)),"",VLOOKUP($X377,Лист2!$A$2:$G$498,6,FALSE))</f>
        <v/>
      </c>
      <c r="AB377" s="5" t="str">
        <f>IF(ISERROR(VLOOKUP($X377,Лист2!$A$2:$G$498,7,FALSE)),"",VLOOKUP($X377,Лист2!$A$2:$G$498,7,FALSE))</f>
        <v/>
      </c>
    </row>
    <row r="378" spans="1:28" x14ac:dyDescent="0.25">
      <c r="A378" s="5" t="str">
        <f>IF(ISBLANK(Лист1!A378),"",Лист1!A378)</f>
        <v/>
      </c>
      <c r="B378" s="5" t="str">
        <f>IF(ISBLANK(Лист1!B378),"",Лист1!B378)</f>
        <v/>
      </c>
      <c r="C378" s="5" t="str">
        <f>IF(ISBLANK(Лист1!C378),"",Лист1!C378)</f>
        <v/>
      </c>
      <c r="D378" s="5" t="str">
        <f>IF(ISBLANK(Лист1!D378),"",Лист1!D378)</f>
        <v/>
      </c>
      <c r="E378" s="5" t="str">
        <f>IF(ISBLANK(Лист1!E378),"",Лист1!E378)</f>
        <v/>
      </c>
      <c r="F378" s="5" t="str">
        <f>IF(ISBLANK(Лист1!F378),"",Лист1!F378)</f>
        <v/>
      </c>
      <c r="G378" s="5" t="str">
        <f>IF(ISBLANK(Лист1!G378),"",Лист1!G378)</f>
        <v/>
      </c>
      <c r="H378" s="5" t="str">
        <f>IF(ISBLANK(Лист1!H378),"",Лист1!H378)</f>
        <v/>
      </c>
      <c r="I378" s="5" t="str">
        <f>IF(ISBLANK(Лист1!I378),"",Лист1!I378)</f>
        <v/>
      </c>
      <c r="J378" s="5" t="str">
        <f>IF(ISBLANK(Лист1!J378),"",Лист1!J378)</f>
        <v/>
      </c>
      <c r="K378" s="5" t="str">
        <f>IF(ISBLANK(Лист1!K378),"",Лист1!K378)</f>
        <v/>
      </c>
      <c r="L378" s="5" t="str">
        <f>IF(ISBLANK(Лист1!L378),"",Лист1!L378)</f>
        <v/>
      </c>
      <c r="M378" s="5" t="str">
        <f>IF(ISBLANK(Лист1!M378),"",Лист1!M378)</f>
        <v/>
      </c>
      <c r="N378" s="5" t="str">
        <f>IF(ISBLANK(Лист1!N378),"",Лист1!N378)</f>
        <v/>
      </c>
      <c r="O378" s="5" t="str">
        <f>IF(ISBLANK(Лист1!O378),"",Лист1!O378)</f>
        <v/>
      </c>
      <c r="P378" s="5" t="str">
        <f>IF(ISBLANK(Лист1!P378),"",Лист1!P378)</f>
        <v/>
      </c>
      <c r="Q378" s="5" t="str">
        <f>IF(ISBLANK(Лист1!Q378),"",Лист1!Q378)</f>
        <v/>
      </c>
      <c r="R378" s="5" t="str">
        <f>IF(ISBLANK(Лист1!R378),"",Лист1!R378)</f>
        <v/>
      </c>
      <c r="S378" s="5" t="str">
        <f>IF(ISBLANK(Лист1!S378),"",Лист1!S378)</f>
        <v/>
      </c>
      <c r="T378" s="5" t="str">
        <f>IF(ISBLANK(Лист1!T378),"",Лист1!T378)</f>
        <v/>
      </c>
      <c r="U378" s="5" t="str">
        <f>IF(ISBLANK(Лист1!U378),"",Лист1!U378)</f>
        <v/>
      </c>
      <c r="V378" s="5" t="str">
        <f>IF(ISBLANK(Лист1!V378),"",Лист1!V378)</f>
        <v/>
      </c>
      <c r="W378" s="5" t="str">
        <f>IF(ISBLANK(Лист1!W378),"",Лист1!W378)</f>
        <v/>
      </c>
      <c r="X378" s="5" t="str">
        <f>IF(ISBLANK(Лист1!X378),"",Лист1!X378)</f>
        <v/>
      </c>
      <c r="Y378" s="5" t="str">
        <f>IF(ISERROR(VLOOKUP($X378,Лист2!$A$2:$G$498,1,FALSE)),"",VLOOKUP($X378,Лист2!$A$2:$G$498,1,FALSE))</f>
        <v/>
      </c>
      <c r="Z378" s="5" t="str">
        <f>IF(ISERROR(VLOOKUP($X378,Лист2!$A$2:$G$498,5,FALSE)),"",VLOOKUP($X378,Лист2!$A$2:$G$498,5,FALSE))</f>
        <v/>
      </c>
      <c r="AA378" s="5" t="str">
        <f>IF(ISERROR(VLOOKUP($X378,Лист2!$A$2:$G$498,6,FALSE)),"",VLOOKUP($X378,Лист2!$A$2:$G$498,6,FALSE))</f>
        <v/>
      </c>
      <c r="AB378" s="5" t="str">
        <f>IF(ISERROR(VLOOKUP($X378,Лист2!$A$2:$G$498,7,FALSE)),"",VLOOKUP($X378,Лист2!$A$2:$G$498,7,FALSE))</f>
        <v/>
      </c>
    </row>
    <row r="379" spans="1:28" x14ac:dyDescent="0.25">
      <c r="A379" s="5" t="str">
        <f>IF(ISBLANK(Лист1!A379),"",Лист1!A379)</f>
        <v/>
      </c>
      <c r="B379" s="5" t="str">
        <f>IF(ISBLANK(Лист1!B379),"",Лист1!B379)</f>
        <v/>
      </c>
      <c r="C379" s="5" t="str">
        <f>IF(ISBLANK(Лист1!C379),"",Лист1!C379)</f>
        <v/>
      </c>
      <c r="D379" s="5" t="str">
        <f>IF(ISBLANK(Лист1!D379),"",Лист1!D379)</f>
        <v/>
      </c>
      <c r="E379" s="5" t="str">
        <f>IF(ISBLANK(Лист1!E379),"",Лист1!E379)</f>
        <v/>
      </c>
      <c r="F379" s="5" t="str">
        <f>IF(ISBLANK(Лист1!F379),"",Лист1!F379)</f>
        <v/>
      </c>
      <c r="G379" s="5" t="str">
        <f>IF(ISBLANK(Лист1!G379),"",Лист1!G379)</f>
        <v/>
      </c>
      <c r="H379" s="5" t="str">
        <f>IF(ISBLANK(Лист1!H379),"",Лист1!H379)</f>
        <v/>
      </c>
      <c r="I379" s="5" t="str">
        <f>IF(ISBLANK(Лист1!I379),"",Лист1!I379)</f>
        <v/>
      </c>
      <c r="J379" s="5" t="str">
        <f>IF(ISBLANK(Лист1!J379),"",Лист1!J379)</f>
        <v/>
      </c>
      <c r="K379" s="5" t="str">
        <f>IF(ISBLANK(Лист1!K379),"",Лист1!K379)</f>
        <v/>
      </c>
      <c r="L379" s="5" t="str">
        <f>IF(ISBLANK(Лист1!L379),"",Лист1!L379)</f>
        <v/>
      </c>
      <c r="M379" s="5" t="str">
        <f>IF(ISBLANK(Лист1!M379),"",Лист1!M379)</f>
        <v/>
      </c>
      <c r="N379" s="5" t="str">
        <f>IF(ISBLANK(Лист1!N379),"",Лист1!N379)</f>
        <v/>
      </c>
      <c r="O379" s="5" t="str">
        <f>IF(ISBLANK(Лист1!O379),"",Лист1!O379)</f>
        <v/>
      </c>
      <c r="P379" s="5" t="str">
        <f>IF(ISBLANK(Лист1!P379),"",Лист1!P379)</f>
        <v/>
      </c>
      <c r="Q379" s="5" t="str">
        <f>IF(ISBLANK(Лист1!Q379),"",Лист1!Q379)</f>
        <v/>
      </c>
      <c r="R379" s="5" t="str">
        <f>IF(ISBLANK(Лист1!R379),"",Лист1!R379)</f>
        <v/>
      </c>
      <c r="S379" s="5" t="str">
        <f>IF(ISBLANK(Лист1!S379),"",Лист1!S379)</f>
        <v/>
      </c>
      <c r="T379" s="5" t="str">
        <f>IF(ISBLANK(Лист1!T379),"",Лист1!T379)</f>
        <v/>
      </c>
      <c r="U379" s="5" t="str">
        <f>IF(ISBLANK(Лист1!U379),"",Лист1!U379)</f>
        <v/>
      </c>
      <c r="V379" s="5" t="str">
        <f>IF(ISBLANK(Лист1!V379),"",Лист1!V379)</f>
        <v/>
      </c>
      <c r="W379" s="5" t="str">
        <f>IF(ISBLANK(Лист1!W379),"",Лист1!W379)</f>
        <v/>
      </c>
      <c r="X379" s="5" t="str">
        <f>IF(ISBLANK(Лист1!X379),"",Лист1!X379)</f>
        <v/>
      </c>
      <c r="Y379" s="5" t="str">
        <f>IF(ISERROR(VLOOKUP($X379,Лист2!$A$2:$G$498,1,FALSE)),"",VLOOKUP($X379,Лист2!$A$2:$G$498,1,FALSE))</f>
        <v/>
      </c>
      <c r="Z379" s="5" t="str">
        <f>IF(ISERROR(VLOOKUP($X379,Лист2!$A$2:$G$498,5,FALSE)),"",VLOOKUP($X379,Лист2!$A$2:$G$498,5,FALSE))</f>
        <v/>
      </c>
      <c r="AA379" s="5" t="str">
        <f>IF(ISERROR(VLOOKUP($X379,Лист2!$A$2:$G$498,6,FALSE)),"",VLOOKUP($X379,Лист2!$A$2:$G$498,6,FALSE))</f>
        <v/>
      </c>
      <c r="AB379" s="5" t="str">
        <f>IF(ISERROR(VLOOKUP($X379,Лист2!$A$2:$G$498,7,FALSE)),"",VLOOKUP($X379,Лист2!$A$2:$G$498,7,FALSE))</f>
        <v/>
      </c>
    </row>
    <row r="380" spans="1:28" x14ac:dyDescent="0.25">
      <c r="A380" s="5" t="str">
        <f>IF(ISBLANK(Лист1!A380),"",Лист1!A380)</f>
        <v/>
      </c>
      <c r="B380" s="5" t="str">
        <f>IF(ISBLANK(Лист1!B380),"",Лист1!B380)</f>
        <v/>
      </c>
      <c r="C380" s="5" t="str">
        <f>IF(ISBLANK(Лист1!C380),"",Лист1!C380)</f>
        <v/>
      </c>
      <c r="D380" s="5" t="str">
        <f>IF(ISBLANK(Лист1!D380),"",Лист1!D380)</f>
        <v/>
      </c>
      <c r="E380" s="5" t="str">
        <f>IF(ISBLANK(Лист1!E380),"",Лист1!E380)</f>
        <v/>
      </c>
      <c r="F380" s="5" t="str">
        <f>IF(ISBLANK(Лист1!F380),"",Лист1!F380)</f>
        <v/>
      </c>
      <c r="G380" s="5" t="str">
        <f>IF(ISBLANK(Лист1!G380),"",Лист1!G380)</f>
        <v/>
      </c>
      <c r="H380" s="5" t="str">
        <f>IF(ISBLANK(Лист1!H380),"",Лист1!H380)</f>
        <v/>
      </c>
      <c r="I380" s="5" t="str">
        <f>IF(ISBLANK(Лист1!I380),"",Лист1!I380)</f>
        <v/>
      </c>
      <c r="J380" s="5" t="str">
        <f>IF(ISBLANK(Лист1!J380),"",Лист1!J380)</f>
        <v/>
      </c>
      <c r="K380" s="5" t="str">
        <f>IF(ISBLANK(Лист1!K380),"",Лист1!K380)</f>
        <v/>
      </c>
      <c r="L380" s="5" t="str">
        <f>IF(ISBLANK(Лист1!L380),"",Лист1!L380)</f>
        <v/>
      </c>
      <c r="M380" s="5" t="str">
        <f>IF(ISBLANK(Лист1!M380),"",Лист1!M380)</f>
        <v/>
      </c>
      <c r="N380" s="5" t="str">
        <f>IF(ISBLANK(Лист1!N380),"",Лист1!N380)</f>
        <v/>
      </c>
      <c r="O380" s="5" t="str">
        <f>IF(ISBLANK(Лист1!O380),"",Лист1!O380)</f>
        <v/>
      </c>
      <c r="P380" s="5" t="str">
        <f>IF(ISBLANK(Лист1!P380),"",Лист1!P380)</f>
        <v/>
      </c>
      <c r="Q380" s="5" t="str">
        <f>IF(ISBLANK(Лист1!Q380),"",Лист1!Q380)</f>
        <v/>
      </c>
      <c r="R380" s="5" t="str">
        <f>IF(ISBLANK(Лист1!R380),"",Лист1!R380)</f>
        <v/>
      </c>
      <c r="S380" s="5" t="str">
        <f>IF(ISBLANK(Лист1!S380),"",Лист1!S380)</f>
        <v/>
      </c>
      <c r="T380" s="5" t="str">
        <f>IF(ISBLANK(Лист1!T380),"",Лист1!T380)</f>
        <v/>
      </c>
      <c r="U380" s="5" t="str">
        <f>IF(ISBLANK(Лист1!U380),"",Лист1!U380)</f>
        <v/>
      </c>
      <c r="V380" s="5" t="str">
        <f>IF(ISBLANK(Лист1!V380),"",Лист1!V380)</f>
        <v/>
      </c>
      <c r="W380" s="5" t="str">
        <f>IF(ISBLANK(Лист1!W380),"",Лист1!W380)</f>
        <v/>
      </c>
      <c r="X380" s="5" t="str">
        <f>IF(ISBLANK(Лист1!X380),"",Лист1!X380)</f>
        <v/>
      </c>
      <c r="Y380" s="5" t="str">
        <f>IF(ISERROR(VLOOKUP($X380,Лист2!$A$2:$G$498,1,FALSE)),"",VLOOKUP($X380,Лист2!$A$2:$G$498,1,FALSE))</f>
        <v/>
      </c>
      <c r="Z380" s="5" t="str">
        <f>IF(ISERROR(VLOOKUP($X380,Лист2!$A$2:$G$498,5,FALSE)),"",VLOOKUP($X380,Лист2!$A$2:$G$498,5,FALSE))</f>
        <v/>
      </c>
      <c r="AA380" s="5" t="str">
        <f>IF(ISERROR(VLOOKUP($X380,Лист2!$A$2:$G$498,6,FALSE)),"",VLOOKUP($X380,Лист2!$A$2:$G$498,6,FALSE))</f>
        <v/>
      </c>
      <c r="AB380" s="5" t="str">
        <f>IF(ISERROR(VLOOKUP($X380,Лист2!$A$2:$G$498,7,FALSE)),"",VLOOKUP($X380,Лист2!$A$2:$G$498,7,FALSE))</f>
        <v/>
      </c>
    </row>
    <row r="381" spans="1:28" x14ac:dyDescent="0.25">
      <c r="A381" s="5" t="str">
        <f>IF(ISBLANK(Лист1!A381),"",Лист1!A381)</f>
        <v/>
      </c>
      <c r="B381" s="5" t="str">
        <f>IF(ISBLANK(Лист1!B381),"",Лист1!B381)</f>
        <v/>
      </c>
      <c r="C381" s="5" t="str">
        <f>IF(ISBLANK(Лист1!C381),"",Лист1!C381)</f>
        <v/>
      </c>
      <c r="D381" s="5" t="str">
        <f>IF(ISBLANK(Лист1!D381),"",Лист1!D381)</f>
        <v/>
      </c>
      <c r="E381" s="5" t="str">
        <f>IF(ISBLANK(Лист1!E381),"",Лист1!E381)</f>
        <v/>
      </c>
      <c r="F381" s="5" t="str">
        <f>IF(ISBLANK(Лист1!F381),"",Лист1!F381)</f>
        <v/>
      </c>
      <c r="G381" s="5" t="str">
        <f>IF(ISBLANK(Лист1!G381),"",Лист1!G381)</f>
        <v/>
      </c>
      <c r="H381" s="5" t="str">
        <f>IF(ISBLANK(Лист1!H381),"",Лист1!H381)</f>
        <v/>
      </c>
      <c r="I381" s="5" t="str">
        <f>IF(ISBLANK(Лист1!I381),"",Лист1!I381)</f>
        <v/>
      </c>
      <c r="J381" s="5" t="str">
        <f>IF(ISBLANK(Лист1!J381),"",Лист1!J381)</f>
        <v/>
      </c>
      <c r="K381" s="5" t="str">
        <f>IF(ISBLANK(Лист1!K381),"",Лист1!K381)</f>
        <v/>
      </c>
      <c r="L381" s="5" t="str">
        <f>IF(ISBLANK(Лист1!L381),"",Лист1!L381)</f>
        <v/>
      </c>
      <c r="M381" s="5" t="str">
        <f>IF(ISBLANK(Лист1!M381),"",Лист1!M381)</f>
        <v/>
      </c>
      <c r="N381" s="5" t="str">
        <f>IF(ISBLANK(Лист1!N381),"",Лист1!N381)</f>
        <v/>
      </c>
      <c r="O381" s="5" t="str">
        <f>IF(ISBLANK(Лист1!O381),"",Лист1!O381)</f>
        <v/>
      </c>
      <c r="P381" s="5" t="str">
        <f>IF(ISBLANK(Лист1!P381),"",Лист1!P381)</f>
        <v/>
      </c>
      <c r="Q381" s="5" t="str">
        <f>IF(ISBLANK(Лист1!Q381),"",Лист1!Q381)</f>
        <v/>
      </c>
      <c r="R381" s="5" t="str">
        <f>IF(ISBLANK(Лист1!R381),"",Лист1!R381)</f>
        <v/>
      </c>
      <c r="S381" s="5" t="str">
        <f>IF(ISBLANK(Лист1!S381),"",Лист1!S381)</f>
        <v/>
      </c>
      <c r="T381" s="5" t="str">
        <f>IF(ISBLANK(Лист1!T381),"",Лист1!T381)</f>
        <v/>
      </c>
      <c r="U381" s="5" t="str">
        <f>IF(ISBLANK(Лист1!U381),"",Лист1!U381)</f>
        <v/>
      </c>
      <c r="V381" s="5" t="str">
        <f>IF(ISBLANK(Лист1!V381),"",Лист1!V381)</f>
        <v/>
      </c>
      <c r="W381" s="5" t="str">
        <f>IF(ISBLANK(Лист1!W381),"",Лист1!W381)</f>
        <v/>
      </c>
      <c r="X381" s="5" t="str">
        <f>IF(ISBLANK(Лист1!X381),"",Лист1!X381)</f>
        <v/>
      </c>
      <c r="Y381" s="5" t="str">
        <f>IF(ISERROR(VLOOKUP($X381,Лист2!$A$2:$G$498,1,FALSE)),"",VLOOKUP($X381,Лист2!$A$2:$G$498,1,FALSE))</f>
        <v/>
      </c>
      <c r="Z381" s="5" t="str">
        <f>IF(ISERROR(VLOOKUP($X381,Лист2!$A$2:$G$498,5,FALSE)),"",VLOOKUP($X381,Лист2!$A$2:$G$498,5,FALSE))</f>
        <v/>
      </c>
      <c r="AA381" s="5" t="str">
        <f>IF(ISERROR(VLOOKUP($X381,Лист2!$A$2:$G$498,6,FALSE)),"",VLOOKUP($X381,Лист2!$A$2:$G$498,6,FALSE))</f>
        <v/>
      </c>
      <c r="AB381" s="5" t="str">
        <f>IF(ISERROR(VLOOKUP($X381,Лист2!$A$2:$G$498,7,FALSE)),"",VLOOKUP($X381,Лист2!$A$2:$G$498,7,FALSE))</f>
        <v/>
      </c>
    </row>
    <row r="382" spans="1:28" x14ac:dyDescent="0.25">
      <c r="A382" s="5" t="str">
        <f>IF(ISBLANK(Лист1!A382),"",Лист1!A382)</f>
        <v/>
      </c>
      <c r="B382" s="5" t="str">
        <f>IF(ISBLANK(Лист1!B382),"",Лист1!B382)</f>
        <v/>
      </c>
      <c r="C382" s="5" t="str">
        <f>IF(ISBLANK(Лист1!C382),"",Лист1!C382)</f>
        <v/>
      </c>
      <c r="D382" s="5" t="str">
        <f>IF(ISBLANK(Лист1!D382),"",Лист1!D382)</f>
        <v/>
      </c>
      <c r="E382" s="5" t="str">
        <f>IF(ISBLANK(Лист1!E382),"",Лист1!E382)</f>
        <v/>
      </c>
      <c r="F382" s="5" t="str">
        <f>IF(ISBLANK(Лист1!F382),"",Лист1!F382)</f>
        <v/>
      </c>
      <c r="G382" s="5" t="str">
        <f>IF(ISBLANK(Лист1!G382),"",Лист1!G382)</f>
        <v/>
      </c>
      <c r="H382" s="5" t="str">
        <f>IF(ISBLANK(Лист1!H382),"",Лист1!H382)</f>
        <v/>
      </c>
      <c r="I382" s="5" t="str">
        <f>IF(ISBLANK(Лист1!I382),"",Лист1!I382)</f>
        <v/>
      </c>
      <c r="J382" s="5" t="str">
        <f>IF(ISBLANK(Лист1!J382),"",Лист1!J382)</f>
        <v/>
      </c>
      <c r="K382" s="5" t="str">
        <f>IF(ISBLANK(Лист1!K382),"",Лист1!K382)</f>
        <v/>
      </c>
      <c r="L382" s="5" t="str">
        <f>IF(ISBLANK(Лист1!L382),"",Лист1!L382)</f>
        <v/>
      </c>
      <c r="M382" s="5" t="str">
        <f>IF(ISBLANK(Лист1!M382),"",Лист1!M382)</f>
        <v/>
      </c>
      <c r="N382" s="5" t="str">
        <f>IF(ISBLANK(Лист1!N382),"",Лист1!N382)</f>
        <v/>
      </c>
      <c r="O382" s="5" t="str">
        <f>IF(ISBLANK(Лист1!O382),"",Лист1!O382)</f>
        <v/>
      </c>
      <c r="P382" s="5" t="str">
        <f>IF(ISBLANK(Лист1!P382),"",Лист1!P382)</f>
        <v/>
      </c>
      <c r="Q382" s="5" t="str">
        <f>IF(ISBLANK(Лист1!Q382),"",Лист1!Q382)</f>
        <v/>
      </c>
      <c r="R382" s="5" t="str">
        <f>IF(ISBLANK(Лист1!R382),"",Лист1!R382)</f>
        <v/>
      </c>
      <c r="S382" s="5" t="str">
        <f>IF(ISBLANK(Лист1!S382),"",Лист1!S382)</f>
        <v/>
      </c>
      <c r="T382" s="5" t="str">
        <f>IF(ISBLANK(Лист1!T382),"",Лист1!T382)</f>
        <v/>
      </c>
      <c r="U382" s="5" t="str">
        <f>IF(ISBLANK(Лист1!U382),"",Лист1!U382)</f>
        <v/>
      </c>
      <c r="V382" s="5" t="str">
        <f>IF(ISBLANK(Лист1!V382),"",Лист1!V382)</f>
        <v/>
      </c>
      <c r="W382" s="5" t="str">
        <f>IF(ISBLANK(Лист1!W382),"",Лист1!W382)</f>
        <v/>
      </c>
      <c r="X382" s="5" t="str">
        <f>IF(ISBLANK(Лист1!X382),"",Лист1!X382)</f>
        <v/>
      </c>
      <c r="Y382" s="5" t="str">
        <f>IF(ISERROR(VLOOKUP($X382,Лист2!$A$2:$G$498,1,FALSE)),"",VLOOKUP($X382,Лист2!$A$2:$G$498,1,FALSE))</f>
        <v/>
      </c>
      <c r="Z382" s="5" t="str">
        <f>IF(ISERROR(VLOOKUP($X382,Лист2!$A$2:$G$498,5,FALSE)),"",VLOOKUP($X382,Лист2!$A$2:$G$498,5,FALSE))</f>
        <v/>
      </c>
      <c r="AA382" s="5" t="str">
        <f>IF(ISERROR(VLOOKUP($X382,Лист2!$A$2:$G$498,6,FALSE)),"",VLOOKUP($X382,Лист2!$A$2:$G$498,6,FALSE))</f>
        <v/>
      </c>
      <c r="AB382" s="5" t="str">
        <f>IF(ISERROR(VLOOKUP($X382,Лист2!$A$2:$G$498,7,FALSE)),"",VLOOKUP($X382,Лист2!$A$2:$G$498,7,FALSE))</f>
        <v/>
      </c>
    </row>
    <row r="383" spans="1:28" x14ac:dyDescent="0.25">
      <c r="A383" s="5" t="str">
        <f>IF(ISBLANK(Лист1!A383),"",Лист1!A383)</f>
        <v/>
      </c>
      <c r="B383" s="5" t="str">
        <f>IF(ISBLANK(Лист1!B383),"",Лист1!B383)</f>
        <v/>
      </c>
      <c r="C383" s="5" t="str">
        <f>IF(ISBLANK(Лист1!C383),"",Лист1!C383)</f>
        <v/>
      </c>
      <c r="D383" s="5" t="str">
        <f>IF(ISBLANK(Лист1!D383),"",Лист1!D383)</f>
        <v/>
      </c>
      <c r="E383" s="5" t="str">
        <f>IF(ISBLANK(Лист1!E383),"",Лист1!E383)</f>
        <v/>
      </c>
      <c r="F383" s="5" t="str">
        <f>IF(ISBLANK(Лист1!F383),"",Лист1!F383)</f>
        <v/>
      </c>
      <c r="G383" s="5" t="str">
        <f>IF(ISBLANK(Лист1!G383),"",Лист1!G383)</f>
        <v/>
      </c>
      <c r="H383" s="5" t="str">
        <f>IF(ISBLANK(Лист1!H383),"",Лист1!H383)</f>
        <v/>
      </c>
      <c r="I383" s="5" t="str">
        <f>IF(ISBLANK(Лист1!I383),"",Лист1!I383)</f>
        <v/>
      </c>
      <c r="J383" s="5" t="str">
        <f>IF(ISBLANK(Лист1!J383),"",Лист1!J383)</f>
        <v/>
      </c>
      <c r="K383" s="5" t="str">
        <f>IF(ISBLANK(Лист1!K383),"",Лист1!K383)</f>
        <v/>
      </c>
      <c r="L383" s="5" t="str">
        <f>IF(ISBLANK(Лист1!L383),"",Лист1!L383)</f>
        <v/>
      </c>
      <c r="M383" s="5" t="str">
        <f>IF(ISBLANK(Лист1!M383),"",Лист1!M383)</f>
        <v/>
      </c>
      <c r="N383" s="5" t="str">
        <f>IF(ISBLANK(Лист1!N383),"",Лист1!N383)</f>
        <v/>
      </c>
      <c r="O383" s="5" t="str">
        <f>IF(ISBLANK(Лист1!O383),"",Лист1!O383)</f>
        <v/>
      </c>
      <c r="P383" s="5" t="str">
        <f>IF(ISBLANK(Лист1!P383),"",Лист1!P383)</f>
        <v/>
      </c>
      <c r="Q383" s="5" t="str">
        <f>IF(ISBLANK(Лист1!Q383),"",Лист1!Q383)</f>
        <v/>
      </c>
      <c r="R383" s="5" t="str">
        <f>IF(ISBLANK(Лист1!R383),"",Лист1!R383)</f>
        <v/>
      </c>
      <c r="S383" s="5" t="str">
        <f>IF(ISBLANK(Лист1!S383),"",Лист1!S383)</f>
        <v/>
      </c>
      <c r="T383" s="5" t="str">
        <f>IF(ISBLANK(Лист1!T383),"",Лист1!T383)</f>
        <v/>
      </c>
      <c r="U383" s="5" t="str">
        <f>IF(ISBLANK(Лист1!U383),"",Лист1!U383)</f>
        <v/>
      </c>
      <c r="V383" s="5" t="str">
        <f>IF(ISBLANK(Лист1!V383),"",Лист1!V383)</f>
        <v/>
      </c>
      <c r="W383" s="5" t="str">
        <f>IF(ISBLANK(Лист1!W383),"",Лист1!W383)</f>
        <v/>
      </c>
      <c r="X383" s="5" t="str">
        <f>IF(ISBLANK(Лист1!X383),"",Лист1!X383)</f>
        <v/>
      </c>
      <c r="Y383" s="5" t="str">
        <f>IF(ISERROR(VLOOKUP($X383,Лист2!$A$2:$G$498,1,FALSE)),"",VLOOKUP($X383,Лист2!$A$2:$G$498,1,FALSE))</f>
        <v/>
      </c>
      <c r="Z383" s="5" t="str">
        <f>IF(ISERROR(VLOOKUP($X383,Лист2!$A$2:$G$498,5,FALSE)),"",VLOOKUP($X383,Лист2!$A$2:$G$498,5,FALSE))</f>
        <v/>
      </c>
      <c r="AA383" s="5" t="str">
        <f>IF(ISERROR(VLOOKUP($X383,Лист2!$A$2:$G$498,6,FALSE)),"",VLOOKUP($X383,Лист2!$A$2:$G$498,6,FALSE))</f>
        <v/>
      </c>
      <c r="AB383" s="5" t="str">
        <f>IF(ISERROR(VLOOKUP($X383,Лист2!$A$2:$G$498,7,FALSE)),"",VLOOKUP($X383,Лист2!$A$2:$G$498,7,FALSE))</f>
        <v/>
      </c>
    </row>
    <row r="384" spans="1:28" x14ac:dyDescent="0.25">
      <c r="A384" s="5" t="str">
        <f>IF(ISBLANK(Лист1!A384),"",Лист1!A384)</f>
        <v/>
      </c>
      <c r="B384" s="5" t="str">
        <f>IF(ISBLANK(Лист1!B384),"",Лист1!B384)</f>
        <v/>
      </c>
      <c r="C384" s="5" t="str">
        <f>IF(ISBLANK(Лист1!C384),"",Лист1!C384)</f>
        <v/>
      </c>
      <c r="D384" s="5" t="str">
        <f>IF(ISBLANK(Лист1!D384),"",Лист1!D384)</f>
        <v/>
      </c>
      <c r="E384" s="5" t="str">
        <f>IF(ISBLANK(Лист1!E384),"",Лист1!E384)</f>
        <v/>
      </c>
      <c r="F384" s="5" t="str">
        <f>IF(ISBLANK(Лист1!F384),"",Лист1!F384)</f>
        <v/>
      </c>
      <c r="G384" s="5" t="str">
        <f>IF(ISBLANK(Лист1!G384),"",Лист1!G384)</f>
        <v/>
      </c>
      <c r="H384" s="5" t="str">
        <f>IF(ISBLANK(Лист1!H384),"",Лист1!H384)</f>
        <v/>
      </c>
      <c r="I384" s="5" t="str">
        <f>IF(ISBLANK(Лист1!I384),"",Лист1!I384)</f>
        <v/>
      </c>
      <c r="J384" s="5" t="str">
        <f>IF(ISBLANK(Лист1!J384),"",Лист1!J384)</f>
        <v/>
      </c>
      <c r="K384" s="5" t="str">
        <f>IF(ISBLANK(Лист1!K384),"",Лист1!K384)</f>
        <v/>
      </c>
      <c r="L384" s="5" t="str">
        <f>IF(ISBLANK(Лист1!L384),"",Лист1!L384)</f>
        <v/>
      </c>
      <c r="M384" s="5" t="str">
        <f>IF(ISBLANK(Лист1!M384),"",Лист1!M384)</f>
        <v/>
      </c>
      <c r="N384" s="5" t="str">
        <f>IF(ISBLANK(Лист1!N384),"",Лист1!N384)</f>
        <v/>
      </c>
      <c r="O384" s="5" t="str">
        <f>IF(ISBLANK(Лист1!O384),"",Лист1!O384)</f>
        <v/>
      </c>
      <c r="P384" s="5" t="str">
        <f>IF(ISBLANK(Лист1!P384),"",Лист1!P384)</f>
        <v/>
      </c>
      <c r="Q384" s="5" t="str">
        <f>IF(ISBLANK(Лист1!Q384),"",Лист1!Q384)</f>
        <v/>
      </c>
      <c r="R384" s="5" t="str">
        <f>IF(ISBLANK(Лист1!R384),"",Лист1!R384)</f>
        <v/>
      </c>
      <c r="S384" s="5" t="str">
        <f>IF(ISBLANK(Лист1!S384),"",Лист1!S384)</f>
        <v/>
      </c>
      <c r="T384" s="5" t="str">
        <f>IF(ISBLANK(Лист1!T384),"",Лист1!T384)</f>
        <v/>
      </c>
      <c r="U384" s="5" t="str">
        <f>IF(ISBLANK(Лист1!U384),"",Лист1!U384)</f>
        <v/>
      </c>
      <c r="V384" s="5" t="str">
        <f>IF(ISBLANK(Лист1!V384),"",Лист1!V384)</f>
        <v/>
      </c>
      <c r="W384" s="5" t="str">
        <f>IF(ISBLANK(Лист1!W384),"",Лист1!W384)</f>
        <v/>
      </c>
      <c r="X384" s="5" t="str">
        <f>IF(ISBLANK(Лист1!X384),"",Лист1!X384)</f>
        <v/>
      </c>
      <c r="Y384" s="5" t="str">
        <f>IF(ISERROR(VLOOKUP($X384,Лист2!$A$2:$G$498,1,FALSE)),"",VLOOKUP($X384,Лист2!$A$2:$G$498,1,FALSE))</f>
        <v/>
      </c>
      <c r="Z384" s="5" t="str">
        <f>IF(ISERROR(VLOOKUP($X384,Лист2!$A$2:$G$498,5,FALSE)),"",VLOOKUP($X384,Лист2!$A$2:$G$498,5,FALSE))</f>
        <v/>
      </c>
      <c r="AA384" s="5" t="str">
        <f>IF(ISERROR(VLOOKUP($X384,Лист2!$A$2:$G$498,6,FALSE)),"",VLOOKUP($X384,Лист2!$A$2:$G$498,6,FALSE))</f>
        <v/>
      </c>
      <c r="AB384" s="5" t="str">
        <f>IF(ISERROR(VLOOKUP($X384,Лист2!$A$2:$G$498,7,FALSE)),"",VLOOKUP($X384,Лист2!$A$2:$G$498,7,FALSE))</f>
        <v/>
      </c>
    </row>
    <row r="385" spans="1:28" x14ac:dyDescent="0.25">
      <c r="A385" s="5" t="str">
        <f>IF(ISBLANK(Лист1!A385),"",Лист1!A385)</f>
        <v/>
      </c>
      <c r="B385" s="5" t="str">
        <f>IF(ISBLANK(Лист1!B385),"",Лист1!B385)</f>
        <v/>
      </c>
      <c r="C385" s="5" t="str">
        <f>IF(ISBLANK(Лист1!C385),"",Лист1!C385)</f>
        <v/>
      </c>
      <c r="D385" s="5" t="str">
        <f>IF(ISBLANK(Лист1!D385),"",Лист1!D385)</f>
        <v/>
      </c>
      <c r="E385" s="5" t="str">
        <f>IF(ISBLANK(Лист1!E385),"",Лист1!E385)</f>
        <v/>
      </c>
      <c r="F385" s="5" t="str">
        <f>IF(ISBLANK(Лист1!F385),"",Лист1!F385)</f>
        <v/>
      </c>
      <c r="G385" s="5" t="str">
        <f>IF(ISBLANK(Лист1!G385),"",Лист1!G385)</f>
        <v/>
      </c>
      <c r="H385" s="5" t="str">
        <f>IF(ISBLANK(Лист1!H385),"",Лист1!H385)</f>
        <v/>
      </c>
      <c r="I385" s="5" t="str">
        <f>IF(ISBLANK(Лист1!I385),"",Лист1!I385)</f>
        <v/>
      </c>
      <c r="J385" s="5" t="str">
        <f>IF(ISBLANK(Лист1!J385),"",Лист1!J385)</f>
        <v/>
      </c>
      <c r="K385" s="5" t="str">
        <f>IF(ISBLANK(Лист1!K385),"",Лист1!K385)</f>
        <v/>
      </c>
      <c r="L385" s="5" t="str">
        <f>IF(ISBLANK(Лист1!L385),"",Лист1!L385)</f>
        <v/>
      </c>
      <c r="M385" s="5" t="str">
        <f>IF(ISBLANK(Лист1!M385),"",Лист1!M385)</f>
        <v/>
      </c>
      <c r="N385" s="5" t="str">
        <f>IF(ISBLANK(Лист1!N385),"",Лист1!N385)</f>
        <v/>
      </c>
      <c r="O385" s="5" t="str">
        <f>IF(ISBLANK(Лист1!O385),"",Лист1!O385)</f>
        <v/>
      </c>
      <c r="P385" s="5" t="str">
        <f>IF(ISBLANK(Лист1!P385),"",Лист1!P385)</f>
        <v/>
      </c>
      <c r="Q385" s="5" t="str">
        <f>IF(ISBLANK(Лист1!Q385),"",Лист1!Q385)</f>
        <v/>
      </c>
      <c r="R385" s="5" t="str">
        <f>IF(ISBLANK(Лист1!R385),"",Лист1!R385)</f>
        <v/>
      </c>
      <c r="S385" s="5" t="str">
        <f>IF(ISBLANK(Лист1!S385),"",Лист1!S385)</f>
        <v/>
      </c>
      <c r="T385" s="5" t="str">
        <f>IF(ISBLANK(Лист1!T385),"",Лист1!T385)</f>
        <v/>
      </c>
      <c r="U385" s="5" t="str">
        <f>IF(ISBLANK(Лист1!U385),"",Лист1!U385)</f>
        <v/>
      </c>
      <c r="V385" s="5" t="str">
        <f>IF(ISBLANK(Лист1!V385),"",Лист1!V385)</f>
        <v/>
      </c>
      <c r="W385" s="5" t="str">
        <f>IF(ISBLANK(Лист1!W385),"",Лист1!W385)</f>
        <v/>
      </c>
      <c r="X385" s="5" t="str">
        <f>IF(ISBLANK(Лист1!X385),"",Лист1!X385)</f>
        <v/>
      </c>
      <c r="Y385" s="5" t="str">
        <f>IF(ISERROR(VLOOKUP($X385,Лист2!$A$2:$G$498,1,FALSE)),"",VLOOKUP($X385,Лист2!$A$2:$G$498,1,FALSE))</f>
        <v/>
      </c>
      <c r="Z385" s="5" t="str">
        <f>IF(ISERROR(VLOOKUP($X385,Лист2!$A$2:$G$498,5,FALSE)),"",VLOOKUP($X385,Лист2!$A$2:$G$498,5,FALSE))</f>
        <v/>
      </c>
      <c r="AA385" s="5" t="str">
        <f>IF(ISERROR(VLOOKUP($X385,Лист2!$A$2:$G$498,6,FALSE)),"",VLOOKUP($X385,Лист2!$A$2:$G$498,6,FALSE))</f>
        <v/>
      </c>
      <c r="AB385" s="5" t="str">
        <f>IF(ISERROR(VLOOKUP($X385,Лист2!$A$2:$G$498,7,FALSE)),"",VLOOKUP($X385,Лист2!$A$2:$G$498,7,FALSE))</f>
        <v/>
      </c>
    </row>
    <row r="386" spans="1:28" x14ac:dyDescent="0.25">
      <c r="A386" s="5" t="str">
        <f>IF(ISBLANK(Лист1!A386),"",Лист1!A386)</f>
        <v/>
      </c>
      <c r="B386" s="5" t="str">
        <f>IF(ISBLANK(Лист1!B386),"",Лист1!B386)</f>
        <v/>
      </c>
      <c r="C386" s="5" t="str">
        <f>IF(ISBLANK(Лист1!C386),"",Лист1!C386)</f>
        <v/>
      </c>
      <c r="D386" s="5" t="str">
        <f>IF(ISBLANK(Лист1!D386),"",Лист1!D386)</f>
        <v/>
      </c>
      <c r="E386" s="5" t="str">
        <f>IF(ISBLANK(Лист1!E386),"",Лист1!E386)</f>
        <v/>
      </c>
      <c r="F386" s="5" t="str">
        <f>IF(ISBLANK(Лист1!F386),"",Лист1!F386)</f>
        <v/>
      </c>
      <c r="G386" s="5" t="str">
        <f>IF(ISBLANK(Лист1!G386),"",Лист1!G386)</f>
        <v/>
      </c>
      <c r="H386" s="5" t="str">
        <f>IF(ISBLANK(Лист1!H386),"",Лист1!H386)</f>
        <v/>
      </c>
      <c r="I386" s="5" t="str">
        <f>IF(ISBLANK(Лист1!I386),"",Лист1!I386)</f>
        <v/>
      </c>
      <c r="J386" s="5" t="str">
        <f>IF(ISBLANK(Лист1!J386),"",Лист1!J386)</f>
        <v/>
      </c>
      <c r="K386" s="5" t="str">
        <f>IF(ISBLANK(Лист1!K386),"",Лист1!K386)</f>
        <v/>
      </c>
      <c r="L386" s="5" t="str">
        <f>IF(ISBLANK(Лист1!L386),"",Лист1!L386)</f>
        <v/>
      </c>
      <c r="M386" s="5" t="str">
        <f>IF(ISBLANK(Лист1!M386),"",Лист1!M386)</f>
        <v/>
      </c>
      <c r="N386" s="5" t="str">
        <f>IF(ISBLANK(Лист1!N386),"",Лист1!N386)</f>
        <v/>
      </c>
      <c r="O386" s="5" t="str">
        <f>IF(ISBLANK(Лист1!O386),"",Лист1!O386)</f>
        <v/>
      </c>
      <c r="P386" s="5" t="str">
        <f>IF(ISBLANK(Лист1!P386),"",Лист1!P386)</f>
        <v/>
      </c>
      <c r="Q386" s="5" t="str">
        <f>IF(ISBLANK(Лист1!Q386),"",Лист1!Q386)</f>
        <v/>
      </c>
      <c r="R386" s="5" t="str">
        <f>IF(ISBLANK(Лист1!R386),"",Лист1!R386)</f>
        <v/>
      </c>
      <c r="S386" s="5" t="str">
        <f>IF(ISBLANK(Лист1!S386),"",Лист1!S386)</f>
        <v/>
      </c>
      <c r="T386" s="5" t="str">
        <f>IF(ISBLANK(Лист1!T386),"",Лист1!T386)</f>
        <v/>
      </c>
      <c r="U386" s="5" t="str">
        <f>IF(ISBLANK(Лист1!U386),"",Лист1!U386)</f>
        <v/>
      </c>
      <c r="V386" s="5" t="str">
        <f>IF(ISBLANK(Лист1!V386),"",Лист1!V386)</f>
        <v/>
      </c>
      <c r="W386" s="5" t="str">
        <f>IF(ISBLANK(Лист1!W386),"",Лист1!W386)</f>
        <v/>
      </c>
      <c r="X386" s="5" t="str">
        <f>IF(ISBLANK(Лист1!X386),"",Лист1!X386)</f>
        <v/>
      </c>
      <c r="Y386" s="5" t="str">
        <f>IF(ISERROR(VLOOKUP($X386,Лист2!$A$2:$G$498,1,FALSE)),"",VLOOKUP($X386,Лист2!$A$2:$G$498,1,FALSE))</f>
        <v/>
      </c>
      <c r="Z386" s="5" t="str">
        <f>IF(ISERROR(VLOOKUP($X386,Лист2!$A$2:$G$498,5,FALSE)),"",VLOOKUP($X386,Лист2!$A$2:$G$498,5,FALSE))</f>
        <v/>
      </c>
      <c r="AA386" s="5" t="str">
        <f>IF(ISERROR(VLOOKUP($X386,Лист2!$A$2:$G$498,6,FALSE)),"",VLOOKUP($X386,Лист2!$A$2:$G$498,6,FALSE))</f>
        <v/>
      </c>
      <c r="AB386" s="5" t="str">
        <f>IF(ISERROR(VLOOKUP($X386,Лист2!$A$2:$G$498,7,FALSE)),"",VLOOKUP($X386,Лист2!$A$2:$G$498,7,FALSE))</f>
        <v/>
      </c>
    </row>
    <row r="387" spans="1:28" x14ac:dyDescent="0.25">
      <c r="A387" s="5" t="str">
        <f>IF(ISBLANK(Лист1!A387),"",Лист1!A387)</f>
        <v/>
      </c>
      <c r="B387" s="5" t="str">
        <f>IF(ISBLANK(Лист1!B387),"",Лист1!B387)</f>
        <v/>
      </c>
      <c r="C387" s="5" t="str">
        <f>IF(ISBLANK(Лист1!C387),"",Лист1!C387)</f>
        <v/>
      </c>
      <c r="D387" s="5" t="str">
        <f>IF(ISBLANK(Лист1!D387),"",Лист1!D387)</f>
        <v/>
      </c>
      <c r="E387" s="5" t="str">
        <f>IF(ISBLANK(Лист1!E387),"",Лист1!E387)</f>
        <v/>
      </c>
      <c r="F387" s="5" t="str">
        <f>IF(ISBLANK(Лист1!F387),"",Лист1!F387)</f>
        <v/>
      </c>
      <c r="G387" s="5" t="str">
        <f>IF(ISBLANK(Лист1!G387),"",Лист1!G387)</f>
        <v/>
      </c>
      <c r="H387" s="5" t="str">
        <f>IF(ISBLANK(Лист1!H387),"",Лист1!H387)</f>
        <v/>
      </c>
      <c r="I387" s="5" t="str">
        <f>IF(ISBLANK(Лист1!I387),"",Лист1!I387)</f>
        <v/>
      </c>
      <c r="J387" s="5" t="str">
        <f>IF(ISBLANK(Лист1!J387),"",Лист1!J387)</f>
        <v/>
      </c>
      <c r="K387" s="5" t="str">
        <f>IF(ISBLANK(Лист1!K387),"",Лист1!K387)</f>
        <v/>
      </c>
      <c r="L387" s="5" t="str">
        <f>IF(ISBLANK(Лист1!L387),"",Лист1!L387)</f>
        <v/>
      </c>
      <c r="M387" s="5" t="str">
        <f>IF(ISBLANK(Лист1!M387),"",Лист1!M387)</f>
        <v/>
      </c>
      <c r="N387" s="5" t="str">
        <f>IF(ISBLANK(Лист1!N387),"",Лист1!N387)</f>
        <v/>
      </c>
      <c r="O387" s="5" t="str">
        <f>IF(ISBLANK(Лист1!O387),"",Лист1!O387)</f>
        <v/>
      </c>
      <c r="P387" s="5" t="str">
        <f>IF(ISBLANK(Лист1!P387),"",Лист1!P387)</f>
        <v/>
      </c>
      <c r="Q387" s="5" t="str">
        <f>IF(ISBLANK(Лист1!Q387),"",Лист1!Q387)</f>
        <v/>
      </c>
      <c r="R387" s="5" t="str">
        <f>IF(ISBLANK(Лист1!R387),"",Лист1!R387)</f>
        <v/>
      </c>
      <c r="S387" s="5" t="str">
        <f>IF(ISBLANK(Лист1!S387),"",Лист1!S387)</f>
        <v/>
      </c>
      <c r="T387" s="5" t="str">
        <f>IF(ISBLANK(Лист1!T387),"",Лист1!T387)</f>
        <v/>
      </c>
      <c r="U387" s="5" t="str">
        <f>IF(ISBLANK(Лист1!U387),"",Лист1!U387)</f>
        <v/>
      </c>
      <c r="V387" s="5" t="str">
        <f>IF(ISBLANK(Лист1!V387),"",Лист1!V387)</f>
        <v/>
      </c>
      <c r="W387" s="5" t="str">
        <f>IF(ISBLANK(Лист1!W387),"",Лист1!W387)</f>
        <v/>
      </c>
      <c r="X387" s="5" t="str">
        <f>IF(ISBLANK(Лист1!X387),"",Лист1!X387)</f>
        <v/>
      </c>
      <c r="Y387" s="5" t="str">
        <f>IF(ISERROR(VLOOKUP($X387,Лист2!$A$2:$G$498,1,FALSE)),"",VLOOKUP($X387,Лист2!$A$2:$G$498,1,FALSE))</f>
        <v/>
      </c>
      <c r="Z387" s="5" t="str">
        <f>IF(ISERROR(VLOOKUP($X387,Лист2!$A$2:$G$498,5,FALSE)),"",VLOOKUP($X387,Лист2!$A$2:$G$498,5,FALSE))</f>
        <v/>
      </c>
      <c r="AA387" s="5" t="str">
        <f>IF(ISERROR(VLOOKUP($X387,Лист2!$A$2:$G$498,6,FALSE)),"",VLOOKUP($X387,Лист2!$A$2:$G$498,6,FALSE))</f>
        <v/>
      </c>
      <c r="AB387" s="5" t="str">
        <f>IF(ISERROR(VLOOKUP($X387,Лист2!$A$2:$G$498,7,FALSE)),"",VLOOKUP($X387,Лист2!$A$2:$G$498,7,FALSE))</f>
        <v/>
      </c>
    </row>
    <row r="388" spans="1:28" x14ac:dyDescent="0.25">
      <c r="A388" s="5" t="str">
        <f>IF(ISBLANK(Лист1!A388),"",Лист1!A388)</f>
        <v/>
      </c>
      <c r="B388" s="5" t="str">
        <f>IF(ISBLANK(Лист1!B388),"",Лист1!B388)</f>
        <v/>
      </c>
      <c r="C388" s="5" t="str">
        <f>IF(ISBLANK(Лист1!C388),"",Лист1!C388)</f>
        <v/>
      </c>
      <c r="D388" s="5" t="str">
        <f>IF(ISBLANK(Лист1!D388),"",Лист1!D388)</f>
        <v/>
      </c>
      <c r="E388" s="5" t="str">
        <f>IF(ISBLANK(Лист1!E388),"",Лист1!E388)</f>
        <v/>
      </c>
      <c r="F388" s="5" t="str">
        <f>IF(ISBLANK(Лист1!F388),"",Лист1!F388)</f>
        <v/>
      </c>
      <c r="G388" s="5" t="str">
        <f>IF(ISBLANK(Лист1!G388),"",Лист1!G388)</f>
        <v/>
      </c>
      <c r="H388" s="5" t="str">
        <f>IF(ISBLANK(Лист1!H388),"",Лист1!H388)</f>
        <v/>
      </c>
      <c r="I388" s="5" t="str">
        <f>IF(ISBLANK(Лист1!I388),"",Лист1!I388)</f>
        <v/>
      </c>
      <c r="J388" s="5" t="str">
        <f>IF(ISBLANK(Лист1!J388),"",Лист1!J388)</f>
        <v/>
      </c>
      <c r="K388" s="5" t="str">
        <f>IF(ISBLANK(Лист1!K388),"",Лист1!K388)</f>
        <v/>
      </c>
      <c r="L388" s="5" t="str">
        <f>IF(ISBLANK(Лист1!L388),"",Лист1!L388)</f>
        <v/>
      </c>
      <c r="M388" s="5" t="str">
        <f>IF(ISBLANK(Лист1!M388),"",Лист1!M388)</f>
        <v/>
      </c>
      <c r="N388" s="5" t="str">
        <f>IF(ISBLANK(Лист1!N388),"",Лист1!N388)</f>
        <v/>
      </c>
      <c r="O388" s="5" t="str">
        <f>IF(ISBLANK(Лист1!O388),"",Лист1!O388)</f>
        <v/>
      </c>
      <c r="P388" s="5" t="str">
        <f>IF(ISBLANK(Лист1!P388),"",Лист1!P388)</f>
        <v/>
      </c>
      <c r="Q388" s="5" t="str">
        <f>IF(ISBLANK(Лист1!Q388),"",Лист1!Q388)</f>
        <v/>
      </c>
      <c r="R388" s="5" t="str">
        <f>IF(ISBLANK(Лист1!R388),"",Лист1!R388)</f>
        <v/>
      </c>
      <c r="S388" s="5" t="str">
        <f>IF(ISBLANK(Лист1!S388),"",Лист1!S388)</f>
        <v/>
      </c>
      <c r="T388" s="5" t="str">
        <f>IF(ISBLANK(Лист1!T388),"",Лист1!T388)</f>
        <v/>
      </c>
      <c r="U388" s="5" t="str">
        <f>IF(ISBLANK(Лист1!U388),"",Лист1!U388)</f>
        <v/>
      </c>
      <c r="V388" s="5" t="str">
        <f>IF(ISBLANK(Лист1!V388),"",Лист1!V388)</f>
        <v/>
      </c>
      <c r="W388" s="5" t="str">
        <f>IF(ISBLANK(Лист1!W388),"",Лист1!W388)</f>
        <v/>
      </c>
      <c r="X388" s="5" t="str">
        <f>IF(ISBLANK(Лист1!X388),"",Лист1!X388)</f>
        <v/>
      </c>
      <c r="Y388" s="5" t="str">
        <f>IF(ISERROR(VLOOKUP($X388,Лист2!$A$2:$G$498,1,FALSE)),"",VLOOKUP($X388,Лист2!$A$2:$G$498,1,FALSE))</f>
        <v/>
      </c>
      <c r="Z388" s="5" t="str">
        <f>IF(ISERROR(VLOOKUP($X388,Лист2!$A$2:$G$498,5,FALSE)),"",VLOOKUP($X388,Лист2!$A$2:$G$498,5,FALSE))</f>
        <v/>
      </c>
      <c r="AA388" s="5" t="str">
        <f>IF(ISERROR(VLOOKUP($X388,Лист2!$A$2:$G$498,6,FALSE)),"",VLOOKUP($X388,Лист2!$A$2:$G$498,6,FALSE))</f>
        <v/>
      </c>
      <c r="AB388" s="5" t="str">
        <f>IF(ISERROR(VLOOKUP($X388,Лист2!$A$2:$G$498,7,FALSE)),"",VLOOKUP($X388,Лист2!$A$2:$G$498,7,FALSE))</f>
        <v/>
      </c>
    </row>
    <row r="389" spans="1:28" x14ac:dyDescent="0.25">
      <c r="A389" s="5" t="str">
        <f>IF(ISBLANK(Лист1!A389),"",Лист1!A389)</f>
        <v/>
      </c>
      <c r="B389" s="5" t="str">
        <f>IF(ISBLANK(Лист1!B389),"",Лист1!B389)</f>
        <v/>
      </c>
      <c r="C389" s="5" t="str">
        <f>IF(ISBLANK(Лист1!C389),"",Лист1!C389)</f>
        <v/>
      </c>
      <c r="D389" s="5" t="str">
        <f>IF(ISBLANK(Лист1!D389),"",Лист1!D389)</f>
        <v/>
      </c>
      <c r="E389" s="5" t="str">
        <f>IF(ISBLANK(Лист1!E389),"",Лист1!E389)</f>
        <v/>
      </c>
      <c r="F389" s="5" t="str">
        <f>IF(ISBLANK(Лист1!F389),"",Лист1!F389)</f>
        <v/>
      </c>
      <c r="G389" s="5" t="str">
        <f>IF(ISBLANK(Лист1!G389),"",Лист1!G389)</f>
        <v/>
      </c>
      <c r="H389" s="5" t="str">
        <f>IF(ISBLANK(Лист1!H389),"",Лист1!H389)</f>
        <v/>
      </c>
      <c r="I389" s="5" t="str">
        <f>IF(ISBLANK(Лист1!I389),"",Лист1!I389)</f>
        <v/>
      </c>
      <c r="J389" s="5" t="str">
        <f>IF(ISBLANK(Лист1!J389),"",Лист1!J389)</f>
        <v/>
      </c>
      <c r="K389" s="5" t="str">
        <f>IF(ISBLANK(Лист1!K389),"",Лист1!K389)</f>
        <v/>
      </c>
      <c r="L389" s="5" t="str">
        <f>IF(ISBLANK(Лист1!L389),"",Лист1!L389)</f>
        <v/>
      </c>
      <c r="M389" s="5" t="str">
        <f>IF(ISBLANK(Лист1!M389),"",Лист1!M389)</f>
        <v/>
      </c>
      <c r="N389" s="5" t="str">
        <f>IF(ISBLANK(Лист1!N389),"",Лист1!N389)</f>
        <v/>
      </c>
      <c r="O389" s="5" t="str">
        <f>IF(ISBLANK(Лист1!O389),"",Лист1!O389)</f>
        <v/>
      </c>
      <c r="P389" s="5" t="str">
        <f>IF(ISBLANK(Лист1!P389),"",Лист1!P389)</f>
        <v/>
      </c>
      <c r="Q389" s="5" t="str">
        <f>IF(ISBLANK(Лист1!Q389),"",Лист1!Q389)</f>
        <v/>
      </c>
      <c r="R389" s="5" t="str">
        <f>IF(ISBLANK(Лист1!R389),"",Лист1!R389)</f>
        <v/>
      </c>
      <c r="S389" s="5" t="str">
        <f>IF(ISBLANK(Лист1!S389),"",Лист1!S389)</f>
        <v/>
      </c>
      <c r="T389" s="5" t="str">
        <f>IF(ISBLANK(Лист1!T389),"",Лист1!T389)</f>
        <v/>
      </c>
      <c r="U389" s="5" t="str">
        <f>IF(ISBLANK(Лист1!U389),"",Лист1!U389)</f>
        <v/>
      </c>
      <c r="V389" s="5" t="str">
        <f>IF(ISBLANK(Лист1!V389),"",Лист1!V389)</f>
        <v/>
      </c>
      <c r="W389" s="5" t="str">
        <f>IF(ISBLANK(Лист1!W389),"",Лист1!W389)</f>
        <v/>
      </c>
      <c r="X389" s="5" t="str">
        <f>IF(ISBLANK(Лист1!X389),"",Лист1!X389)</f>
        <v/>
      </c>
      <c r="Y389" s="5" t="str">
        <f>IF(ISERROR(VLOOKUP($X389,Лист2!$A$2:$G$498,1,FALSE)),"",VLOOKUP($X389,Лист2!$A$2:$G$498,1,FALSE))</f>
        <v/>
      </c>
      <c r="Z389" s="5" t="str">
        <f>IF(ISERROR(VLOOKUP($X389,Лист2!$A$2:$G$498,5,FALSE)),"",VLOOKUP($X389,Лист2!$A$2:$G$498,5,FALSE))</f>
        <v/>
      </c>
      <c r="AA389" s="5" t="str">
        <f>IF(ISERROR(VLOOKUP($X389,Лист2!$A$2:$G$498,6,FALSE)),"",VLOOKUP($X389,Лист2!$A$2:$G$498,6,FALSE))</f>
        <v/>
      </c>
      <c r="AB389" s="5" t="str">
        <f>IF(ISERROR(VLOOKUP($X389,Лист2!$A$2:$G$498,7,FALSE)),"",VLOOKUP($X389,Лист2!$A$2:$G$498,7,FALSE))</f>
        <v/>
      </c>
    </row>
    <row r="390" spans="1:28" x14ac:dyDescent="0.25">
      <c r="A390" s="5" t="str">
        <f>IF(ISBLANK(Лист1!A390),"",Лист1!A390)</f>
        <v/>
      </c>
      <c r="B390" s="5" t="str">
        <f>IF(ISBLANK(Лист1!B390),"",Лист1!B390)</f>
        <v/>
      </c>
      <c r="C390" s="5" t="str">
        <f>IF(ISBLANK(Лист1!C390),"",Лист1!C390)</f>
        <v/>
      </c>
      <c r="D390" s="5" t="str">
        <f>IF(ISBLANK(Лист1!D390),"",Лист1!D390)</f>
        <v/>
      </c>
      <c r="E390" s="5" t="str">
        <f>IF(ISBLANK(Лист1!E390),"",Лист1!E390)</f>
        <v/>
      </c>
      <c r="F390" s="5" t="str">
        <f>IF(ISBLANK(Лист1!F390),"",Лист1!F390)</f>
        <v/>
      </c>
      <c r="G390" s="5" t="str">
        <f>IF(ISBLANK(Лист1!G390),"",Лист1!G390)</f>
        <v/>
      </c>
      <c r="H390" s="5" t="str">
        <f>IF(ISBLANK(Лист1!H390),"",Лист1!H390)</f>
        <v/>
      </c>
      <c r="I390" s="5" t="str">
        <f>IF(ISBLANK(Лист1!I390),"",Лист1!I390)</f>
        <v/>
      </c>
      <c r="J390" s="5" t="str">
        <f>IF(ISBLANK(Лист1!J390),"",Лист1!J390)</f>
        <v/>
      </c>
      <c r="K390" s="5" t="str">
        <f>IF(ISBLANK(Лист1!K390),"",Лист1!K390)</f>
        <v/>
      </c>
      <c r="L390" s="5" t="str">
        <f>IF(ISBLANK(Лист1!L390),"",Лист1!L390)</f>
        <v/>
      </c>
      <c r="M390" s="5" t="str">
        <f>IF(ISBLANK(Лист1!M390),"",Лист1!M390)</f>
        <v/>
      </c>
      <c r="N390" s="5" t="str">
        <f>IF(ISBLANK(Лист1!N390),"",Лист1!N390)</f>
        <v/>
      </c>
      <c r="O390" s="5" t="str">
        <f>IF(ISBLANK(Лист1!O390),"",Лист1!O390)</f>
        <v/>
      </c>
      <c r="P390" s="5" t="str">
        <f>IF(ISBLANK(Лист1!P390),"",Лист1!P390)</f>
        <v/>
      </c>
      <c r="Q390" s="5" t="str">
        <f>IF(ISBLANK(Лист1!Q390),"",Лист1!Q390)</f>
        <v/>
      </c>
      <c r="R390" s="5" t="str">
        <f>IF(ISBLANK(Лист1!R390),"",Лист1!R390)</f>
        <v/>
      </c>
      <c r="S390" s="5" t="str">
        <f>IF(ISBLANK(Лист1!S390),"",Лист1!S390)</f>
        <v/>
      </c>
      <c r="T390" s="5" t="str">
        <f>IF(ISBLANK(Лист1!T390),"",Лист1!T390)</f>
        <v/>
      </c>
      <c r="U390" s="5" t="str">
        <f>IF(ISBLANK(Лист1!U390),"",Лист1!U390)</f>
        <v/>
      </c>
      <c r="V390" s="5" t="str">
        <f>IF(ISBLANK(Лист1!V390),"",Лист1!V390)</f>
        <v/>
      </c>
      <c r="W390" s="5" t="str">
        <f>IF(ISBLANK(Лист1!W390),"",Лист1!W390)</f>
        <v/>
      </c>
      <c r="X390" s="5" t="str">
        <f>IF(ISBLANK(Лист1!X390),"",Лист1!X390)</f>
        <v/>
      </c>
      <c r="Y390" s="5" t="str">
        <f>IF(ISERROR(VLOOKUP($X390,Лист2!$A$2:$G$498,1,FALSE)),"",VLOOKUP($X390,Лист2!$A$2:$G$498,1,FALSE))</f>
        <v/>
      </c>
      <c r="Z390" s="5" t="str">
        <f>IF(ISERROR(VLOOKUP($X390,Лист2!$A$2:$G$498,5,FALSE)),"",VLOOKUP($X390,Лист2!$A$2:$G$498,5,FALSE))</f>
        <v/>
      </c>
      <c r="AA390" s="5" t="str">
        <f>IF(ISERROR(VLOOKUP($X390,Лист2!$A$2:$G$498,6,FALSE)),"",VLOOKUP($X390,Лист2!$A$2:$G$498,6,FALSE))</f>
        <v/>
      </c>
      <c r="AB390" s="5" t="str">
        <f>IF(ISERROR(VLOOKUP($X390,Лист2!$A$2:$G$498,7,FALSE)),"",VLOOKUP($X390,Лист2!$A$2:$G$498,7,FALSE))</f>
        <v/>
      </c>
    </row>
    <row r="391" spans="1:28" x14ac:dyDescent="0.25">
      <c r="A391" s="5" t="str">
        <f>IF(ISBLANK(Лист1!A391),"",Лист1!A391)</f>
        <v/>
      </c>
      <c r="B391" s="5" t="str">
        <f>IF(ISBLANK(Лист1!B391),"",Лист1!B391)</f>
        <v/>
      </c>
      <c r="C391" s="5" t="str">
        <f>IF(ISBLANK(Лист1!C391),"",Лист1!C391)</f>
        <v/>
      </c>
      <c r="D391" s="5" t="str">
        <f>IF(ISBLANK(Лист1!D391),"",Лист1!D391)</f>
        <v/>
      </c>
      <c r="E391" s="5" t="str">
        <f>IF(ISBLANK(Лист1!E391),"",Лист1!E391)</f>
        <v/>
      </c>
      <c r="F391" s="5" t="str">
        <f>IF(ISBLANK(Лист1!F391),"",Лист1!F391)</f>
        <v/>
      </c>
      <c r="G391" s="5" t="str">
        <f>IF(ISBLANK(Лист1!G391),"",Лист1!G391)</f>
        <v/>
      </c>
      <c r="H391" s="5" t="str">
        <f>IF(ISBLANK(Лист1!H391),"",Лист1!H391)</f>
        <v/>
      </c>
      <c r="I391" s="5" t="str">
        <f>IF(ISBLANK(Лист1!I391),"",Лист1!I391)</f>
        <v/>
      </c>
      <c r="J391" s="5" t="str">
        <f>IF(ISBLANK(Лист1!J391),"",Лист1!J391)</f>
        <v/>
      </c>
      <c r="K391" s="5" t="str">
        <f>IF(ISBLANK(Лист1!K391),"",Лист1!K391)</f>
        <v/>
      </c>
      <c r="L391" s="5" t="str">
        <f>IF(ISBLANK(Лист1!L391),"",Лист1!L391)</f>
        <v/>
      </c>
      <c r="M391" s="5" t="str">
        <f>IF(ISBLANK(Лист1!M391),"",Лист1!M391)</f>
        <v/>
      </c>
      <c r="N391" s="5" t="str">
        <f>IF(ISBLANK(Лист1!N391),"",Лист1!N391)</f>
        <v/>
      </c>
      <c r="O391" s="5" t="str">
        <f>IF(ISBLANK(Лист1!O391),"",Лист1!O391)</f>
        <v/>
      </c>
      <c r="P391" s="5" t="str">
        <f>IF(ISBLANK(Лист1!P391),"",Лист1!P391)</f>
        <v/>
      </c>
      <c r="Q391" s="5" t="str">
        <f>IF(ISBLANK(Лист1!Q391),"",Лист1!Q391)</f>
        <v/>
      </c>
      <c r="R391" s="5" t="str">
        <f>IF(ISBLANK(Лист1!R391),"",Лист1!R391)</f>
        <v/>
      </c>
      <c r="S391" s="5" t="str">
        <f>IF(ISBLANK(Лист1!S391),"",Лист1!S391)</f>
        <v/>
      </c>
      <c r="T391" s="5" t="str">
        <f>IF(ISBLANK(Лист1!T391),"",Лист1!T391)</f>
        <v/>
      </c>
      <c r="U391" s="5" t="str">
        <f>IF(ISBLANK(Лист1!U391),"",Лист1!U391)</f>
        <v/>
      </c>
      <c r="V391" s="5" t="str">
        <f>IF(ISBLANK(Лист1!V391),"",Лист1!V391)</f>
        <v/>
      </c>
      <c r="W391" s="5" t="str">
        <f>IF(ISBLANK(Лист1!W391),"",Лист1!W391)</f>
        <v/>
      </c>
      <c r="X391" s="5" t="str">
        <f>IF(ISBLANK(Лист1!X391),"",Лист1!X391)</f>
        <v/>
      </c>
      <c r="Y391" s="5" t="str">
        <f>IF(ISERROR(VLOOKUP($X391,Лист2!$A$2:$G$498,1,FALSE)),"",VLOOKUP($X391,Лист2!$A$2:$G$498,1,FALSE))</f>
        <v/>
      </c>
      <c r="Z391" s="5" t="str">
        <f>IF(ISERROR(VLOOKUP($X391,Лист2!$A$2:$G$498,5,FALSE)),"",VLOOKUP($X391,Лист2!$A$2:$G$498,5,FALSE))</f>
        <v/>
      </c>
      <c r="AA391" s="5" t="str">
        <f>IF(ISERROR(VLOOKUP($X391,Лист2!$A$2:$G$498,6,FALSE)),"",VLOOKUP($X391,Лист2!$A$2:$G$498,6,FALSE))</f>
        <v/>
      </c>
      <c r="AB391" s="5" t="str">
        <f>IF(ISERROR(VLOOKUP($X391,Лист2!$A$2:$G$498,7,FALSE)),"",VLOOKUP($X391,Лист2!$A$2:$G$498,7,FALSE))</f>
        <v/>
      </c>
    </row>
    <row r="392" spans="1:28" x14ac:dyDescent="0.25">
      <c r="A392" s="5" t="str">
        <f>IF(ISBLANK(Лист1!A392),"",Лист1!A392)</f>
        <v/>
      </c>
      <c r="B392" s="5" t="str">
        <f>IF(ISBLANK(Лист1!B392),"",Лист1!B392)</f>
        <v/>
      </c>
      <c r="C392" s="5" t="str">
        <f>IF(ISBLANK(Лист1!C392),"",Лист1!C392)</f>
        <v/>
      </c>
      <c r="D392" s="5" t="str">
        <f>IF(ISBLANK(Лист1!D392),"",Лист1!D392)</f>
        <v/>
      </c>
      <c r="E392" s="5" t="str">
        <f>IF(ISBLANK(Лист1!E392),"",Лист1!E392)</f>
        <v/>
      </c>
      <c r="F392" s="5" t="str">
        <f>IF(ISBLANK(Лист1!F392),"",Лист1!F392)</f>
        <v/>
      </c>
      <c r="G392" s="5" t="str">
        <f>IF(ISBLANK(Лист1!G392),"",Лист1!G392)</f>
        <v/>
      </c>
      <c r="H392" s="5" t="str">
        <f>IF(ISBLANK(Лист1!H392),"",Лист1!H392)</f>
        <v/>
      </c>
      <c r="I392" s="5" t="str">
        <f>IF(ISBLANK(Лист1!I392),"",Лист1!I392)</f>
        <v/>
      </c>
      <c r="J392" s="5" t="str">
        <f>IF(ISBLANK(Лист1!J392),"",Лист1!J392)</f>
        <v/>
      </c>
      <c r="K392" s="5" t="str">
        <f>IF(ISBLANK(Лист1!K392),"",Лист1!K392)</f>
        <v/>
      </c>
      <c r="L392" s="5" t="str">
        <f>IF(ISBLANK(Лист1!L392),"",Лист1!L392)</f>
        <v/>
      </c>
      <c r="M392" s="5" t="str">
        <f>IF(ISBLANK(Лист1!M392),"",Лист1!M392)</f>
        <v/>
      </c>
      <c r="N392" s="5" t="str">
        <f>IF(ISBLANK(Лист1!N392),"",Лист1!N392)</f>
        <v/>
      </c>
      <c r="O392" s="5" t="str">
        <f>IF(ISBLANK(Лист1!O392),"",Лист1!O392)</f>
        <v/>
      </c>
      <c r="P392" s="5" t="str">
        <f>IF(ISBLANK(Лист1!P392),"",Лист1!P392)</f>
        <v/>
      </c>
      <c r="Q392" s="5" t="str">
        <f>IF(ISBLANK(Лист1!Q392),"",Лист1!Q392)</f>
        <v/>
      </c>
      <c r="R392" s="5" t="str">
        <f>IF(ISBLANK(Лист1!R392),"",Лист1!R392)</f>
        <v/>
      </c>
      <c r="S392" s="5" t="str">
        <f>IF(ISBLANK(Лист1!S392),"",Лист1!S392)</f>
        <v/>
      </c>
      <c r="T392" s="5" t="str">
        <f>IF(ISBLANK(Лист1!T392),"",Лист1!T392)</f>
        <v/>
      </c>
      <c r="U392" s="5" t="str">
        <f>IF(ISBLANK(Лист1!U392),"",Лист1!U392)</f>
        <v/>
      </c>
      <c r="V392" s="5" t="str">
        <f>IF(ISBLANK(Лист1!V392),"",Лист1!V392)</f>
        <v/>
      </c>
      <c r="W392" s="5" t="str">
        <f>IF(ISBLANK(Лист1!W392),"",Лист1!W392)</f>
        <v/>
      </c>
      <c r="X392" s="5" t="str">
        <f>IF(ISBLANK(Лист1!X392),"",Лист1!X392)</f>
        <v/>
      </c>
      <c r="Y392" s="5" t="str">
        <f>IF(ISERROR(VLOOKUP($X392,Лист2!$A$2:$G$498,1,FALSE)),"",VLOOKUP($X392,Лист2!$A$2:$G$498,1,FALSE))</f>
        <v/>
      </c>
      <c r="Z392" s="5" t="str">
        <f>IF(ISERROR(VLOOKUP($X392,Лист2!$A$2:$G$498,5,FALSE)),"",VLOOKUP($X392,Лист2!$A$2:$G$498,5,FALSE))</f>
        <v/>
      </c>
      <c r="AA392" s="5" t="str">
        <f>IF(ISERROR(VLOOKUP($X392,Лист2!$A$2:$G$498,6,FALSE)),"",VLOOKUP($X392,Лист2!$A$2:$G$498,6,FALSE))</f>
        <v/>
      </c>
      <c r="AB392" s="5" t="str">
        <f>IF(ISERROR(VLOOKUP($X392,Лист2!$A$2:$G$498,7,FALSE)),"",VLOOKUP($X392,Лист2!$A$2:$G$498,7,FALSE))</f>
        <v/>
      </c>
    </row>
    <row r="393" spans="1:28" x14ac:dyDescent="0.25">
      <c r="A393" s="5" t="str">
        <f>IF(ISBLANK(Лист1!A393),"",Лист1!A393)</f>
        <v/>
      </c>
      <c r="B393" s="5" t="str">
        <f>IF(ISBLANK(Лист1!B393),"",Лист1!B393)</f>
        <v/>
      </c>
      <c r="C393" s="5" t="str">
        <f>IF(ISBLANK(Лист1!C393),"",Лист1!C393)</f>
        <v/>
      </c>
      <c r="D393" s="5" t="str">
        <f>IF(ISBLANK(Лист1!D393),"",Лист1!D393)</f>
        <v/>
      </c>
      <c r="E393" s="5" t="str">
        <f>IF(ISBLANK(Лист1!E393),"",Лист1!E393)</f>
        <v/>
      </c>
      <c r="F393" s="5" t="str">
        <f>IF(ISBLANK(Лист1!F393),"",Лист1!F393)</f>
        <v/>
      </c>
      <c r="G393" s="5" t="str">
        <f>IF(ISBLANK(Лист1!G393),"",Лист1!G393)</f>
        <v/>
      </c>
      <c r="H393" s="5" t="str">
        <f>IF(ISBLANK(Лист1!H393),"",Лист1!H393)</f>
        <v/>
      </c>
      <c r="I393" s="5" t="str">
        <f>IF(ISBLANK(Лист1!I393),"",Лист1!I393)</f>
        <v/>
      </c>
      <c r="J393" s="5" t="str">
        <f>IF(ISBLANK(Лист1!J393),"",Лист1!J393)</f>
        <v/>
      </c>
      <c r="K393" s="5" t="str">
        <f>IF(ISBLANK(Лист1!K393),"",Лист1!K393)</f>
        <v/>
      </c>
      <c r="L393" s="5" t="str">
        <f>IF(ISBLANK(Лист1!L393),"",Лист1!L393)</f>
        <v/>
      </c>
      <c r="M393" s="5" t="str">
        <f>IF(ISBLANK(Лист1!M393),"",Лист1!M393)</f>
        <v/>
      </c>
      <c r="N393" s="5" t="str">
        <f>IF(ISBLANK(Лист1!N393),"",Лист1!N393)</f>
        <v/>
      </c>
      <c r="O393" s="5" t="str">
        <f>IF(ISBLANK(Лист1!O393),"",Лист1!O393)</f>
        <v/>
      </c>
      <c r="P393" s="5" t="str">
        <f>IF(ISBLANK(Лист1!P393),"",Лист1!P393)</f>
        <v/>
      </c>
      <c r="Q393" s="5" t="str">
        <f>IF(ISBLANK(Лист1!Q393),"",Лист1!Q393)</f>
        <v/>
      </c>
      <c r="R393" s="5" t="str">
        <f>IF(ISBLANK(Лист1!R393),"",Лист1!R393)</f>
        <v/>
      </c>
      <c r="S393" s="5" t="str">
        <f>IF(ISBLANK(Лист1!S393),"",Лист1!S393)</f>
        <v/>
      </c>
      <c r="T393" s="5" t="str">
        <f>IF(ISBLANK(Лист1!T393),"",Лист1!T393)</f>
        <v/>
      </c>
      <c r="U393" s="5" t="str">
        <f>IF(ISBLANK(Лист1!U393),"",Лист1!U393)</f>
        <v/>
      </c>
      <c r="V393" s="5" t="str">
        <f>IF(ISBLANK(Лист1!V393),"",Лист1!V393)</f>
        <v/>
      </c>
      <c r="W393" s="5" t="str">
        <f>IF(ISBLANK(Лист1!W393),"",Лист1!W393)</f>
        <v/>
      </c>
      <c r="X393" s="5" t="str">
        <f>IF(ISBLANK(Лист1!X393),"",Лист1!X393)</f>
        <v/>
      </c>
      <c r="Y393" s="5" t="str">
        <f>IF(ISERROR(VLOOKUP($X393,Лист2!$A$2:$G$498,1,FALSE)),"",VLOOKUP($X393,Лист2!$A$2:$G$498,1,FALSE))</f>
        <v/>
      </c>
      <c r="Z393" s="5" t="str">
        <f>IF(ISERROR(VLOOKUP($X393,Лист2!$A$2:$G$498,5,FALSE)),"",VLOOKUP($X393,Лист2!$A$2:$G$498,5,FALSE))</f>
        <v/>
      </c>
      <c r="AA393" s="5" t="str">
        <f>IF(ISERROR(VLOOKUP($X393,Лист2!$A$2:$G$498,6,FALSE)),"",VLOOKUP($X393,Лист2!$A$2:$G$498,6,FALSE))</f>
        <v/>
      </c>
      <c r="AB393" s="5" t="str">
        <f>IF(ISERROR(VLOOKUP($X393,Лист2!$A$2:$G$498,7,FALSE)),"",VLOOKUP($X393,Лист2!$A$2:$G$498,7,FALSE))</f>
        <v/>
      </c>
    </row>
    <row r="394" spans="1:28" x14ac:dyDescent="0.25">
      <c r="A394" s="5" t="str">
        <f>IF(ISBLANK(Лист1!A394),"",Лист1!A394)</f>
        <v/>
      </c>
      <c r="B394" s="5" t="str">
        <f>IF(ISBLANK(Лист1!B394),"",Лист1!B394)</f>
        <v/>
      </c>
      <c r="C394" s="5" t="str">
        <f>IF(ISBLANK(Лист1!C394),"",Лист1!C394)</f>
        <v/>
      </c>
      <c r="D394" s="5" t="str">
        <f>IF(ISBLANK(Лист1!D394),"",Лист1!D394)</f>
        <v/>
      </c>
      <c r="E394" s="5" t="str">
        <f>IF(ISBLANK(Лист1!E394),"",Лист1!E394)</f>
        <v/>
      </c>
      <c r="F394" s="5" t="str">
        <f>IF(ISBLANK(Лист1!F394),"",Лист1!F394)</f>
        <v/>
      </c>
      <c r="G394" s="5" t="str">
        <f>IF(ISBLANK(Лист1!G394),"",Лист1!G394)</f>
        <v/>
      </c>
      <c r="H394" s="5" t="str">
        <f>IF(ISBLANK(Лист1!H394),"",Лист1!H394)</f>
        <v/>
      </c>
      <c r="I394" s="5" t="str">
        <f>IF(ISBLANK(Лист1!I394),"",Лист1!I394)</f>
        <v/>
      </c>
      <c r="J394" s="5" t="str">
        <f>IF(ISBLANK(Лист1!J394),"",Лист1!J394)</f>
        <v/>
      </c>
      <c r="K394" s="5" t="str">
        <f>IF(ISBLANK(Лист1!K394),"",Лист1!K394)</f>
        <v/>
      </c>
      <c r="L394" s="5" t="str">
        <f>IF(ISBLANK(Лист1!L394),"",Лист1!L394)</f>
        <v/>
      </c>
      <c r="M394" s="5" t="str">
        <f>IF(ISBLANK(Лист1!M394),"",Лист1!M394)</f>
        <v/>
      </c>
      <c r="N394" s="5" t="str">
        <f>IF(ISBLANK(Лист1!N394),"",Лист1!N394)</f>
        <v/>
      </c>
      <c r="O394" s="5" t="str">
        <f>IF(ISBLANK(Лист1!O394),"",Лист1!O394)</f>
        <v/>
      </c>
      <c r="P394" s="5" t="str">
        <f>IF(ISBLANK(Лист1!P394),"",Лист1!P394)</f>
        <v/>
      </c>
      <c r="Q394" s="5" t="str">
        <f>IF(ISBLANK(Лист1!Q394),"",Лист1!Q394)</f>
        <v/>
      </c>
      <c r="R394" s="5" t="str">
        <f>IF(ISBLANK(Лист1!R394),"",Лист1!R394)</f>
        <v/>
      </c>
      <c r="S394" s="5" t="str">
        <f>IF(ISBLANK(Лист1!S394),"",Лист1!S394)</f>
        <v/>
      </c>
      <c r="T394" s="5" t="str">
        <f>IF(ISBLANK(Лист1!T394),"",Лист1!T394)</f>
        <v/>
      </c>
      <c r="U394" s="5" t="str">
        <f>IF(ISBLANK(Лист1!U394),"",Лист1!U394)</f>
        <v/>
      </c>
      <c r="V394" s="5" t="str">
        <f>IF(ISBLANK(Лист1!V394),"",Лист1!V394)</f>
        <v/>
      </c>
      <c r="W394" s="5" t="str">
        <f>IF(ISBLANK(Лист1!W394),"",Лист1!W394)</f>
        <v/>
      </c>
      <c r="X394" s="5" t="str">
        <f>IF(ISBLANK(Лист1!X394),"",Лист1!X394)</f>
        <v/>
      </c>
      <c r="Y394" s="5" t="str">
        <f>IF(ISERROR(VLOOKUP($X394,Лист2!$A$2:$G$498,1,FALSE)),"",VLOOKUP($X394,Лист2!$A$2:$G$498,1,FALSE))</f>
        <v/>
      </c>
      <c r="Z394" s="5" t="str">
        <f>IF(ISERROR(VLOOKUP($X394,Лист2!$A$2:$G$498,5,FALSE)),"",VLOOKUP($X394,Лист2!$A$2:$G$498,5,FALSE))</f>
        <v/>
      </c>
      <c r="AA394" s="5" t="str">
        <f>IF(ISERROR(VLOOKUP($X394,Лист2!$A$2:$G$498,6,FALSE)),"",VLOOKUP($X394,Лист2!$A$2:$G$498,6,FALSE))</f>
        <v/>
      </c>
      <c r="AB394" s="5" t="str">
        <f>IF(ISERROR(VLOOKUP($X394,Лист2!$A$2:$G$498,7,FALSE)),"",VLOOKUP($X394,Лист2!$A$2:$G$498,7,FALSE))</f>
        <v/>
      </c>
    </row>
    <row r="395" spans="1:28" x14ac:dyDescent="0.25">
      <c r="A395" s="5" t="str">
        <f>IF(ISBLANK(Лист1!A395),"",Лист1!A395)</f>
        <v/>
      </c>
      <c r="B395" s="5" t="str">
        <f>IF(ISBLANK(Лист1!B395),"",Лист1!B395)</f>
        <v/>
      </c>
      <c r="C395" s="5" t="str">
        <f>IF(ISBLANK(Лист1!C395),"",Лист1!C395)</f>
        <v/>
      </c>
      <c r="D395" s="5" t="str">
        <f>IF(ISBLANK(Лист1!D395),"",Лист1!D395)</f>
        <v/>
      </c>
      <c r="E395" s="5" t="str">
        <f>IF(ISBLANK(Лист1!E395),"",Лист1!E395)</f>
        <v/>
      </c>
      <c r="F395" s="5" t="str">
        <f>IF(ISBLANK(Лист1!F395),"",Лист1!F395)</f>
        <v/>
      </c>
      <c r="G395" s="5" t="str">
        <f>IF(ISBLANK(Лист1!G395),"",Лист1!G395)</f>
        <v/>
      </c>
      <c r="H395" s="5" t="str">
        <f>IF(ISBLANK(Лист1!H395),"",Лист1!H395)</f>
        <v/>
      </c>
      <c r="I395" s="5" t="str">
        <f>IF(ISBLANK(Лист1!I395),"",Лист1!I395)</f>
        <v/>
      </c>
      <c r="J395" s="5" t="str">
        <f>IF(ISBLANK(Лист1!J395),"",Лист1!J395)</f>
        <v/>
      </c>
      <c r="K395" s="5" t="str">
        <f>IF(ISBLANK(Лист1!K395),"",Лист1!K395)</f>
        <v/>
      </c>
      <c r="L395" s="5" t="str">
        <f>IF(ISBLANK(Лист1!L395),"",Лист1!L395)</f>
        <v/>
      </c>
      <c r="M395" s="5" t="str">
        <f>IF(ISBLANK(Лист1!M395),"",Лист1!M395)</f>
        <v/>
      </c>
      <c r="N395" s="5" t="str">
        <f>IF(ISBLANK(Лист1!N395),"",Лист1!N395)</f>
        <v/>
      </c>
      <c r="O395" s="5" t="str">
        <f>IF(ISBLANK(Лист1!O395),"",Лист1!O395)</f>
        <v/>
      </c>
      <c r="P395" s="5" t="str">
        <f>IF(ISBLANK(Лист1!P395),"",Лист1!P395)</f>
        <v/>
      </c>
      <c r="Q395" s="5" t="str">
        <f>IF(ISBLANK(Лист1!Q395),"",Лист1!Q395)</f>
        <v/>
      </c>
      <c r="R395" s="5" t="str">
        <f>IF(ISBLANK(Лист1!R395),"",Лист1!R395)</f>
        <v/>
      </c>
      <c r="S395" s="5" t="str">
        <f>IF(ISBLANK(Лист1!S395),"",Лист1!S395)</f>
        <v/>
      </c>
      <c r="T395" s="5" t="str">
        <f>IF(ISBLANK(Лист1!T395),"",Лист1!T395)</f>
        <v/>
      </c>
      <c r="U395" s="5" t="str">
        <f>IF(ISBLANK(Лист1!U395),"",Лист1!U395)</f>
        <v/>
      </c>
      <c r="V395" s="5" t="str">
        <f>IF(ISBLANK(Лист1!V395),"",Лист1!V395)</f>
        <v/>
      </c>
      <c r="W395" s="5" t="str">
        <f>IF(ISBLANK(Лист1!W395),"",Лист1!W395)</f>
        <v/>
      </c>
      <c r="X395" s="5" t="str">
        <f>IF(ISBLANK(Лист1!X395),"",Лист1!X395)</f>
        <v/>
      </c>
      <c r="Y395" s="5" t="str">
        <f>IF(ISERROR(VLOOKUP($X395,Лист2!$A$2:$G$498,1,FALSE)),"",VLOOKUP($X395,Лист2!$A$2:$G$498,1,FALSE))</f>
        <v/>
      </c>
      <c r="Z395" s="5" t="str">
        <f>IF(ISERROR(VLOOKUP($X395,Лист2!$A$2:$G$498,5,FALSE)),"",VLOOKUP($X395,Лист2!$A$2:$G$498,5,FALSE))</f>
        <v/>
      </c>
      <c r="AA395" s="5" t="str">
        <f>IF(ISERROR(VLOOKUP($X395,Лист2!$A$2:$G$498,6,FALSE)),"",VLOOKUP($X395,Лист2!$A$2:$G$498,6,FALSE))</f>
        <v/>
      </c>
      <c r="AB395" s="5" t="str">
        <f>IF(ISERROR(VLOOKUP($X395,Лист2!$A$2:$G$498,7,FALSE)),"",VLOOKUP($X395,Лист2!$A$2:$G$498,7,FALSE))</f>
        <v/>
      </c>
    </row>
    <row r="396" spans="1:28" x14ac:dyDescent="0.25">
      <c r="A396" s="5" t="str">
        <f>IF(ISBLANK(Лист1!A396),"",Лист1!A396)</f>
        <v/>
      </c>
      <c r="B396" s="5" t="str">
        <f>IF(ISBLANK(Лист1!B396),"",Лист1!B396)</f>
        <v/>
      </c>
      <c r="C396" s="5" t="str">
        <f>IF(ISBLANK(Лист1!C396),"",Лист1!C396)</f>
        <v/>
      </c>
      <c r="D396" s="5" t="str">
        <f>IF(ISBLANK(Лист1!D396),"",Лист1!D396)</f>
        <v/>
      </c>
      <c r="E396" s="5" t="str">
        <f>IF(ISBLANK(Лист1!E396),"",Лист1!E396)</f>
        <v/>
      </c>
      <c r="F396" s="5" t="str">
        <f>IF(ISBLANK(Лист1!F396),"",Лист1!F396)</f>
        <v/>
      </c>
      <c r="G396" s="5" t="str">
        <f>IF(ISBLANK(Лист1!G396),"",Лист1!G396)</f>
        <v/>
      </c>
      <c r="H396" s="5" t="str">
        <f>IF(ISBLANK(Лист1!H396),"",Лист1!H396)</f>
        <v/>
      </c>
      <c r="I396" s="5" t="str">
        <f>IF(ISBLANK(Лист1!I396),"",Лист1!I396)</f>
        <v/>
      </c>
      <c r="J396" s="5" t="str">
        <f>IF(ISBLANK(Лист1!J396),"",Лист1!J396)</f>
        <v/>
      </c>
      <c r="K396" s="5" t="str">
        <f>IF(ISBLANK(Лист1!K396),"",Лист1!K396)</f>
        <v/>
      </c>
      <c r="L396" s="5" t="str">
        <f>IF(ISBLANK(Лист1!L396),"",Лист1!L396)</f>
        <v/>
      </c>
      <c r="M396" s="5" t="str">
        <f>IF(ISBLANK(Лист1!M396),"",Лист1!M396)</f>
        <v/>
      </c>
      <c r="N396" s="5" t="str">
        <f>IF(ISBLANK(Лист1!N396),"",Лист1!N396)</f>
        <v/>
      </c>
      <c r="O396" s="5" t="str">
        <f>IF(ISBLANK(Лист1!O396),"",Лист1!O396)</f>
        <v/>
      </c>
      <c r="P396" s="5" t="str">
        <f>IF(ISBLANK(Лист1!P396),"",Лист1!P396)</f>
        <v/>
      </c>
      <c r="Q396" s="5" t="str">
        <f>IF(ISBLANK(Лист1!Q396),"",Лист1!Q396)</f>
        <v/>
      </c>
      <c r="R396" s="5" t="str">
        <f>IF(ISBLANK(Лист1!R396),"",Лист1!R396)</f>
        <v/>
      </c>
      <c r="S396" s="5" t="str">
        <f>IF(ISBLANK(Лист1!S396),"",Лист1!S396)</f>
        <v/>
      </c>
      <c r="T396" s="5" t="str">
        <f>IF(ISBLANK(Лист1!T396),"",Лист1!T396)</f>
        <v/>
      </c>
      <c r="U396" s="5" t="str">
        <f>IF(ISBLANK(Лист1!U396),"",Лист1!U396)</f>
        <v/>
      </c>
      <c r="V396" s="5" t="str">
        <f>IF(ISBLANK(Лист1!V396),"",Лист1!V396)</f>
        <v/>
      </c>
      <c r="W396" s="5" t="str">
        <f>IF(ISBLANK(Лист1!W396),"",Лист1!W396)</f>
        <v/>
      </c>
      <c r="X396" s="5" t="str">
        <f>IF(ISBLANK(Лист1!X396),"",Лист1!X396)</f>
        <v/>
      </c>
      <c r="Y396" s="5" t="str">
        <f>IF(ISERROR(VLOOKUP($X396,Лист2!$A$2:$G$498,1,FALSE)),"",VLOOKUP($X396,Лист2!$A$2:$G$498,1,FALSE))</f>
        <v/>
      </c>
      <c r="Z396" s="5" t="str">
        <f>IF(ISERROR(VLOOKUP($X396,Лист2!$A$2:$G$498,5,FALSE)),"",VLOOKUP($X396,Лист2!$A$2:$G$498,5,FALSE))</f>
        <v/>
      </c>
      <c r="AA396" s="5" t="str">
        <f>IF(ISERROR(VLOOKUP($X396,Лист2!$A$2:$G$498,6,FALSE)),"",VLOOKUP($X396,Лист2!$A$2:$G$498,6,FALSE))</f>
        <v/>
      </c>
      <c r="AB396" s="5" t="str">
        <f>IF(ISERROR(VLOOKUP($X396,Лист2!$A$2:$G$498,7,FALSE)),"",VLOOKUP($X396,Лист2!$A$2:$G$498,7,FALSE))</f>
        <v/>
      </c>
    </row>
    <row r="397" spans="1:28" x14ac:dyDescent="0.25">
      <c r="A397" s="5" t="str">
        <f>IF(ISBLANK(Лист1!A397),"",Лист1!A397)</f>
        <v/>
      </c>
      <c r="B397" s="5" t="str">
        <f>IF(ISBLANK(Лист1!B397),"",Лист1!B397)</f>
        <v/>
      </c>
      <c r="C397" s="5" t="str">
        <f>IF(ISBLANK(Лист1!C397),"",Лист1!C397)</f>
        <v/>
      </c>
      <c r="D397" s="5" t="str">
        <f>IF(ISBLANK(Лист1!D397),"",Лист1!D397)</f>
        <v/>
      </c>
      <c r="E397" s="5" t="str">
        <f>IF(ISBLANK(Лист1!E397),"",Лист1!E397)</f>
        <v/>
      </c>
      <c r="F397" s="5" t="str">
        <f>IF(ISBLANK(Лист1!F397),"",Лист1!F397)</f>
        <v/>
      </c>
      <c r="G397" s="5" t="str">
        <f>IF(ISBLANK(Лист1!G397),"",Лист1!G397)</f>
        <v/>
      </c>
      <c r="H397" s="5" t="str">
        <f>IF(ISBLANK(Лист1!H397),"",Лист1!H397)</f>
        <v/>
      </c>
      <c r="I397" s="5" t="str">
        <f>IF(ISBLANK(Лист1!I397),"",Лист1!I397)</f>
        <v/>
      </c>
      <c r="J397" s="5" t="str">
        <f>IF(ISBLANK(Лист1!J397),"",Лист1!J397)</f>
        <v/>
      </c>
      <c r="K397" s="5" t="str">
        <f>IF(ISBLANK(Лист1!K397),"",Лист1!K397)</f>
        <v/>
      </c>
      <c r="L397" s="5" t="str">
        <f>IF(ISBLANK(Лист1!L397),"",Лист1!L397)</f>
        <v/>
      </c>
      <c r="M397" s="5" t="str">
        <f>IF(ISBLANK(Лист1!M397),"",Лист1!M397)</f>
        <v/>
      </c>
      <c r="N397" s="5" t="str">
        <f>IF(ISBLANK(Лист1!N397),"",Лист1!N397)</f>
        <v/>
      </c>
      <c r="O397" s="5" t="str">
        <f>IF(ISBLANK(Лист1!O397),"",Лист1!O397)</f>
        <v/>
      </c>
      <c r="P397" s="5" t="str">
        <f>IF(ISBLANK(Лист1!P397),"",Лист1!P397)</f>
        <v/>
      </c>
      <c r="Q397" s="5" t="str">
        <f>IF(ISBLANK(Лист1!Q397),"",Лист1!Q397)</f>
        <v/>
      </c>
      <c r="R397" s="5" t="str">
        <f>IF(ISBLANK(Лист1!R397),"",Лист1!R397)</f>
        <v/>
      </c>
      <c r="S397" s="5" t="str">
        <f>IF(ISBLANK(Лист1!S397),"",Лист1!S397)</f>
        <v/>
      </c>
      <c r="T397" s="5" t="str">
        <f>IF(ISBLANK(Лист1!T397),"",Лист1!T397)</f>
        <v/>
      </c>
      <c r="U397" s="5" t="str">
        <f>IF(ISBLANK(Лист1!U397),"",Лист1!U397)</f>
        <v/>
      </c>
      <c r="V397" s="5" t="str">
        <f>IF(ISBLANK(Лист1!V397),"",Лист1!V397)</f>
        <v/>
      </c>
      <c r="W397" s="5" t="str">
        <f>IF(ISBLANK(Лист1!W397),"",Лист1!W397)</f>
        <v/>
      </c>
      <c r="X397" s="5" t="str">
        <f>IF(ISBLANK(Лист1!X397),"",Лист1!X397)</f>
        <v/>
      </c>
      <c r="Y397" s="5" t="str">
        <f>IF(ISERROR(VLOOKUP($X397,Лист2!$A$2:$G$498,1,FALSE)),"",VLOOKUP($X397,Лист2!$A$2:$G$498,1,FALSE))</f>
        <v/>
      </c>
      <c r="Z397" s="5" t="str">
        <f>IF(ISERROR(VLOOKUP($X397,Лист2!$A$2:$G$498,5,FALSE)),"",VLOOKUP($X397,Лист2!$A$2:$G$498,5,FALSE))</f>
        <v/>
      </c>
      <c r="AA397" s="5" t="str">
        <f>IF(ISERROR(VLOOKUP($X397,Лист2!$A$2:$G$498,6,FALSE)),"",VLOOKUP($X397,Лист2!$A$2:$G$498,6,FALSE))</f>
        <v/>
      </c>
      <c r="AB397" s="5" t="str">
        <f>IF(ISERROR(VLOOKUP($X397,Лист2!$A$2:$G$498,7,FALSE)),"",VLOOKUP($X397,Лист2!$A$2:$G$498,7,FALSE))</f>
        <v/>
      </c>
    </row>
    <row r="398" spans="1:28" x14ac:dyDescent="0.25">
      <c r="A398" s="5" t="str">
        <f>IF(ISBLANK(Лист1!A398),"",Лист1!A398)</f>
        <v/>
      </c>
      <c r="B398" s="5" t="str">
        <f>IF(ISBLANK(Лист1!B398),"",Лист1!B398)</f>
        <v/>
      </c>
      <c r="C398" s="5" t="str">
        <f>IF(ISBLANK(Лист1!C398),"",Лист1!C398)</f>
        <v/>
      </c>
      <c r="D398" s="5" t="str">
        <f>IF(ISBLANK(Лист1!D398),"",Лист1!D398)</f>
        <v/>
      </c>
      <c r="E398" s="5" t="str">
        <f>IF(ISBLANK(Лист1!E398),"",Лист1!E398)</f>
        <v/>
      </c>
      <c r="F398" s="5" t="str">
        <f>IF(ISBLANK(Лист1!F398),"",Лист1!F398)</f>
        <v/>
      </c>
      <c r="G398" s="5" t="str">
        <f>IF(ISBLANK(Лист1!G398),"",Лист1!G398)</f>
        <v/>
      </c>
      <c r="H398" s="5" t="str">
        <f>IF(ISBLANK(Лист1!H398),"",Лист1!H398)</f>
        <v/>
      </c>
      <c r="I398" s="5" t="str">
        <f>IF(ISBLANK(Лист1!I398),"",Лист1!I398)</f>
        <v/>
      </c>
      <c r="J398" s="5" t="str">
        <f>IF(ISBLANK(Лист1!J398),"",Лист1!J398)</f>
        <v/>
      </c>
      <c r="K398" s="5" t="str">
        <f>IF(ISBLANK(Лист1!K398),"",Лист1!K398)</f>
        <v/>
      </c>
      <c r="L398" s="5" t="str">
        <f>IF(ISBLANK(Лист1!L398),"",Лист1!L398)</f>
        <v/>
      </c>
      <c r="M398" s="5" t="str">
        <f>IF(ISBLANK(Лист1!M398),"",Лист1!M398)</f>
        <v/>
      </c>
      <c r="N398" s="5" t="str">
        <f>IF(ISBLANK(Лист1!N398),"",Лист1!N398)</f>
        <v/>
      </c>
      <c r="O398" s="5" t="str">
        <f>IF(ISBLANK(Лист1!O398),"",Лист1!O398)</f>
        <v/>
      </c>
      <c r="P398" s="5" t="str">
        <f>IF(ISBLANK(Лист1!P398),"",Лист1!P398)</f>
        <v/>
      </c>
      <c r="Q398" s="5" t="str">
        <f>IF(ISBLANK(Лист1!Q398),"",Лист1!Q398)</f>
        <v/>
      </c>
      <c r="R398" s="5" t="str">
        <f>IF(ISBLANK(Лист1!R398),"",Лист1!R398)</f>
        <v/>
      </c>
      <c r="S398" s="5" t="str">
        <f>IF(ISBLANK(Лист1!S398),"",Лист1!S398)</f>
        <v/>
      </c>
      <c r="T398" s="5" t="str">
        <f>IF(ISBLANK(Лист1!T398),"",Лист1!T398)</f>
        <v/>
      </c>
      <c r="U398" s="5" t="str">
        <f>IF(ISBLANK(Лист1!U398),"",Лист1!U398)</f>
        <v/>
      </c>
      <c r="V398" s="5" t="str">
        <f>IF(ISBLANK(Лист1!V398),"",Лист1!V398)</f>
        <v/>
      </c>
      <c r="W398" s="5" t="str">
        <f>IF(ISBLANK(Лист1!W398),"",Лист1!W398)</f>
        <v/>
      </c>
      <c r="X398" s="5" t="str">
        <f>IF(ISBLANK(Лист1!X398),"",Лист1!X398)</f>
        <v/>
      </c>
      <c r="Y398" s="5" t="str">
        <f>IF(ISERROR(VLOOKUP($X398,Лист2!$A$2:$G$498,1,FALSE)),"",VLOOKUP($X398,Лист2!$A$2:$G$498,1,FALSE))</f>
        <v/>
      </c>
      <c r="Z398" s="5" t="str">
        <f>IF(ISERROR(VLOOKUP($X398,Лист2!$A$2:$G$498,5,FALSE)),"",VLOOKUP($X398,Лист2!$A$2:$G$498,5,FALSE))</f>
        <v/>
      </c>
      <c r="AA398" s="5" t="str">
        <f>IF(ISERROR(VLOOKUP($X398,Лист2!$A$2:$G$498,6,FALSE)),"",VLOOKUP($X398,Лист2!$A$2:$G$498,6,FALSE))</f>
        <v/>
      </c>
      <c r="AB398" s="5" t="str">
        <f>IF(ISERROR(VLOOKUP($X398,Лист2!$A$2:$G$498,7,FALSE)),"",VLOOKUP($X398,Лист2!$A$2:$G$498,7,FALSE))</f>
        <v/>
      </c>
    </row>
    <row r="399" spans="1:28" x14ac:dyDescent="0.25">
      <c r="A399" s="5" t="str">
        <f>IF(ISBLANK(Лист1!A399),"",Лист1!A399)</f>
        <v/>
      </c>
      <c r="B399" s="5" t="str">
        <f>IF(ISBLANK(Лист1!B399),"",Лист1!B399)</f>
        <v/>
      </c>
      <c r="C399" s="5" t="str">
        <f>IF(ISBLANK(Лист1!C399),"",Лист1!C399)</f>
        <v/>
      </c>
      <c r="D399" s="5" t="str">
        <f>IF(ISBLANK(Лист1!D399),"",Лист1!D399)</f>
        <v/>
      </c>
      <c r="E399" s="5" t="str">
        <f>IF(ISBLANK(Лист1!E399),"",Лист1!E399)</f>
        <v/>
      </c>
      <c r="F399" s="5" t="str">
        <f>IF(ISBLANK(Лист1!F399),"",Лист1!F399)</f>
        <v/>
      </c>
      <c r="G399" s="5" t="str">
        <f>IF(ISBLANK(Лист1!G399),"",Лист1!G399)</f>
        <v/>
      </c>
      <c r="H399" s="5" t="str">
        <f>IF(ISBLANK(Лист1!H399),"",Лист1!H399)</f>
        <v/>
      </c>
      <c r="I399" s="5" t="str">
        <f>IF(ISBLANK(Лист1!I399),"",Лист1!I399)</f>
        <v/>
      </c>
      <c r="J399" s="5" t="str">
        <f>IF(ISBLANK(Лист1!J399),"",Лист1!J399)</f>
        <v/>
      </c>
      <c r="K399" s="5" t="str">
        <f>IF(ISBLANK(Лист1!K399),"",Лист1!K399)</f>
        <v/>
      </c>
      <c r="L399" s="5" t="str">
        <f>IF(ISBLANK(Лист1!L399),"",Лист1!L399)</f>
        <v/>
      </c>
      <c r="M399" s="5" t="str">
        <f>IF(ISBLANK(Лист1!M399),"",Лист1!M399)</f>
        <v/>
      </c>
      <c r="N399" s="5" t="str">
        <f>IF(ISBLANK(Лист1!N399),"",Лист1!N399)</f>
        <v/>
      </c>
      <c r="O399" s="5" t="str">
        <f>IF(ISBLANK(Лист1!O399),"",Лист1!O399)</f>
        <v/>
      </c>
      <c r="P399" s="5" t="str">
        <f>IF(ISBLANK(Лист1!P399),"",Лист1!P399)</f>
        <v/>
      </c>
      <c r="Q399" s="5" t="str">
        <f>IF(ISBLANK(Лист1!Q399),"",Лист1!Q399)</f>
        <v/>
      </c>
      <c r="R399" s="5" t="str">
        <f>IF(ISBLANK(Лист1!R399),"",Лист1!R399)</f>
        <v/>
      </c>
      <c r="S399" s="5" t="str">
        <f>IF(ISBLANK(Лист1!S399),"",Лист1!S399)</f>
        <v/>
      </c>
      <c r="T399" s="5" t="str">
        <f>IF(ISBLANK(Лист1!T399),"",Лист1!T399)</f>
        <v/>
      </c>
      <c r="U399" s="5" t="str">
        <f>IF(ISBLANK(Лист1!U399),"",Лист1!U399)</f>
        <v/>
      </c>
      <c r="V399" s="5" t="str">
        <f>IF(ISBLANK(Лист1!V399),"",Лист1!V399)</f>
        <v/>
      </c>
      <c r="W399" s="5" t="str">
        <f>IF(ISBLANK(Лист1!W399),"",Лист1!W399)</f>
        <v/>
      </c>
      <c r="X399" s="5" t="str">
        <f>IF(ISBLANK(Лист1!X399),"",Лист1!X399)</f>
        <v/>
      </c>
      <c r="Y399" s="5" t="str">
        <f>IF(ISERROR(VLOOKUP($X399,Лист2!$A$2:$G$498,1,FALSE)),"",VLOOKUP($X399,Лист2!$A$2:$G$498,1,FALSE))</f>
        <v/>
      </c>
      <c r="Z399" s="5" t="str">
        <f>IF(ISERROR(VLOOKUP($X399,Лист2!$A$2:$G$498,5,FALSE)),"",VLOOKUP($X399,Лист2!$A$2:$G$498,5,FALSE))</f>
        <v/>
      </c>
      <c r="AA399" s="5" t="str">
        <f>IF(ISERROR(VLOOKUP($X399,Лист2!$A$2:$G$498,6,FALSE)),"",VLOOKUP($X399,Лист2!$A$2:$G$498,6,FALSE))</f>
        <v/>
      </c>
      <c r="AB399" s="5" t="str">
        <f>IF(ISERROR(VLOOKUP($X399,Лист2!$A$2:$G$498,7,FALSE)),"",VLOOKUP($X399,Лист2!$A$2:$G$498,7,FALSE))</f>
        <v/>
      </c>
    </row>
    <row r="400" spans="1:28" x14ac:dyDescent="0.25">
      <c r="A400" s="5" t="str">
        <f>IF(ISBLANK(Лист1!A400),"",Лист1!A400)</f>
        <v/>
      </c>
      <c r="B400" s="5" t="str">
        <f>IF(ISBLANK(Лист1!B400),"",Лист1!B400)</f>
        <v/>
      </c>
      <c r="C400" s="5" t="str">
        <f>IF(ISBLANK(Лист1!C400),"",Лист1!C400)</f>
        <v/>
      </c>
      <c r="D400" s="5" t="str">
        <f>IF(ISBLANK(Лист1!D400),"",Лист1!D400)</f>
        <v/>
      </c>
      <c r="E400" s="5" t="str">
        <f>IF(ISBLANK(Лист1!E400),"",Лист1!E400)</f>
        <v/>
      </c>
      <c r="F400" s="5" t="str">
        <f>IF(ISBLANK(Лист1!F400),"",Лист1!F400)</f>
        <v/>
      </c>
      <c r="G400" s="5" t="str">
        <f>IF(ISBLANK(Лист1!G400),"",Лист1!G400)</f>
        <v/>
      </c>
      <c r="H400" s="5" t="str">
        <f>IF(ISBLANK(Лист1!H400),"",Лист1!H400)</f>
        <v/>
      </c>
      <c r="I400" s="5" t="str">
        <f>IF(ISBLANK(Лист1!I400),"",Лист1!I400)</f>
        <v/>
      </c>
      <c r="J400" s="5" t="str">
        <f>IF(ISBLANK(Лист1!J400),"",Лист1!J400)</f>
        <v/>
      </c>
      <c r="K400" s="5" t="str">
        <f>IF(ISBLANK(Лист1!K400),"",Лист1!K400)</f>
        <v/>
      </c>
      <c r="L400" s="5" t="str">
        <f>IF(ISBLANK(Лист1!L400),"",Лист1!L400)</f>
        <v/>
      </c>
      <c r="M400" s="5" t="str">
        <f>IF(ISBLANK(Лист1!M400),"",Лист1!M400)</f>
        <v/>
      </c>
      <c r="N400" s="5" t="str">
        <f>IF(ISBLANK(Лист1!N400),"",Лист1!N400)</f>
        <v/>
      </c>
      <c r="O400" s="5" t="str">
        <f>IF(ISBLANK(Лист1!O400),"",Лист1!O400)</f>
        <v/>
      </c>
      <c r="P400" s="5" t="str">
        <f>IF(ISBLANK(Лист1!P400),"",Лист1!P400)</f>
        <v/>
      </c>
      <c r="Q400" s="5" t="str">
        <f>IF(ISBLANK(Лист1!Q400),"",Лист1!Q400)</f>
        <v/>
      </c>
      <c r="R400" s="5" t="str">
        <f>IF(ISBLANK(Лист1!R400),"",Лист1!R400)</f>
        <v/>
      </c>
      <c r="S400" s="5" t="str">
        <f>IF(ISBLANK(Лист1!S400),"",Лист1!S400)</f>
        <v/>
      </c>
      <c r="T400" s="5" t="str">
        <f>IF(ISBLANK(Лист1!T400),"",Лист1!T400)</f>
        <v/>
      </c>
      <c r="U400" s="5" t="str">
        <f>IF(ISBLANK(Лист1!U400),"",Лист1!U400)</f>
        <v/>
      </c>
      <c r="V400" s="5" t="str">
        <f>IF(ISBLANK(Лист1!V400),"",Лист1!V400)</f>
        <v/>
      </c>
      <c r="W400" s="5" t="str">
        <f>IF(ISBLANK(Лист1!W400),"",Лист1!W400)</f>
        <v/>
      </c>
      <c r="X400" s="5" t="str">
        <f>IF(ISBLANK(Лист1!X400),"",Лист1!X400)</f>
        <v/>
      </c>
      <c r="Y400" s="5" t="str">
        <f>IF(ISERROR(VLOOKUP($X400,Лист2!$A$2:$G$498,1,FALSE)),"",VLOOKUP($X400,Лист2!$A$2:$G$498,1,FALSE))</f>
        <v/>
      </c>
      <c r="Z400" s="5" t="str">
        <f>IF(ISERROR(VLOOKUP($X400,Лист2!$A$2:$G$498,5,FALSE)),"",VLOOKUP($X400,Лист2!$A$2:$G$498,5,FALSE))</f>
        <v/>
      </c>
      <c r="AA400" s="5" t="str">
        <f>IF(ISERROR(VLOOKUP($X400,Лист2!$A$2:$G$498,6,FALSE)),"",VLOOKUP($X400,Лист2!$A$2:$G$498,6,FALSE))</f>
        <v/>
      </c>
      <c r="AB400" s="5" t="str">
        <f>IF(ISERROR(VLOOKUP($X400,Лист2!$A$2:$G$498,7,FALSE)),"",VLOOKUP($X400,Лист2!$A$2:$G$498,7,FALSE))</f>
        <v/>
      </c>
    </row>
    <row r="401" spans="1:28" x14ac:dyDescent="0.25">
      <c r="A401" s="5" t="str">
        <f>IF(ISBLANK(Лист1!A401),"",Лист1!A401)</f>
        <v/>
      </c>
      <c r="B401" s="5" t="str">
        <f>IF(ISBLANK(Лист1!B401),"",Лист1!B401)</f>
        <v/>
      </c>
      <c r="C401" s="5" t="str">
        <f>IF(ISBLANK(Лист1!C401),"",Лист1!C401)</f>
        <v/>
      </c>
      <c r="D401" s="5" t="str">
        <f>IF(ISBLANK(Лист1!D401),"",Лист1!D401)</f>
        <v/>
      </c>
      <c r="E401" s="5" t="str">
        <f>IF(ISBLANK(Лист1!E401),"",Лист1!E401)</f>
        <v/>
      </c>
      <c r="F401" s="5" t="str">
        <f>IF(ISBLANK(Лист1!F401),"",Лист1!F401)</f>
        <v/>
      </c>
      <c r="G401" s="5" t="str">
        <f>IF(ISBLANK(Лист1!G401),"",Лист1!G401)</f>
        <v/>
      </c>
      <c r="H401" s="5" t="str">
        <f>IF(ISBLANK(Лист1!H401),"",Лист1!H401)</f>
        <v/>
      </c>
      <c r="I401" s="5" t="str">
        <f>IF(ISBLANK(Лист1!I401),"",Лист1!I401)</f>
        <v/>
      </c>
      <c r="J401" s="5" t="str">
        <f>IF(ISBLANK(Лист1!J401),"",Лист1!J401)</f>
        <v/>
      </c>
      <c r="K401" s="5" t="str">
        <f>IF(ISBLANK(Лист1!K401),"",Лист1!K401)</f>
        <v/>
      </c>
      <c r="L401" s="5" t="str">
        <f>IF(ISBLANK(Лист1!L401),"",Лист1!L401)</f>
        <v/>
      </c>
      <c r="M401" s="5" t="str">
        <f>IF(ISBLANK(Лист1!M401),"",Лист1!M401)</f>
        <v/>
      </c>
      <c r="N401" s="5" t="str">
        <f>IF(ISBLANK(Лист1!N401),"",Лист1!N401)</f>
        <v/>
      </c>
      <c r="O401" s="5" t="str">
        <f>IF(ISBLANK(Лист1!O401),"",Лист1!O401)</f>
        <v/>
      </c>
      <c r="P401" s="5" t="str">
        <f>IF(ISBLANK(Лист1!P401),"",Лист1!P401)</f>
        <v/>
      </c>
      <c r="Q401" s="5" t="str">
        <f>IF(ISBLANK(Лист1!Q401),"",Лист1!Q401)</f>
        <v/>
      </c>
      <c r="R401" s="5" t="str">
        <f>IF(ISBLANK(Лист1!R401),"",Лист1!R401)</f>
        <v/>
      </c>
      <c r="S401" s="5" t="str">
        <f>IF(ISBLANK(Лист1!S401),"",Лист1!S401)</f>
        <v/>
      </c>
      <c r="T401" s="5" t="str">
        <f>IF(ISBLANK(Лист1!T401),"",Лист1!T401)</f>
        <v/>
      </c>
      <c r="U401" s="5" t="str">
        <f>IF(ISBLANK(Лист1!U401),"",Лист1!U401)</f>
        <v/>
      </c>
      <c r="V401" s="5" t="str">
        <f>IF(ISBLANK(Лист1!V401),"",Лист1!V401)</f>
        <v/>
      </c>
      <c r="W401" s="5" t="str">
        <f>IF(ISBLANK(Лист1!W401),"",Лист1!W401)</f>
        <v/>
      </c>
      <c r="X401" s="5" t="str">
        <f>IF(ISBLANK(Лист1!X401),"",Лист1!X401)</f>
        <v/>
      </c>
      <c r="Y401" s="5" t="str">
        <f>IF(ISERROR(VLOOKUP($X401,Лист2!$A$2:$G$498,1,FALSE)),"",VLOOKUP($X401,Лист2!$A$2:$G$498,1,FALSE))</f>
        <v/>
      </c>
      <c r="Z401" s="5" t="str">
        <f>IF(ISERROR(VLOOKUP($X401,Лист2!$A$2:$G$498,5,FALSE)),"",VLOOKUP($X401,Лист2!$A$2:$G$498,5,FALSE))</f>
        <v/>
      </c>
      <c r="AA401" s="5" t="str">
        <f>IF(ISERROR(VLOOKUP($X401,Лист2!$A$2:$G$498,6,FALSE)),"",VLOOKUP($X401,Лист2!$A$2:$G$498,6,FALSE))</f>
        <v/>
      </c>
      <c r="AB401" s="5" t="str">
        <f>IF(ISERROR(VLOOKUP($X401,Лист2!$A$2:$G$498,7,FALSE)),"",VLOOKUP($X401,Лист2!$A$2:$G$498,7,FALSE))</f>
        <v/>
      </c>
    </row>
    <row r="402" spans="1:28" x14ac:dyDescent="0.25">
      <c r="A402" s="5" t="str">
        <f>IF(ISBLANK(Лист1!A402),"",Лист1!A402)</f>
        <v/>
      </c>
      <c r="B402" s="5" t="str">
        <f>IF(ISBLANK(Лист1!B402),"",Лист1!B402)</f>
        <v/>
      </c>
      <c r="C402" s="5" t="str">
        <f>IF(ISBLANK(Лист1!C402),"",Лист1!C402)</f>
        <v/>
      </c>
      <c r="D402" s="5" t="str">
        <f>IF(ISBLANK(Лист1!D402),"",Лист1!D402)</f>
        <v/>
      </c>
      <c r="E402" s="5" t="str">
        <f>IF(ISBLANK(Лист1!E402),"",Лист1!E402)</f>
        <v/>
      </c>
      <c r="F402" s="5" t="str">
        <f>IF(ISBLANK(Лист1!F402),"",Лист1!F402)</f>
        <v/>
      </c>
      <c r="G402" s="5" t="str">
        <f>IF(ISBLANK(Лист1!G402),"",Лист1!G402)</f>
        <v/>
      </c>
      <c r="H402" s="5" t="str">
        <f>IF(ISBLANK(Лист1!H402),"",Лист1!H402)</f>
        <v/>
      </c>
      <c r="I402" s="5" t="str">
        <f>IF(ISBLANK(Лист1!I402),"",Лист1!I402)</f>
        <v/>
      </c>
      <c r="J402" s="5" t="str">
        <f>IF(ISBLANK(Лист1!J402),"",Лист1!J402)</f>
        <v/>
      </c>
      <c r="K402" s="5" t="str">
        <f>IF(ISBLANK(Лист1!K402),"",Лист1!K402)</f>
        <v/>
      </c>
      <c r="L402" s="5" t="str">
        <f>IF(ISBLANK(Лист1!L402),"",Лист1!L402)</f>
        <v/>
      </c>
      <c r="M402" s="5" t="str">
        <f>IF(ISBLANK(Лист1!M402),"",Лист1!M402)</f>
        <v/>
      </c>
      <c r="N402" s="5" t="str">
        <f>IF(ISBLANK(Лист1!N402),"",Лист1!N402)</f>
        <v/>
      </c>
      <c r="O402" s="5" t="str">
        <f>IF(ISBLANK(Лист1!O402),"",Лист1!O402)</f>
        <v/>
      </c>
      <c r="P402" s="5" t="str">
        <f>IF(ISBLANK(Лист1!P402),"",Лист1!P402)</f>
        <v/>
      </c>
      <c r="Q402" s="5" t="str">
        <f>IF(ISBLANK(Лист1!Q402),"",Лист1!Q402)</f>
        <v/>
      </c>
      <c r="R402" s="5" t="str">
        <f>IF(ISBLANK(Лист1!R402),"",Лист1!R402)</f>
        <v/>
      </c>
      <c r="S402" s="5" t="str">
        <f>IF(ISBLANK(Лист1!S402),"",Лист1!S402)</f>
        <v/>
      </c>
      <c r="T402" s="5" t="str">
        <f>IF(ISBLANK(Лист1!T402),"",Лист1!T402)</f>
        <v/>
      </c>
      <c r="U402" s="5" t="str">
        <f>IF(ISBLANK(Лист1!U402),"",Лист1!U402)</f>
        <v/>
      </c>
      <c r="V402" s="5" t="str">
        <f>IF(ISBLANK(Лист1!V402),"",Лист1!V402)</f>
        <v/>
      </c>
      <c r="W402" s="5" t="str">
        <f>IF(ISBLANK(Лист1!W402),"",Лист1!W402)</f>
        <v/>
      </c>
      <c r="X402" s="5" t="str">
        <f>IF(ISBLANK(Лист1!X402),"",Лист1!X402)</f>
        <v/>
      </c>
      <c r="Y402" s="5" t="str">
        <f>IF(ISERROR(VLOOKUP($X402,Лист2!$A$2:$G$498,1,FALSE)),"",VLOOKUP($X402,Лист2!$A$2:$G$498,1,FALSE))</f>
        <v/>
      </c>
      <c r="Z402" s="5" t="str">
        <f>IF(ISERROR(VLOOKUP($X402,Лист2!$A$2:$G$498,5,FALSE)),"",VLOOKUP($X402,Лист2!$A$2:$G$498,5,FALSE))</f>
        <v/>
      </c>
      <c r="AA402" s="5" t="str">
        <f>IF(ISERROR(VLOOKUP($X402,Лист2!$A$2:$G$498,6,FALSE)),"",VLOOKUP($X402,Лист2!$A$2:$G$498,6,FALSE))</f>
        <v/>
      </c>
      <c r="AB402" s="5" t="str">
        <f>IF(ISERROR(VLOOKUP($X402,Лист2!$A$2:$G$498,7,FALSE)),"",VLOOKUP($X402,Лист2!$A$2:$G$498,7,FALSE))</f>
        <v/>
      </c>
    </row>
    <row r="403" spans="1:28" x14ac:dyDescent="0.25">
      <c r="A403" s="5" t="str">
        <f>IF(ISBLANK(Лист1!A403),"",Лист1!A403)</f>
        <v/>
      </c>
      <c r="B403" s="5" t="str">
        <f>IF(ISBLANK(Лист1!B403),"",Лист1!B403)</f>
        <v/>
      </c>
      <c r="C403" s="5" t="str">
        <f>IF(ISBLANK(Лист1!C403),"",Лист1!C403)</f>
        <v/>
      </c>
      <c r="D403" s="5" t="str">
        <f>IF(ISBLANK(Лист1!D403),"",Лист1!D403)</f>
        <v/>
      </c>
      <c r="E403" s="5" t="str">
        <f>IF(ISBLANK(Лист1!E403),"",Лист1!E403)</f>
        <v/>
      </c>
      <c r="F403" s="5" t="str">
        <f>IF(ISBLANK(Лист1!F403),"",Лист1!F403)</f>
        <v/>
      </c>
      <c r="G403" s="5" t="str">
        <f>IF(ISBLANK(Лист1!G403),"",Лист1!G403)</f>
        <v/>
      </c>
      <c r="H403" s="5" t="str">
        <f>IF(ISBLANK(Лист1!H403),"",Лист1!H403)</f>
        <v/>
      </c>
      <c r="I403" s="5" t="str">
        <f>IF(ISBLANK(Лист1!I403),"",Лист1!I403)</f>
        <v/>
      </c>
      <c r="J403" s="5" t="str">
        <f>IF(ISBLANK(Лист1!J403),"",Лист1!J403)</f>
        <v/>
      </c>
      <c r="K403" s="5" t="str">
        <f>IF(ISBLANK(Лист1!K403),"",Лист1!K403)</f>
        <v/>
      </c>
      <c r="L403" s="5" t="str">
        <f>IF(ISBLANK(Лист1!L403),"",Лист1!L403)</f>
        <v/>
      </c>
      <c r="M403" s="5" t="str">
        <f>IF(ISBLANK(Лист1!M403),"",Лист1!M403)</f>
        <v/>
      </c>
      <c r="N403" s="5" t="str">
        <f>IF(ISBLANK(Лист1!N403),"",Лист1!N403)</f>
        <v/>
      </c>
      <c r="O403" s="5" t="str">
        <f>IF(ISBLANK(Лист1!O403),"",Лист1!O403)</f>
        <v/>
      </c>
      <c r="P403" s="5" t="str">
        <f>IF(ISBLANK(Лист1!P403),"",Лист1!P403)</f>
        <v/>
      </c>
      <c r="Q403" s="5" t="str">
        <f>IF(ISBLANK(Лист1!Q403),"",Лист1!Q403)</f>
        <v/>
      </c>
      <c r="R403" s="5" t="str">
        <f>IF(ISBLANK(Лист1!R403),"",Лист1!R403)</f>
        <v/>
      </c>
      <c r="S403" s="5" t="str">
        <f>IF(ISBLANK(Лист1!S403),"",Лист1!S403)</f>
        <v/>
      </c>
      <c r="T403" s="5" t="str">
        <f>IF(ISBLANK(Лист1!T403),"",Лист1!T403)</f>
        <v/>
      </c>
      <c r="U403" s="5" t="str">
        <f>IF(ISBLANK(Лист1!U403),"",Лист1!U403)</f>
        <v/>
      </c>
      <c r="V403" s="5" t="str">
        <f>IF(ISBLANK(Лист1!V403),"",Лист1!V403)</f>
        <v/>
      </c>
      <c r="W403" s="5" t="str">
        <f>IF(ISBLANK(Лист1!W403),"",Лист1!W403)</f>
        <v/>
      </c>
      <c r="X403" s="5" t="str">
        <f>IF(ISBLANK(Лист1!X403),"",Лист1!X403)</f>
        <v/>
      </c>
      <c r="Y403" s="5" t="str">
        <f>IF(ISERROR(VLOOKUP($X403,Лист2!$A$2:$G$498,1,FALSE)),"",VLOOKUP($X403,Лист2!$A$2:$G$498,1,FALSE))</f>
        <v/>
      </c>
      <c r="Z403" s="5" t="str">
        <f>IF(ISERROR(VLOOKUP($X403,Лист2!$A$2:$G$498,5,FALSE)),"",VLOOKUP($X403,Лист2!$A$2:$G$498,5,FALSE))</f>
        <v/>
      </c>
      <c r="AA403" s="5" t="str">
        <f>IF(ISERROR(VLOOKUP($X403,Лист2!$A$2:$G$498,6,FALSE)),"",VLOOKUP($X403,Лист2!$A$2:$G$498,6,FALSE))</f>
        <v/>
      </c>
      <c r="AB403" s="5" t="str">
        <f>IF(ISERROR(VLOOKUP($X403,Лист2!$A$2:$G$498,7,FALSE)),"",VLOOKUP($X403,Лист2!$A$2:$G$498,7,FALSE))</f>
        <v/>
      </c>
    </row>
    <row r="404" spans="1:28" x14ac:dyDescent="0.25">
      <c r="A404" s="5" t="str">
        <f>IF(ISBLANK(Лист1!A404),"",Лист1!A404)</f>
        <v/>
      </c>
      <c r="B404" s="5" t="str">
        <f>IF(ISBLANK(Лист1!B404),"",Лист1!B404)</f>
        <v/>
      </c>
      <c r="C404" s="5" t="str">
        <f>IF(ISBLANK(Лист1!C404),"",Лист1!C404)</f>
        <v/>
      </c>
      <c r="D404" s="5" t="str">
        <f>IF(ISBLANK(Лист1!D404),"",Лист1!D404)</f>
        <v/>
      </c>
      <c r="E404" s="5" t="str">
        <f>IF(ISBLANK(Лист1!E404),"",Лист1!E404)</f>
        <v/>
      </c>
      <c r="F404" s="5" t="str">
        <f>IF(ISBLANK(Лист1!F404),"",Лист1!F404)</f>
        <v/>
      </c>
      <c r="G404" s="5" t="str">
        <f>IF(ISBLANK(Лист1!G404),"",Лист1!G404)</f>
        <v/>
      </c>
      <c r="H404" s="5" t="str">
        <f>IF(ISBLANK(Лист1!H404),"",Лист1!H404)</f>
        <v/>
      </c>
      <c r="I404" s="5" t="str">
        <f>IF(ISBLANK(Лист1!I404),"",Лист1!I404)</f>
        <v/>
      </c>
      <c r="J404" s="5" t="str">
        <f>IF(ISBLANK(Лист1!J404),"",Лист1!J404)</f>
        <v/>
      </c>
      <c r="K404" s="5" t="str">
        <f>IF(ISBLANK(Лист1!K404),"",Лист1!K404)</f>
        <v/>
      </c>
      <c r="L404" s="5" t="str">
        <f>IF(ISBLANK(Лист1!L404),"",Лист1!L404)</f>
        <v/>
      </c>
      <c r="M404" s="5" t="str">
        <f>IF(ISBLANK(Лист1!M404),"",Лист1!M404)</f>
        <v/>
      </c>
      <c r="N404" s="5" t="str">
        <f>IF(ISBLANK(Лист1!N404),"",Лист1!N404)</f>
        <v/>
      </c>
      <c r="O404" s="5" t="str">
        <f>IF(ISBLANK(Лист1!O404),"",Лист1!O404)</f>
        <v/>
      </c>
      <c r="P404" s="5" t="str">
        <f>IF(ISBLANK(Лист1!P404),"",Лист1!P404)</f>
        <v/>
      </c>
      <c r="Q404" s="5" t="str">
        <f>IF(ISBLANK(Лист1!Q404),"",Лист1!Q404)</f>
        <v/>
      </c>
      <c r="R404" s="5" t="str">
        <f>IF(ISBLANK(Лист1!R404),"",Лист1!R404)</f>
        <v/>
      </c>
      <c r="S404" s="5" t="str">
        <f>IF(ISBLANK(Лист1!S404),"",Лист1!S404)</f>
        <v/>
      </c>
      <c r="T404" s="5" t="str">
        <f>IF(ISBLANK(Лист1!T404),"",Лист1!T404)</f>
        <v/>
      </c>
      <c r="U404" s="5" t="str">
        <f>IF(ISBLANK(Лист1!U404),"",Лист1!U404)</f>
        <v/>
      </c>
      <c r="V404" s="5" t="str">
        <f>IF(ISBLANK(Лист1!V404),"",Лист1!V404)</f>
        <v/>
      </c>
      <c r="W404" s="5" t="str">
        <f>IF(ISBLANK(Лист1!W404),"",Лист1!W404)</f>
        <v/>
      </c>
      <c r="X404" s="5" t="str">
        <f>IF(ISBLANK(Лист1!X404),"",Лист1!X404)</f>
        <v/>
      </c>
      <c r="Y404" s="5" t="str">
        <f>IF(ISERROR(VLOOKUP($X404,Лист2!$A$2:$G$498,1,FALSE)),"",VLOOKUP($X404,Лист2!$A$2:$G$498,1,FALSE))</f>
        <v/>
      </c>
      <c r="Z404" s="5" t="str">
        <f>IF(ISERROR(VLOOKUP($X404,Лист2!$A$2:$G$498,5,FALSE)),"",VLOOKUP($X404,Лист2!$A$2:$G$498,5,FALSE))</f>
        <v/>
      </c>
      <c r="AA404" s="5" t="str">
        <f>IF(ISERROR(VLOOKUP($X404,Лист2!$A$2:$G$498,6,FALSE)),"",VLOOKUP($X404,Лист2!$A$2:$G$498,6,FALSE))</f>
        <v/>
      </c>
      <c r="AB404" s="5" t="str">
        <f>IF(ISERROR(VLOOKUP($X404,Лист2!$A$2:$G$498,7,FALSE)),"",VLOOKUP($X404,Лист2!$A$2:$G$498,7,FALSE))</f>
        <v/>
      </c>
    </row>
    <row r="405" spans="1:28" x14ac:dyDescent="0.25">
      <c r="A405" s="5" t="str">
        <f>IF(ISBLANK(Лист1!A405),"",Лист1!A405)</f>
        <v/>
      </c>
      <c r="B405" s="5" t="str">
        <f>IF(ISBLANK(Лист1!B405),"",Лист1!B405)</f>
        <v/>
      </c>
      <c r="C405" s="5" t="str">
        <f>IF(ISBLANK(Лист1!C405),"",Лист1!C405)</f>
        <v/>
      </c>
      <c r="D405" s="5" t="str">
        <f>IF(ISBLANK(Лист1!D405),"",Лист1!D405)</f>
        <v/>
      </c>
      <c r="E405" s="5" t="str">
        <f>IF(ISBLANK(Лист1!E405),"",Лист1!E405)</f>
        <v/>
      </c>
      <c r="F405" s="5" t="str">
        <f>IF(ISBLANK(Лист1!F405),"",Лист1!F405)</f>
        <v/>
      </c>
      <c r="G405" s="5" t="str">
        <f>IF(ISBLANK(Лист1!G405),"",Лист1!G405)</f>
        <v/>
      </c>
      <c r="H405" s="5" t="str">
        <f>IF(ISBLANK(Лист1!H405),"",Лист1!H405)</f>
        <v/>
      </c>
      <c r="I405" s="5" t="str">
        <f>IF(ISBLANK(Лист1!I405),"",Лист1!I405)</f>
        <v/>
      </c>
      <c r="J405" s="5" t="str">
        <f>IF(ISBLANK(Лист1!J405),"",Лист1!J405)</f>
        <v/>
      </c>
      <c r="K405" s="5" t="str">
        <f>IF(ISBLANK(Лист1!K405),"",Лист1!K405)</f>
        <v/>
      </c>
      <c r="L405" s="5" t="str">
        <f>IF(ISBLANK(Лист1!L405),"",Лист1!L405)</f>
        <v/>
      </c>
      <c r="M405" s="5" t="str">
        <f>IF(ISBLANK(Лист1!M405),"",Лист1!M405)</f>
        <v/>
      </c>
      <c r="N405" s="5" t="str">
        <f>IF(ISBLANK(Лист1!N405),"",Лист1!N405)</f>
        <v/>
      </c>
      <c r="O405" s="5" t="str">
        <f>IF(ISBLANK(Лист1!O405),"",Лист1!O405)</f>
        <v/>
      </c>
      <c r="P405" s="5" t="str">
        <f>IF(ISBLANK(Лист1!P405),"",Лист1!P405)</f>
        <v/>
      </c>
      <c r="Q405" s="5" t="str">
        <f>IF(ISBLANK(Лист1!Q405),"",Лист1!Q405)</f>
        <v/>
      </c>
      <c r="R405" s="5" t="str">
        <f>IF(ISBLANK(Лист1!R405),"",Лист1!R405)</f>
        <v/>
      </c>
      <c r="S405" s="5" t="str">
        <f>IF(ISBLANK(Лист1!S405),"",Лист1!S405)</f>
        <v/>
      </c>
      <c r="T405" s="5" t="str">
        <f>IF(ISBLANK(Лист1!T405),"",Лист1!T405)</f>
        <v/>
      </c>
      <c r="U405" s="5" t="str">
        <f>IF(ISBLANK(Лист1!U405),"",Лист1!U405)</f>
        <v/>
      </c>
      <c r="V405" s="5" t="str">
        <f>IF(ISBLANK(Лист1!V405),"",Лист1!V405)</f>
        <v/>
      </c>
      <c r="W405" s="5" t="str">
        <f>IF(ISBLANK(Лист1!W405),"",Лист1!W405)</f>
        <v/>
      </c>
      <c r="X405" s="5" t="str">
        <f>IF(ISBLANK(Лист1!X405),"",Лист1!X405)</f>
        <v/>
      </c>
      <c r="Y405" s="5" t="str">
        <f>IF(ISERROR(VLOOKUP($X405,Лист2!$A$2:$G$498,1,FALSE)),"",VLOOKUP($X405,Лист2!$A$2:$G$498,1,FALSE))</f>
        <v/>
      </c>
      <c r="Z405" s="5" t="str">
        <f>IF(ISERROR(VLOOKUP($X405,Лист2!$A$2:$G$498,5,FALSE)),"",VLOOKUP($X405,Лист2!$A$2:$G$498,5,FALSE))</f>
        <v/>
      </c>
      <c r="AA405" s="5" t="str">
        <f>IF(ISERROR(VLOOKUP($X405,Лист2!$A$2:$G$498,6,FALSE)),"",VLOOKUP($X405,Лист2!$A$2:$G$498,6,FALSE))</f>
        <v/>
      </c>
      <c r="AB405" s="5" t="str">
        <f>IF(ISERROR(VLOOKUP($X405,Лист2!$A$2:$G$498,7,FALSE)),"",VLOOKUP($X405,Лист2!$A$2:$G$498,7,FALSE))</f>
        <v/>
      </c>
    </row>
    <row r="406" spans="1:28" x14ac:dyDescent="0.25">
      <c r="A406" s="5" t="str">
        <f>IF(ISBLANK(Лист1!A406),"",Лист1!A406)</f>
        <v/>
      </c>
      <c r="B406" s="5" t="str">
        <f>IF(ISBLANK(Лист1!B406),"",Лист1!B406)</f>
        <v/>
      </c>
      <c r="C406" s="5" t="str">
        <f>IF(ISBLANK(Лист1!C406),"",Лист1!C406)</f>
        <v/>
      </c>
      <c r="D406" s="5" t="str">
        <f>IF(ISBLANK(Лист1!D406),"",Лист1!D406)</f>
        <v/>
      </c>
      <c r="E406" s="5" t="str">
        <f>IF(ISBLANK(Лист1!E406),"",Лист1!E406)</f>
        <v/>
      </c>
      <c r="F406" s="5" t="str">
        <f>IF(ISBLANK(Лист1!F406),"",Лист1!F406)</f>
        <v/>
      </c>
      <c r="G406" s="5" t="str">
        <f>IF(ISBLANK(Лист1!G406),"",Лист1!G406)</f>
        <v/>
      </c>
      <c r="H406" s="5" t="str">
        <f>IF(ISBLANK(Лист1!H406),"",Лист1!H406)</f>
        <v/>
      </c>
      <c r="I406" s="5" t="str">
        <f>IF(ISBLANK(Лист1!I406),"",Лист1!I406)</f>
        <v/>
      </c>
      <c r="J406" s="5" t="str">
        <f>IF(ISBLANK(Лист1!J406),"",Лист1!J406)</f>
        <v/>
      </c>
      <c r="K406" s="5" t="str">
        <f>IF(ISBLANK(Лист1!K406),"",Лист1!K406)</f>
        <v/>
      </c>
      <c r="L406" s="5" t="str">
        <f>IF(ISBLANK(Лист1!L406),"",Лист1!L406)</f>
        <v/>
      </c>
      <c r="M406" s="5" t="str">
        <f>IF(ISBLANK(Лист1!M406),"",Лист1!M406)</f>
        <v/>
      </c>
      <c r="N406" s="5" t="str">
        <f>IF(ISBLANK(Лист1!N406),"",Лист1!N406)</f>
        <v/>
      </c>
      <c r="O406" s="5" t="str">
        <f>IF(ISBLANK(Лист1!O406),"",Лист1!O406)</f>
        <v/>
      </c>
      <c r="P406" s="5" t="str">
        <f>IF(ISBLANK(Лист1!P406),"",Лист1!P406)</f>
        <v/>
      </c>
      <c r="Q406" s="5" t="str">
        <f>IF(ISBLANK(Лист1!Q406),"",Лист1!Q406)</f>
        <v/>
      </c>
      <c r="R406" s="5" t="str">
        <f>IF(ISBLANK(Лист1!R406),"",Лист1!R406)</f>
        <v/>
      </c>
      <c r="S406" s="5" t="str">
        <f>IF(ISBLANK(Лист1!S406),"",Лист1!S406)</f>
        <v/>
      </c>
      <c r="T406" s="5" t="str">
        <f>IF(ISBLANK(Лист1!T406),"",Лист1!T406)</f>
        <v/>
      </c>
      <c r="U406" s="5" t="str">
        <f>IF(ISBLANK(Лист1!U406),"",Лист1!U406)</f>
        <v/>
      </c>
      <c r="V406" s="5" t="str">
        <f>IF(ISBLANK(Лист1!V406),"",Лист1!V406)</f>
        <v/>
      </c>
      <c r="W406" s="5" t="str">
        <f>IF(ISBLANK(Лист1!W406),"",Лист1!W406)</f>
        <v/>
      </c>
      <c r="X406" s="5" t="str">
        <f>IF(ISBLANK(Лист1!X406),"",Лист1!X406)</f>
        <v/>
      </c>
      <c r="Y406" s="5" t="str">
        <f>IF(ISERROR(VLOOKUP($X406,Лист2!$A$2:$G$498,1,FALSE)),"",VLOOKUP($X406,Лист2!$A$2:$G$498,1,FALSE))</f>
        <v/>
      </c>
      <c r="Z406" s="5" t="str">
        <f>IF(ISERROR(VLOOKUP($X406,Лист2!$A$2:$G$498,5,FALSE)),"",VLOOKUP($X406,Лист2!$A$2:$G$498,5,FALSE))</f>
        <v/>
      </c>
      <c r="AA406" s="5" t="str">
        <f>IF(ISERROR(VLOOKUP($X406,Лист2!$A$2:$G$498,6,FALSE)),"",VLOOKUP($X406,Лист2!$A$2:$G$498,6,FALSE))</f>
        <v/>
      </c>
      <c r="AB406" s="5" t="str">
        <f>IF(ISERROR(VLOOKUP($X406,Лист2!$A$2:$G$498,7,FALSE)),"",VLOOKUP($X406,Лист2!$A$2:$G$498,7,FALSE))</f>
        <v/>
      </c>
    </row>
    <row r="407" spans="1:28" x14ac:dyDescent="0.25">
      <c r="A407" s="5" t="str">
        <f>IF(ISBLANK(Лист1!A407),"",Лист1!A407)</f>
        <v/>
      </c>
      <c r="B407" s="5" t="str">
        <f>IF(ISBLANK(Лист1!B407),"",Лист1!B407)</f>
        <v/>
      </c>
      <c r="C407" s="5" t="str">
        <f>IF(ISBLANK(Лист1!C407),"",Лист1!C407)</f>
        <v/>
      </c>
      <c r="D407" s="5" t="str">
        <f>IF(ISBLANK(Лист1!D407),"",Лист1!D407)</f>
        <v/>
      </c>
      <c r="E407" s="5" t="str">
        <f>IF(ISBLANK(Лист1!E407),"",Лист1!E407)</f>
        <v/>
      </c>
      <c r="F407" s="5" t="str">
        <f>IF(ISBLANK(Лист1!F407),"",Лист1!F407)</f>
        <v/>
      </c>
      <c r="G407" s="5" t="str">
        <f>IF(ISBLANK(Лист1!G407),"",Лист1!G407)</f>
        <v/>
      </c>
      <c r="H407" s="5" t="str">
        <f>IF(ISBLANK(Лист1!H407),"",Лист1!H407)</f>
        <v/>
      </c>
      <c r="I407" s="5" t="str">
        <f>IF(ISBLANK(Лист1!I407),"",Лист1!I407)</f>
        <v/>
      </c>
      <c r="J407" s="5" t="str">
        <f>IF(ISBLANK(Лист1!J407),"",Лист1!J407)</f>
        <v/>
      </c>
      <c r="K407" s="5" t="str">
        <f>IF(ISBLANK(Лист1!K407),"",Лист1!K407)</f>
        <v/>
      </c>
      <c r="L407" s="5" t="str">
        <f>IF(ISBLANK(Лист1!L407),"",Лист1!L407)</f>
        <v/>
      </c>
      <c r="M407" s="5" t="str">
        <f>IF(ISBLANK(Лист1!M407),"",Лист1!M407)</f>
        <v/>
      </c>
      <c r="N407" s="5" t="str">
        <f>IF(ISBLANK(Лист1!N407),"",Лист1!N407)</f>
        <v/>
      </c>
      <c r="O407" s="5" t="str">
        <f>IF(ISBLANK(Лист1!O407),"",Лист1!O407)</f>
        <v/>
      </c>
      <c r="P407" s="5" t="str">
        <f>IF(ISBLANK(Лист1!P407),"",Лист1!P407)</f>
        <v/>
      </c>
      <c r="Q407" s="5" t="str">
        <f>IF(ISBLANK(Лист1!Q407),"",Лист1!Q407)</f>
        <v/>
      </c>
      <c r="R407" s="5" t="str">
        <f>IF(ISBLANK(Лист1!R407),"",Лист1!R407)</f>
        <v/>
      </c>
      <c r="S407" s="5" t="str">
        <f>IF(ISBLANK(Лист1!S407),"",Лист1!S407)</f>
        <v/>
      </c>
      <c r="T407" s="5" t="str">
        <f>IF(ISBLANK(Лист1!T407),"",Лист1!T407)</f>
        <v/>
      </c>
      <c r="U407" s="5" t="str">
        <f>IF(ISBLANK(Лист1!U407),"",Лист1!U407)</f>
        <v/>
      </c>
      <c r="V407" s="5" t="str">
        <f>IF(ISBLANK(Лист1!V407),"",Лист1!V407)</f>
        <v/>
      </c>
      <c r="W407" s="5" t="str">
        <f>IF(ISBLANK(Лист1!W407),"",Лист1!W407)</f>
        <v/>
      </c>
      <c r="X407" s="5" t="str">
        <f>IF(ISBLANK(Лист1!X407),"",Лист1!X407)</f>
        <v/>
      </c>
      <c r="Y407" s="5" t="str">
        <f>IF(ISERROR(VLOOKUP($X407,Лист2!$A$2:$G$498,1,FALSE)),"",VLOOKUP($X407,Лист2!$A$2:$G$498,1,FALSE))</f>
        <v/>
      </c>
      <c r="Z407" s="5" t="str">
        <f>IF(ISERROR(VLOOKUP($X407,Лист2!$A$2:$G$498,5,FALSE)),"",VLOOKUP($X407,Лист2!$A$2:$G$498,5,FALSE))</f>
        <v/>
      </c>
      <c r="AA407" s="5" t="str">
        <f>IF(ISERROR(VLOOKUP($X407,Лист2!$A$2:$G$498,6,FALSE)),"",VLOOKUP($X407,Лист2!$A$2:$G$498,6,FALSE))</f>
        <v/>
      </c>
      <c r="AB407" s="5" t="str">
        <f>IF(ISERROR(VLOOKUP($X407,Лист2!$A$2:$G$498,7,FALSE)),"",VLOOKUP($X407,Лист2!$A$2:$G$498,7,FALSE))</f>
        <v/>
      </c>
    </row>
    <row r="408" spans="1:28" x14ac:dyDescent="0.25">
      <c r="A408" s="5" t="str">
        <f>IF(ISBLANK(Лист1!A408),"",Лист1!A408)</f>
        <v/>
      </c>
      <c r="B408" s="5" t="str">
        <f>IF(ISBLANK(Лист1!B408),"",Лист1!B408)</f>
        <v/>
      </c>
      <c r="C408" s="5" t="str">
        <f>IF(ISBLANK(Лист1!C408),"",Лист1!C408)</f>
        <v/>
      </c>
      <c r="D408" s="5" t="str">
        <f>IF(ISBLANK(Лист1!D408),"",Лист1!D408)</f>
        <v/>
      </c>
      <c r="E408" s="5" t="str">
        <f>IF(ISBLANK(Лист1!E408),"",Лист1!E408)</f>
        <v/>
      </c>
      <c r="F408" s="5" t="str">
        <f>IF(ISBLANK(Лист1!F408),"",Лист1!F408)</f>
        <v/>
      </c>
      <c r="G408" s="5" t="str">
        <f>IF(ISBLANK(Лист1!G408),"",Лист1!G408)</f>
        <v/>
      </c>
      <c r="H408" s="5" t="str">
        <f>IF(ISBLANK(Лист1!H408),"",Лист1!H408)</f>
        <v/>
      </c>
      <c r="I408" s="5" t="str">
        <f>IF(ISBLANK(Лист1!I408),"",Лист1!I408)</f>
        <v/>
      </c>
      <c r="J408" s="5" t="str">
        <f>IF(ISBLANK(Лист1!J408),"",Лист1!J408)</f>
        <v/>
      </c>
      <c r="K408" s="5" t="str">
        <f>IF(ISBLANK(Лист1!K408),"",Лист1!K408)</f>
        <v/>
      </c>
      <c r="L408" s="5" t="str">
        <f>IF(ISBLANK(Лист1!L408),"",Лист1!L408)</f>
        <v/>
      </c>
      <c r="M408" s="5" t="str">
        <f>IF(ISBLANK(Лист1!M408),"",Лист1!M408)</f>
        <v/>
      </c>
      <c r="N408" s="5" t="str">
        <f>IF(ISBLANK(Лист1!N408),"",Лист1!N408)</f>
        <v/>
      </c>
      <c r="O408" s="5" t="str">
        <f>IF(ISBLANK(Лист1!O408),"",Лист1!O408)</f>
        <v/>
      </c>
      <c r="P408" s="5" t="str">
        <f>IF(ISBLANK(Лист1!P408),"",Лист1!P408)</f>
        <v/>
      </c>
      <c r="Q408" s="5" t="str">
        <f>IF(ISBLANK(Лист1!Q408),"",Лист1!Q408)</f>
        <v/>
      </c>
      <c r="R408" s="5" t="str">
        <f>IF(ISBLANK(Лист1!R408),"",Лист1!R408)</f>
        <v/>
      </c>
      <c r="S408" s="5" t="str">
        <f>IF(ISBLANK(Лист1!S408),"",Лист1!S408)</f>
        <v/>
      </c>
      <c r="T408" s="5" t="str">
        <f>IF(ISBLANK(Лист1!T408),"",Лист1!T408)</f>
        <v/>
      </c>
      <c r="U408" s="5" t="str">
        <f>IF(ISBLANK(Лист1!U408),"",Лист1!U408)</f>
        <v/>
      </c>
      <c r="V408" s="5" t="str">
        <f>IF(ISBLANK(Лист1!V408),"",Лист1!V408)</f>
        <v/>
      </c>
      <c r="W408" s="5" t="str">
        <f>IF(ISBLANK(Лист1!W408),"",Лист1!W408)</f>
        <v/>
      </c>
      <c r="X408" s="5" t="str">
        <f>IF(ISBLANK(Лист1!X408),"",Лист1!X408)</f>
        <v/>
      </c>
      <c r="Y408" s="5" t="str">
        <f>IF(ISERROR(VLOOKUP($X408,Лист2!$A$2:$G$498,1,FALSE)),"",VLOOKUP($X408,Лист2!$A$2:$G$498,1,FALSE))</f>
        <v/>
      </c>
      <c r="Z408" s="5" t="str">
        <f>IF(ISERROR(VLOOKUP($X408,Лист2!$A$2:$G$498,5,FALSE)),"",VLOOKUP($X408,Лист2!$A$2:$G$498,5,FALSE))</f>
        <v/>
      </c>
      <c r="AA408" s="5" t="str">
        <f>IF(ISERROR(VLOOKUP($X408,Лист2!$A$2:$G$498,6,FALSE)),"",VLOOKUP($X408,Лист2!$A$2:$G$498,6,FALSE))</f>
        <v/>
      </c>
      <c r="AB408" s="5" t="str">
        <f>IF(ISERROR(VLOOKUP($X408,Лист2!$A$2:$G$498,7,FALSE)),"",VLOOKUP($X408,Лист2!$A$2:$G$498,7,FALSE))</f>
        <v/>
      </c>
    </row>
    <row r="409" spans="1:28" x14ac:dyDescent="0.25">
      <c r="A409" s="5" t="str">
        <f>IF(ISBLANK(Лист1!A409),"",Лист1!A409)</f>
        <v/>
      </c>
      <c r="B409" s="5" t="str">
        <f>IF(ISBLANK(Лист1!B409),"",Лист1!B409)</f>
        <v/>
      </c>
      <c r="C409" s="5" t="str">
        <f>IF(ISBLANK(Лист1!C409),"",Лист1!C409)</f>
        <v/>
      </c>
      <c r="D409" s="5" t="str">
        <f>IF(ISBLANK(Лист1!D409),"",Лист1!D409)</f>
        <v/>
      </c>
      <c r="E409" s="5" t="str">
        <f>IF(ISBLANK(Лист1!E409),"",Лист1!E409)</f>
        <v/>
      </c>
      <c r="F409" s="5" t="str">
        <f>IF(ISBLANK(Лист1!F409),"",Лист1!F409)</f>
        <v/>
      </c>
      <c r="G409" s="5" t="str">
        <f>IF(ISBLANK(Лист1!G409),"",Лист1!G409)</f>
        <v/>
      </c>
      <c r="H409" s="5" t="str">
        <f>IF(ISBLANK(Лист1!H409),"",Лист1!H409)</f>
        <v/>
      </c>
      <c r="I409" s="5" t="str">
        <f>IF(ISBLANK(Лист1!I409),"",Лист1!I409)</f>
        <v/>
      </c>
      <c r="J409" s="5" t="str">
        <f>IF(ISBLANK(Лист1!J409),"",Лист1!J409)</f>
        <v/>
      </c>
      <c r="K409" s="5" t="str">
        <f>IF(ISBLANK(Лист1!K409),"",Лист1!K409)</f>
        <v/>
      </c>
      <c r="L409" s="5" t="str">
        <f>IF(ISBLANK(Лист1!L409),"",Лист1!L409)</f>
        <v/>
      </c>
      <c r="M409" s="5" t="str">
        <f>IF(ISBLANK(Лист1!M409),"",Лист1!M409)</f>
        <v/>
      </c>
      <c r="N409" s="5" t="str">
        <f>IF(ISBLANK(Лист1!N409),"",Лист1!N409)</f>
        <v/>
      </c>
      <c r="O409" s="5" t="str">
        <f>IF(ISBLANK(Лист1!O409),"",Лист1!O409)</f>
        <v/>
      </c>
      <c r="P409" s="5" t="str">
        <f>IF(ISBLANK(Лист1!P409),"",Лист1!P409)</f>
        <v/>
      </c>
      <c r="Q409" s="5" t="str">
        <f>IF(ISBLANK(Лист1!Q409),"",Лист1!Q409)</f>
        <v/>
      </c>
      <c r="R409" s="5" t="str">
        <f>IF(ISBLANK(Лист1!R409),"",Лист1!R409)</f>
        <v/>
      </c>
      <c r="S409" s="5" t="str">
        <f>IF(ISBLANK(Лист1!S409),"",Лист1!S409)</f>
        <v/>
      </c>
      <c r="T409" s="5" t="str">
        <f>IF(ISBLANK(Лист1!T409),"",Лист1!T409)</f>
        <v/>
      </c>
      <c r="U409" s="5" t="str">
        <f>IF(ISBLANK(Лист1!U409),"",Лист1!U409)</f>
        <v/>
      </c>
      <c r="V409" s="5" t="str">
        <f>IF(ISBLANK(Лист1!V409),"",Лист1!V409)</f>
        <v/>
      </c>
      <c r="W409" s="5" t="str">
        <f>IF(ISBLANK(Лист1!W409),"",Лист1!W409)</f>
        <v/>
      </c>
      <c r="X409" s="5" t="str">
        <f>IF(ISBLANK(Лист1!X409),"",Лист1!X409)</f>
        <v/>
      </c>
      <c r="Y409" s="5" t="str">
        <f>IF(ISERROR(VLOOKUP($X409,Лист2!$A$2:$G$498,1,FALSE)),"",VLOOKUP($X409,Лист2!$A$2:$G$498,1,FALSE))</f>
        <v/>
      </c>
      <c r="Z409" s="5" t="str">
        <f>IF(ISERROR(VLOOKUP($X409,Лист2!$A$2:$G$498,5,FALSE)),"",VLOOKUP($X409,Лист2!$A$2:$G$498,5,FALSE))</f>
        <v/>
      </c>
      <c r="AA409" s="5" t="str">
        <f>IF(ISERROR(VLOOKUP($X409,Лист2!$A$2:$G$498,6,FALSE)),"",VLOOKUP($X409,Лист2!$A$2:$G$498,6,FALSE))</f>
        <v/>
      </c>
      <c r="AB409" s="5" t="str">
        <f>IF(ISERROR(VLOOKUP($X409,Лист2!$A$2:$G$498,7,FALSE)),"",VLOOKUP($X409,Лист2!$A$2:$G$498,7,FALSE))</f>
        <v/>
      </c>
    </row>
    <row r="410" spans="1:28" x14ac:dyDescent="0.25">
      <c r="A410" s="5" t="str">
        <f>IF(ISBLANK(Лист1!A410),"",Лист1!A410)</f>
        <v/>
      </c>
      <c r="B410" s="5" t="str">
        <f>IF(ISBLANK(Лист1!B410),"",Лист1!B410)</f>
        <v/>
      </c>
      <c r="C410" s="5" t="str">
        <f>IF(ISBLANK(Лист1!C410),"",Лист1!C410)</f>
        <v/>
      </c>
      <c r="D410" s="5" t="str">
        <f>IF(ISBLANK(Лист1!D410),"",Лист1!D410)</f>
        <v/>
      </c>
      <c r="E410" s="5" t="str">
        <f>IF(ISBLANK(Лист1!E410),"",Лист1!E410)</f>
        <v/>
      </c>
      <c r="F410" s="5" t="str">
        <f>IF(ISBLANK(Лист1!F410),"",Лист1!F410)</f>
        <v/>
      </c>
      <c r="G410" s="5" t="str">
        <f>IF(ISBLANK(Лист1!G410),"",Лист1!G410)</f>
        <v/>
      </c>
      <c r="H410" s="5" t="str">
        <f>IF(ISBLANK(Лист1!H410),"",Лист1!H410)</f>
        <v/>
      </c>
      <c r="I410" s="5" t="str">
        <f>IF(ISBLANK(Лист1!I410),"",Лист1!I410)</f>
        <v/>
      </c>
      <c r="J410" s="5" t="str">
        <f>IF(ISBLANK(Лист1!J410),"",Лист1!J410)</f>
        <v/>
      </c>
      <c r="K410" s="5" t="str">
        <f>IF(ISBLANK(Лист1!K410),"",Лист1!K410)</f>
        <v/>
      </c>
      <c r="L410" s="5" t="str">
        <f>IF(ISBLANK(Лист1!L410),"",Лист1!L410)</f>
        <v/>
      </c>
      <c r="M410" s="5" t="str">
        <f>IF(ISBLANK(Лист1!M410),"",Лист1!M410)</f>
        <v/>
      </c>
      <c r="N410" s="5" t="str">
        <f>IF(ISBLANK(Лист1!N410),"",Лист1!N410)</f>
        <v/>
      </c>
      <c r="O410" s="5" t="str">
        <f>IF(ISBLANK(Лист1!O410),"",Лист1!O410)</f>
        <v/>
      </c>
      <c r="P410" s="5" t="str">
        <f>IF(ISBLANK(Лист1!P410),"",Лист1!P410)</f>
        <v/>
      </c>
      <c r="Q410" s="5" t="str">
        <f>IF(ISBLANK(Лист1!Q410),"",Лист1!Q410)</f>
        <v/>
      </c>
      <c r="R410" s="5" t="str">
        <f>IF(ISBLANK(Лист1!R410),"",Лист1!R410)</f>
        <v/>
      </c>
      <c r="S410" s="5" t="str">
        <f>IF(ISBLANK(Лист1!S410),"",Лист1!S410)</f>
        <v/>
      </c>
      <c r="T410" s="5" t="str">
        <f>IF(ISBLANK(Лист1!T410),"",Лист1!T410)</f>
        <v/>
      </c>
      <c r="U410" s="5" t="str">
        <f>IF(ISBLANK(Лист1!U410),"",Лист1!U410)</f>
        <v/>
      </c>
      <c r="V410" s="5" t="str">
        <f>IF(ISBLANK(Лист1!V410),"",Лист1!V410)</f>
        <v/>
      </c>
      <c r="W410" s="5" t="str">
        <f>IF(ISBLANK(Лист1!W410),"",Лист1!W410)</f>
        <v/>
      </c>
      <c r="X410" s="5" t="str">
        <f>IF(ISBLANK(Лист1!X410),"",Лист1!X410)</f>
        <v/>
      </c>
      <c r="Y410" s="5" t="str">
        <f>IF(ISERROR(VLOOKUP($X410,Лист2!$A$2:$G$498,1,FALSE)),"",VLOOKUP($X410,Лист2!$A$2:$G$498,1,FALSE))</f>
        <v/>
      </c>
      <c r="Z410" s="5" t="str">
        <f>IF(ISERROR(VLOOKUP($X410,Лист2!$A$2:$G$498,5,FALSE)),"",VLOOKUP($X410,Лист2!$A$2:$G$498,5,FALSE))</f>
        <v/>
      </c>
      <c r="AA410" s="5" t="str">
        <f>IF(ISERROR(VLOOKUP($X410,Лист2!$A$2:$G$498,6,FALSE)),"",VLOOKUP($X410,Лист2!$A$2:$G$498,6,FALSE))</f>
        <v/>
      </c>
      <c r="AB410" s="5" t="str">
        <f>IF(ISERROR(VLOOKUP($X410,Лист2!$A$2:$G$498,7,FALSE)),"",VLOOKUP($X410,Лист2!$A$2:$G$498,7,FALSE))</f>
        <v/>
      </c>
    </row>
    <row r="411" spans="1:28" x14ac:dyDescent="0.25">
      <c r="A411" s="5" t="str">
        <f>IF(ISBLANK(Лист1!A411),"",Лист1!A411)</f>
        <v/>
      </c>
      <c r="B411" s="5" t="str">
        <f>IF(ISBLANK(Лист1!B411),"",Лист1!B411)</f>
        <v/>
      </c>
      <c r="C411" s="5" t="str">
        <f>IF(ISBLANK(Лист1!C411),"",Лист1!C411)</f>
        <v/>
      </c>
      <c r="D411" s="5" t="str">
        <f>IF(ISBLANK(Лист1!D411),"",Лист1!D411)</f>
        <v/>
      </c>
      <c r="E411" s="5" t="str">
        <f>IF(ISBLANK(Лист1!E411),"",Лист1!E411)</f>
        <v/>
      </c>
      <c r="F411" s="5" t="str">
        <f>IF(ISBLANK(Лист1!F411),"",Лист1!F411)</f>
        <v/>
      </c>
      <c r="G411" s="5" t="str">
        <f>IF(ISBLANK(Лист1!G411),"",Лист1!G411)</f>
        <v/>
      </c>
      <c r="H411" s="5" t="str">
        <f>IF(ISBLANK(Лист1!H411),"",Лист1!H411)</f>
        <v/>
      </c>
      <c r="I411" s="5" t="str">
        <f>IF(ISBLANK(Лист1!I411),"",Лист1!I411)</f>
        <v/>
      </c>
      <c r="J411" s="5" t="str">
        <f>IF(ISBLANK(Лист1!J411),"",Лист1!J411)</f>
        <v/>
      </c>
      <c r="K411" s="5" t="str">
        <f>IF(ISBLANK(Лист1!K411),"",Лист1!K411)</f>
        <v/>
      </c>
      <c r="L411" s="5" t="str">
        <f>IF(ISBLANK(Лист1!L411),"",Лист1!L411)</f>
        <v/>
      </c>
      <c r="M411" s="5" t="str">
        <f>IF(ISBLANK(Лист1!M411),"",Лист1!M411)</f>
        <v/>
      </c>
      <c r="N411" s="5" t="str">
        <f>IF(ISBLANK(Лист1!N411),"",Лист1!N411)</f>
        <v/>
      </c>
      <c r="O411" s="5" t="str">
        <f>IF(ISBLANK(Лист1!O411),"",Лист1!O411)</f>
        <v/>
      </c>
      <c r="P411" s="5" t="str">
        <f>IF(ISBLANK(Лист1!P411),"",Лист1!P411)</f>
        <v/>
      </c>
      <c r="Q411" s="5" t="str">
        <f>IF(ISBLANK(Лист1!Q411),"",Лист1!Q411)</f>
        <v/>
      </c>
      <c r="R411" s="5" t="str">
        <f>IF(ISBLANK(Лист1!R411),"",Лист1!R411)</f>
        <v/>
      </c>
      <c r="S411" s="5" t="str">
        <f>IF(ISBLANK(Лист1!S411),"",Лист1!S411)</f>
        <v/>
      </c>
      <c r="T411" s="5" t="str">
        <f>IF(ISBLANK(Лист1!T411),"",Лист1!T411)</f>
        <v/>
      </c>
      <c r="U411" s="5" t="str">
        <f>IF(ISBLANK(Лист1!U411),"",Лист1!U411)</f>
        <v/>
      </c>
      <c r="V411" s="5" t="str">
        <f>IF(ISBLANK(Лист1!V411),"",Лист1!V411)</f>
        <v/>
      </c>
      <c r="W411" s="5" t="str">
        <f>IF(ISBLANK(Лист1!W411),"",Лист1!W411)</f>
        <v/>
      </c>
      <c r="X411" s="5" t="str">
        <f>IF(ISBLANK(Лист1!X411),"",Лист1!X411)</f>
        <v/>
      </c>
      <c r="Y411" s="5" t="str">
        <f>IF(ISERROR(VLOOKUP($X411,Лист2!$A$2:$G$498,1,FALSE)),"",VLOOKUP($X411,Лист2!$A$2:$G$498,1,FALSE))</f>
        <v/>
      </c>
      <c r="Z411" s="5" t="str">
        <f>IF(ISERROR(VLOOKUP($X411,Лист2!$A$2:$G$498,5,FALSE)),"",VLOOKUP($X411,Лист2!$A$2:$G$498,5,FALSE))</f>
        <v/>
      </c>
      <c r="AA411" s="5" t="str">
        <f>IF(ISERROR(VLOOKUP($X411,Лист2!$A$2:$G$498,6,FALSE)),"",VLOOKUP($X411,Лист2!$A$2:$G$498,6,FALSE))</f>
        <v/>
      </c>
      <c r="AB411" s="5" t="str">
        <f>IF(ISERROR(VLOOKUP($X411,Лист2!$A$2:$G$498,7,FALSE)),"",VLOOKUP($X411,Лист2!$A$2:$G$498,7,FALSE))</f>
        <v/>
      </c>
    </row>
    <row r="412" spans="1:28" x14ac:dyDescent="0.25">
      <c r="A412" s="5" t="str">
        <f>IF(ISBLANK(Лист1!A412),"",Лист1!A412)</f>
        <v/>
      </c>
      <c r="B412" s="5" t="str">
        <f>IF(ISBLANK(Лист1!B412),"",Лист1!B412)</f>
        <v/>
      </c>
      <c r="C412" s="5" t="str">
        <f>IF(ISBLANK(Лист1!C412),"",Лист1!C412)</f>
        <v/>
      </c>
      <c r="D412" s="5" t="str">
        <f>IF(ISBLANK(Лист1!D412),"",Лист1!D412)</f>
        <v/>
      </c>
      <c r="E412" s="5" t="str">
        <f>IF(ISBLANK(Лист1!E412),"",Лист1!E412)</f>
        <v/>
      </c>
      <c r="F412" s="5" t="str">
        <f>IF(ISBLANK(Лист1!F412),"",Лист1!F412)</f>
        <v/>
      </c>
      <c r="G412" s="5" t="str">
        <f>IF(ISBLANK(Лист1!G412),"",Лист1!G412)</f>
        <v/>
      </c>
      <c r="H412" s="5" t="str">
        <f>IF(ISBLANK(Лист1!H412),"",Лист1!H412)</f>
        <v/>
      </c>
      <c r="I412" s="5" t="str">
        <f>IF(ISBLANK(Лист1!I412),"",Лист1!I412)</f>
        <v/>
      </c>
      <c r="J412" s="5" t="str">
        <f>IF(ISBLANK(Лист1!J412),"",Лист1!J412)</f>
        <v/>
      </c>
      <c r="K412" s="5" t="str">
        <f>IF(ISBLANK(Лист1!K412),"",Лист1!K412)</f>
        <v/>
      </c>
      <c r="L412" s="5" t="str">
        <f>IF(ISBLANK(Лист1!L412),"",Лист1!L412)</f>
        <v/>
      </c>
      <c r="M412" s="5" t="str">
        <f>IF(ISBLANK(Лист1!M412),"",Лист1!M412)</f>
        <v/>
      </c>
      <c r="N412" s="5" t="str">
        <f>IF(ISBLANK(Лист1!N412),"",Лист1!N412)</f>
        <v/>
      </c>
      <c r="O412" s="5" t="str">
        <f>IF(ISBLANK(Лист1!O412),"",Лист1!O412)</f>
        <v/>
      </c>
      <c r="P412" s="5" t="str">
        <f>IF(ISBLANK(Лист1!P412),"",Лист1!P412)</f>
        <v/>
      </c>
      <c r="Q412" s="5" t="str">
        <f>IF(ISBLANK(Лист1!Q412),"",Лист1!Q412)</f>
        <v/>
      </c>
      <c r="R412" s="5" t="str">
        <f>IF(ISBLANK(Лист1!R412),"",Лист1!R412)</f>
        <v/>
      </c>
      <c r="S412" s="5" t="str">
        <f>IF(ISBLANK(Лист1!S412),"",Лист1!S412)</f>
        <v/>
      </c>
      <c r="T412" s="5" t="str">
        <f>IF(ISBLANK(Лист1!T412),"",Лист1!T412)</f>
        <v/>
      </c>
      <c r="U412" s="5" t="str">
        <f>IF(ISBLANK(Лист1!U412),"",Лист1!U412)</f>
        <v/>
      </c>
      <c r="V412" s="5" t="str">
        <f>IF(ISBLANK(Лист1!V412),"",Лист1!V412)</f>
        <v/>
      </c>
      <c r="W412" s="5" t="str">
        <f>IF(ISBLANK(Лист1!W412),"",Лист1!W412)</f>
        <v/>
      </c>
      <c r="X412" s="5" t="str">
        <f>IF(ISBLANK(Лист1!X412),"",Лист1!X412)</f>
        <v/>
      </c>
      <c r="Y412" s="5" t="str">
        <f>IF(ISERROR(VLOOKUP($X412,Лист2!$A$2:$G$498,1,FALSE)),"",VLOOKUP($X412,Лист2!$A$2:$G$498,1,FALSE))</f>
        <v/>
      </c>
      <c r="Z412" s="5" t="str">
        <f>IF(ISERROR(VLOOKUP($X412,Лист2!$A$2:$G$498,5,FALSE)),"",VLOOKUP($X412,Лист2!$A$2:$G$498,5,FALSE))</f>
        <v/>
      </c>
      <c r="AA412" s="5" t="str">
        <f>IF(ISERROR(VLOOKUP($X412,Лист2!$A$2:$G$498,6,FALSE)),"",VLOOKUP($X412,Лист2!$A$2:$G$498,6,FALSE))</f>
        <v/>
      </c>
      <c r="AB412" s="5" t="str">
        <f>IF(ISERROR(VLOOKUP($X412,Лист2!$A$2:$G$498,7,FALSE)),"",VLOOKUP($X412,Лист2!$A$2:$G$498,7,FALSE))</f>
        <v/>
      </c>
    </row>
    <row r="413" spans="1:28" x14ac:dyDescent="0.25">
      <c r="A413" s="5" t="str">
        <f>IF(ISBLANK(Лист1!A413),"",Лист1!A413)</f>
        <v/>
      </c>
      <c r="B413" s="5" t="str">
        <f>IF(ISBLANK(Лист1!B413),"",Лист1!B413)</f>
        <v/>
      </c>
      <c r="C413" s="5" t="str">
        <f>IF(ISBLANK(Лист1!C413),"",Лист1!C413)</f>
        <v/>
      </c>
      <c r="D413" s="5" t="str">
        <f>IF(ISBLANK(Лист1!D413),"",Лист1!D413)</f>
        <v/>
      </c>
      <c r="E413" s="5" t="str">
        <f>IF(ISBLANK(Лист1!E413),"",Лист1!E413)</f>
        <v/>
      </c>
      <c r="F413" s="5" t="str">
        <f>IF(ISBLANK(Лист1!F413),"",Лист1!F413)</f>
        <v/>
      </c>
      <c r="G413" s="5" t="str">
        <f>IF(ISBLANK(Лист1!G413),"",Лист1!G413)</f>
        <v/>
      </c>
      <c r="H413" s="5" t="str">
        <f>IF(ISBLANK(Лист1!H413),"",Лист1!H413)</f>
        <v/>
      </c>
      <c r="I413" s="5" t="str">
        <f>IF(ISBLANK(Лист1!I413),"",Лист1!I413)</f>
        <v/>
      </c>
      <c r="J413" s="5" t="str">
        <f>IF(ISBLANK(Лист1!J413),"",Лист1!J413)</f>
        <v/>
      </c>
      <c r="K413" s="5" t="str">
        <f>IF(ISBLANK(Лист1!K413),"",Лист1!K413)</f>
        <v/>
      </c>
      <c r="L413" s="5" t="str">
        <f>IF(ISBLANK(Лист1!L413),"",Лист1!L413)</f>
        <v/>
      </c>
      <c r="M413" s="5" t="str">
        <f>IF(ISBLANK(Лист1!M413),"",Лист1!M413)</f>
        <v/>
      </c>
      <c r="N413" s="5" t="str">
        <f>IF(ISBLANK(Лист1!N413),"",Лист1!N413)</f>
        <v/>
      </c>
      <c r="O413" s="5" t="str">
        <f>IF(ISBLANK(Лист1!O413),"",Лист1!O413)</f>
        <v/>
      </c>
      <c r="P413" s="5" t="str">
        <f>IF(ISBLANK(Лист1!P413),"",Лист1!P413)</f>
        <v/>
      </c>
      <c r="Q413" s="5" t="str">
        <f>IF(ISBLANK(Лист1!Q413),"",Лист1!Q413)</f>
        <v/>
      </c>
      <c r="R413" s="5" t="str">
        <f>IF(ISBLANK(Лист1!R413),"",Лист1!R413)</f>
        <v/>
      </c>
      <c r="S413" s="5" t="str">
        <f>IF(ISBLANK(Лист1!S413),"",Лист1!S413)</f>
        <v/>
      </c>
      <c r="T413" s="5" t="str">
        <f>IF(ISBLANK(Лист1!T413),"",Лист1!T413)</f>
        <v/>
      </c>
      <c r="U413" s="5" t="str">
        <f>IF(ISBLANK(Лист1!U413),"",Лист1!U413)</f>
        <v/>
      </c>
      <c r="V413" s="5" t="str">
        <f>IF(ISBLANK(Лист1!V413),"",Лист1!V413)</f>
        <v/>
      </c>
      <c r="W413" s="5" t="str">
        <f>IF(ISBLANK(Лист1!W413),"",Лист1!W413)</f>
        <v/>
      </c>
      <c r="X413" s="5" t="str">
        <f>IF(ISBLANK(Лист1!X413),"",Лист1!X413)</f>
        <v/>
      </c>
      <c r="Y413" s="5" t="str">
        <f>IF(ISERROR(VLOOKUP($X413,Лист2!$A$2:$G$498,1,FALSE)),"",VLOOKUP($X413,Лист2!$A$2:$G$498,1,FALSE))</f>
        <v/>
      </c>
      <c r="Z413" s="5" t="str">
        <f>IF(ISERROR(VLOOKUP($X413,Лист2!$A$2:$G$498,5,FALSE)),"",VLOOKUP($X413,Лист2!$A$2:$G$498,5,FALSE))</f>
        <v/>
      </c>
      <c r="AA413" s="5" t="str">
        <f>IF(ISERROR(VLOOKUP($X413,Лист2!$A$2:$G$498,6,FALSE)),"",VLOOKUP($X413,Лист2!$A$2:$G$498,6,FALSE))</f>
        <v/>
      </c>
      <c r="AB413" s="5" t="str">
        <f>IF(ISERROR(VLOOKUP($X413,Лист2!$A$2:$G$498,7,FALSE)),"",VLOOKUP($X413,Лист2!$A$2:$G$498,7,FALSE))</f>
        <v/>
      </c>
    </row>
    <row r="414" spans="1:28" x14ac:dyDescent="0.25">
      <c r="A414" s="5" t="str">
        <f>IF(ISBLANK(Лист1!A414),"",Лист1!A414)</f>
        <v/>
      </c>
      <c r="B414" s="5" t="str">
        <f>IF(ISBLANK(Лист1!B414),"",Лист1!B414)</f>
        <v/>
      </c>
      <c r="C414" s="5" t="str">
        <f>IF(ISBLANK(Лист1!C414),"",Лист1!C414)</f>
        <v/>
      </c>
      <c r="D414" s="5" t="str">
        <f>IF(ISBLANK(Лист1!D414),"",Лист1!D414)</f>
        <v/>
      </c>
      <c r="E414" s="5" t="str">
        <f>IF(ISBLANK(Лист1!E414),"",Лист1!E414)</f>
        <v/>
      </c>
      <c r="F414" s="5" t="str">
        <f>IF(ISBLANK(Лист1!F414),"",Лист1!F414)</f>
        <v/>
      </c>
      <c r="G414" s="5" t="str">
        <f>IF(ISBLANK(Лист1!G414),"",Лист1!G414)</f>
        <v/>
      </c>
      <c r="H414" s="5" t="str">
        <f>IF(ISBLANK(Лист1!H414),"",Лист1!H414)</f>
        <v/>
      </c>
      <c r="I414" s="5" t="str">
        <f>IF(ISBLANK(Лист1!I414),"",Лист1!I414)</f>
        <v/>
      </c>
      <c r="J414" s="5" t="str">
        <f>IF(ISBLANK(Лист1!J414),"",Лист1!J414)</f>
        <v/>
      </c>
      <c r="K414" s="5" t="str">
        <f>IF(ISBLANK(Лист1!K414),"",Лист1!K414)</f>
        <v/>
      </c>
      <c r="L414" s="5" t="str">
        <f>IF(ISBLANK(Лист1!L414),"",Лист1!L414)</f>
        <v/>
      </c>
      <c r="M414" s="5" t="str">
        <f>IF(ISBLANK(Лист1!M414),"",Лист1!M414)</f>
        <v/>
      </c>
      <c r="N414" s="5" t="str">
        <f>IF(ISBLANK(Лист1!N414),"",Лист1!N414)</f>
        <v/>
      </c>
      <c r="O414" s="5" t="str">
        <f>IF(ISBLANK(Лист1!O414),"",Лист1!O414)</f>
        <v/>
      </c>
      <c r="P414" s="5" t="str">
        <f>IF(ISBLANK(Лист1!P414),"",Лист1!P414)</f>
        <v/>
      </c>
      <c r="Q414" s="5" t="str">
        <f>IF(ISBLANK(Лист1!Q414),"",Лист1!Q414)</f>
        <v/>
      </c>
      <c r="R414" s="5" t="str">
        <f>IF(ISBLANK(Лист1!R414),"",Лист1!R414)</f>
        <v/>
      </c>
      <c r="S414" s="5" t="str">
        <f>IF(ISBLANK(Лист1!S414),"",Лист1!S414)</f>
        <v/>
      </c>
      <c r="T414" s="5" t="str">
        <f>IF(ISBLANK(Лист1!T414),"",Лист1!T414)</f>
        <v/>
      </c>
      <c r="U414" s="5" t="str">
        <f>IF(ISBLANK(Лист1!U414),"",Лист1!U414)</f>
        <v/>
      </c>
      <c r="V414" s="5" t="str">
        <f>IF(ISBLANK(Лист1!V414),"",Лист1!V414)</f>
        <v/>
      </c>
      <c r="W414" s="5" t="str">
        <f>IF(ISBLANK(Лист1!W414),"",Лист1!W414)</f>
        <v/>
      </c>
      <c r="X414" s="5" t="str">
        <f>IF(ISBLANK(Лист1!X414),"",Лист1!X414)</f>
        <v/>
      </c>
      <c r="Y414" s="5" t="str">
        <f>IF(ISERROR(VLOOKUP($X414,Лист2!$A$2:$G$498,1,FALSE)),"",VLOOKUP($X414,Лист2!$A$2:$G$498,1,FALSE))</f>
        <v/>
      </c>
      <c r="Z414" s="5" t="str">
        <f>IF(ISERROR(VLOOKUP($X414,Лист2!$A$2:$G$498,5,FALSE)),"",VLOOKUP($X414,Лист2!$A$2:$G$498,5,FALSE))</f>
        <v/>
      </c>
      <c r="AA414" s="5" t="str">
        <f>IF(ISERROR(VLOOKUP($X414,Лист2!$A$2:$G$498,6,FALSE)),"",VLOOKUP($X414,Лист2!$A$2:$G$498,6,FALSE))</f>
        <v/>
      </c>
      <c r="AB414" s="5" t="str">
        <f>IF(ISERROR(VLOOKUP($X414,Лист2!$A$2:$G$498,7,FALSE)),"",VLOOKUP($X414,Лист2!$A$2:$G$498,7,FALSE))</f>
        <v/>
      </c>
    </row>
    <row r="415" spans="1:28" x14ac:dyDescent="0.25">
      <c r="A415" s="5" t="str">
        <f>IF(ISBLANK(Лист1!A415),"",Лист1!A415)</f>
        <v/>
      </c>
      <c r="B415" s="5" t="str">
        <f>IF(ISBLANK(Лист1!B415),"",Лист1!B415)</f>
        <v/>
      </c>
      <c r="C415" s="5" t="str">
        <f>IF(ISBLANK(Лист1!C415),"",Лист1!C415)</f>
        <v/>
      </c>
      <c r="D415" s="5" t="str">
        <f>IF(ISBLANK(Лист1!D415),"",Лист1!D415)</f>
        <v/>
      </c>
      <c r="E415" s="5" t="str">
        <f>IF(ISBLANK(Лист1!E415),"",Лист1!E415)</f>
        <v/>
      </c>
      <c r="F415" s="5" t="str">
        <f>IF(ISBLANK(Лист1!F415),"",Лист1!F415)</f>
        <v/>
      </c>
      <c r="G415" s="5" t="str">
        <f>IF(ISBLANK(Лист1!G415),"",Лист1!G415)</f>
        <v/>
      </c>
      <c r="H415" s="5" t="str">
        <f>IF(ISBLANK(Лист1!H415),"",Лист1!H415)</f>
        <v/>
      </c>
      <c r="I415" s="5" t="str">
        <f>IF(ISBLANK(Лист1!I415),"",Лист1!I415)</f>
        <v/>
      </c>
      <c r="J415" s="5" t="str">
        <f>IF(ISBLANK(Лист1!J415),"",Лист1!J415)</f>
        <v/>
      </c>
      <c r="K415" s="5" t="str">
        <f>IF(ISBLANK(Лист1!K415),"",Лист1!K415)</f>
        <v/>
      </c>
      <c r="L415" s="5" t="str">
        <f>IF(ISBLANK(Лист1!L415),"",Лист1!L415)</f>
        <v/>
      </c>
      <c r="M415" s="5" t="str">
        <f>IF(ISBLANK(Лист1!M415),"",Лист1!M415)</f>
        <v/>
      </c>
      <c r="N415" s="5" t="str">
        <f>IF(ISBLANK(Лист1!N415),"",Лист1!N415)</f>
        <v/>
      </c>
      <c r="O415" s="5" t="str">
        <f>IF(ISBLANK(Лист1!O415),"",Лист1!O415)</f>
        <v/>
      </c>
      <c r="P415" s="5" t="str">
        <f>IF(ISBLANK(Лист1!P415),"",Лист1!P415)</f>
        <v/>
      </c>
      <c r="Q415" s="5" t="str">
        <f>IF(ISBLANK(Лист1!Q415),"",Лист1!Q415)</f>
        <v/>
      </c>
      <c r="R415" s="5" t="str">
        <f>IF(ISBLANK(Лист1!R415),"",Лист1!R415)</f>
        <v/>
      </c>
      <c r="S415" s="5" t="str">
        <f>IF(ISBLANK(Лист1!S415),"",Лист1!S415)</f>
        <v/>
      </c>
      <c r="T415" s="5" t="str">
        <f>IF(ISBLANK(Лист1!T415),"",Лист1!T415)</f>
        <v/>
      </c>
      <c r="U415" s="5" t="str">
        <f>IF(ISBLANK(Лист1!U415),"",Лист1!U415)</f>
        <v/>
      </c>
      <c r="V415" s="5" t="str">
        <f>IF(ISBLANK(Лист1!V415),"",Лист1!V415)</f>
        <v/>
      </c>
      <c r="W415" s="5" t="str">
        <f>IF(ISBLANK(Лист1!W415),"",Лист1!W415)</f>
        <v/>
      </c>
      <c r="X415" s="5" t="str">
        <f>IF(ISBLANK(Лист1!X415),"",Лист1!X415)</f>
        <v/>
      </c>
      <c r="Y415" s="5" t="str">
        <f>IF(ISERROR(VLOOKUP($X415,Лист2!$A$2:$G$498,1,FALSE)),"",VLOOKUP($X415,Лист2!$A$2:$G$498,1,FALSE))</f>
        <v/>
      </c>
      <c r="Z415" s="5" t="str">
        <f>IF(ISERROR(VLOOKUP($X415,Лист2!$A$2:$G$498,5,FALSE)),"",VLOOKUP($X415,Лист2!$A$2:$G$498,5,FALSE))</f>
        <v/>
      </c>
      <c r="AA415" s="5" t="str">
        <f>IF(ISERROR(VLOOKUP($X415,Лист2!$A$2:$G$498,6,FALSE)),"",VLOOKUP($X415,Лист2!$A$2:$G$498,6,FALSE))</f>
        <v/>
      </c>
      <c r="AB415" s="5" t="str">
        <f>IF(ISERROR(VLOOKUP($X415,Лист2!$A$2:$G$498,7,FALSE)),"",VLOOKUP($X415,Лист2!$A$2:$G$498,7,FALSE))</f>
        <v/>
      </c>
    </row>
    <row r="416" spans="1:28" x14ac:dyDescent="0.25">
      <c r="A416" s="5" t="str">
        <f>IF(ISBLANK(Лист1!A416),"",Лист1!A416)</f>
        <v/>
      </c>
      <c r="B416" s="5" t="str">
        <f>IF(ISBLANK(Лист1!B416),"",Лист1!B416)</f>
        <v/>
      </c>
      <c r="C416" s="5" t="str">
        <f>IF(ISBLANK(Лист1!C416),"",Лист1!C416)</f>
        <v/>
      </c>
      <c r="D416" s="5" t="str">
        <f>IF(ISBLANK(Лист1!D416),"",Лист1!D416)</f>
        <v/>
      </c>
      <c r="E416" s="5" t="str">
        <f>IF(ISBLANK(Лист1!E416),"",Лист1!E416)</f>
        <v/>
      </c>
      <c r="F416" s="5" t="str">
        <f>IF(ISBLANK(Лист1!F416),"",Лист1!F416)</f>
        <v/>
      </c>
      <c r="G416" s="5" t="str">
        <f>IF(ISBLANK(Лист1!G416),"",Лист1!G416)</f>
        <v/>
      </c>
      <c r="H416" s="5" t="str">
        <f>IF(ISBLANK(Лист1!H416),"",Лист1!H416)</f>
        <v/>
      </c>
      <c r="I416" s="5" t="str">
        <f>IF(ISBLANK(Лист1!I416),"",Лист1!I416)</f>
        <v/>
      </c>
      <c r="J416" s="5" t="str">
        <f>IF(ISBLANK(Лист1!J416),"",Лист1!J416)</f>
        <v/>
      </c>
      <c r="K416" s="5" t="str">
        <f>IF(ISBLANK(Лист1!K416),"",Лист1!K416)</f>
        <v/>
      </c>
      <c r="L416" s="5" t="str">
        <f>IF(ISBLANK(Лист1!L416),"",Лист1!L416)</f>
        <v/>
      </c>
      <c r="M416" s="5" t="str">
        <f>IF(ISBLANK(Лист1!M416),"",Лист1!M416)</f>
        <v/>
      </c>
      <c r="N416" s="5" t="str">
        <f>IF(ISBLANK(Лист1!N416),"",Лист1!N416)</f>
        <v/>
      </c>
      <c r="O416" s="5" t="str">
        <f>IF(ISBLANK(Лист1!O416),"",Лист1!O416)</f>
        <v/>
      </c>
      <c r="P416" s="5" t="str">
        <f>IF(ISBLANK(Лист1!P416),"",Лист1!P416)</f>
        <v/>
      </c>
      <c r="Q416" s="5" t="str">
        <f>IF(ISBLANK(Лист1!Q416),"",Лист1!Q416)</f>
        <v/>
      </c>
      <c r="R416" s="5" t="str">
        <f>IF(ISBLANK(Лист1!R416),"",Лист1!R416)</f>
        <v/>
      </c>
      <c r="S416" s="5" t="str">
        <f>IF(ISBLANK(Лист1!S416),"",Лист1!S416)</f>
        <v/>
      </c>
      <c r="T416" s="5" t="str">
        <f>IF(ISBLANK(Лист1!T416),"",Лист1!T416)</f>
        <v/>
      </c>
      <c r="U416" s="5" t="str">
        <f>IF(ISBLANK(Лист1!U416),"",Лист1!U416)</f>
        <v/>
      </c>
      <c r="V416" s="5" t="str">
        <f>IF(ISBLANK(Лист1!V416),"",Лист1!V416)</f>
        <v/>
      </c>
      <c r="W416" s="5" t="str">
        <f>IF(ISBLANK(Лист1!W416),"",Лист1!W416)</f>
        <v/>
      </c>
      <c r="X416" s="5" t="str">
        <f>IF(ISBLANK(Лист1!X416),"",Лист1!X416)</f>
        <v/>
      </c>
      <c r="Y416" s="5" t="str">
        <f>IF(ISERROR(VLOOKUP($X416,Лист2!$A$2:$G$498,1,FALSE)),"",VLOOKUP($X416,Лист2!$A$2:$G$498,1,FALSE))</f>
        <v/>
      </c>
      <c r="Z416" s="5" t="str">
        <f>IF(ISERROR(VLOOKUP($X416,Лист2!$A$2:$G$498,5,FALSE)),"",VLOOKUP($X416,Лист2!$A$2:$G$498,5,FALSE))</f>
        <v/>
      </c>
      <c r="AA416" s="5" t="str">
        <f>IF(ISERROR(VLOOKUP($X416,Лист2!$A$2:$G$498,6,FALSE)),"",VLOOKUP($X416,Лист2!$A$2:$G$498,6,FALSE))</f>
        <v/>
      </c>
      <c r="AB416" s="5" t="str">
        <f>IF(ISERROR(VLOOKUP($X416,Лист2!$A$2:$G$498,7,FALSE)),"",VLOOKUP($X416,Лист2!$A$2:$G$498,7,FALSE))</f>
        <v/>
      </c>
    </row>
    <row r="417" spans="1:28" x14ac:dyDescent="0.25">
      <c r="A417" s="5" t="str">
        <f>IF(ISBLANK(Лист1!A417),"",Лист1!A417)</f>
        <v/>
      </c>
      <c r="B417" s="5" t="str">
        <f>IF(ISBLANK(Лист1!B417),"",Лист1!B417)</f>
        <v/>
      </c>
      <c r="C417" s="5" t="str">
        <f>IF(ISBLANK(Лист1!C417),"",Лист1!C417)</f>
        <v/>
      </c>
      <c r="D417" s="5" t="str">
        <f>IF(ISBLANK(Лист1!D417),"",Лист1!D417)</f>
        <v/>
      </c>
      <c r="E417" s="5" t="str">
        <f>IF(ISBLANK(Лист1!E417),"",Лист1!E417)</f>
        <v/>
      </c>
      <c r="F417" s="5" t="str">
        <f>IF(ISBLANK(Лист1!F417),"",Лист1!F417)</f>
        <v/>
      </c>
      <c r="G417" s="5" t="str">
        <f>IF(ISBLANK(Лист1!G417),"",Лист1!G417)</f>
        <v/>
      </c>
      <c r="H417" s="5" t="str">
        <f>IF(ISBLANK(Лист1!H417),"",Лист1!H417)</f>
        <v/>
      </c>
      <c r="I417" s="5" t="str">
        <f>IF(ISBLANK(Лист1!I417),"",Лист1!I417)</f>
        <v/>
      </c>
      <c r="J417" s="5" t="str">
        <f>IF(ISBLANK(Лист1!J417),"",Лист1!J417)</f>
        <v/>
      </c>
      <c r="K417" s="5" t="str">
        <f>IF(ISBLANK(Лист1!K417),"",Лист1!K417)</f>
        <v/>
      </c>
      <c r="L417" s="5" t="str">
        <f>IF(ISBLANK(Лист1!L417),"",Лист1!L417)</f>
        <v/>
      </c>
      <c r="M417" s="5" t="str">
        <f>IF(ISBLANK(Лист1!M417),"",Лист1!M417)</f>
        <v/>
      </c>
      <c r="N417" s="5" t="str">
        <f>IF(ISBLANK(Лист1!N417),"",Лист1!N417)</f>
        <v/>
      </c>
      <c r="O417" s="5" t="str">
        <f>IF(ISBLANK(Лист1!O417),"",Лист1!O417)</f>
        <v/>
      </c>
      <c r="P417" s="5" t="str">
        <f>IF(ISBLANK(Лист1!P417),"",Лист1!P417)</f>
        <v/>
      </c>
      <c r="Q417" s="5" t="str">
        <f>IF(ISBLANK(Лист1!Q417),"",Лист1!Q417)</f>
        <v/>
      </c>
      <c r="R417" s="5" t="str">
        <f>IF(ISBLANK(Лист1!R417),"",Лист1!R417)</f>
        <v/>
      </c>
      <c r="S417" s="5" t="str">
        <f>IF(ISBLANK(Лист1!S417),"",Лист1!S417)</f>
        <v/>
      </c>
      <c r="T417" s="5" t="str">
        <f>IF(ISBLANK(Лист1!T417),"",Лист1!T417)</f>
        <v/>
      </c>
      <c r="U417" s="5" t="str">
        <f>IF(ISBLANK(Лист1!U417),"",Лист1!U417)</f>
        <v/>
      </c>
      <c r="V417" s="5" t="str">
        <f>IF(ISBLANK(Лист1!V417),"",Лист1!V417)</f>
        <v/>
      </c>
      <c r="W417" s="5" t="str">
        <f>IF(ISBLANK(Лист1!W417),"",Лист1!W417)</f>
        <v/>
      </c>
      <c r="X417" s="5" t="str">
        <f>IF(ISBLANK(Лист1!X417),"",Лист1!X417)</f>
        <v/>
      </c>
      <c r="Y417" s="5" t="str">
        <f>IF(ISERROR(VLOOKUP($X417,Лист2!$A$2:$G$498,1,FALSE)),"",VLOOKUP($X417,Лист2!$A$2:$G$498,1,FALSE))</f>
        <v/>
      </c>
      <c r="Z417" s="5" t="str">
        <f>IF(ISERROR(VLOOKUP($X417,Лист2!$A$2:$G$498,5,FALSE)),"",VLOOKUP($X417,Лист2!$A$2:$G$498,5,FALSE))</f>
        <v/>
      </c>
      <c r="AA417" s="5" t="str">
        <f>IF(ISERROR(VLOOKUP($X417,Лист2!$A$2:$G$498,6,FALSE)),"",VLOOKUP($X417,Лист2!$A$2:$G$498,6,FALSE))</f>
        <v/>
      </c>
      <c r="AB417" s="5" t="str">
        <f>IF(ISERROR(VLOOKUP($X417,Лист2!$A$2:$G$498,7,FALSE)),"",VLOOKUP($X417,Лист2!$A$2:$G$498,7,FALSE))</f>
        <v/>
      </c>
    </row>
    <row r="418" spans="1:28" x14ac:dyDescent="0.25">
      <c r="A418" s="5" t="str">
        <f>IF(ISBLANK(Лист1!A418),"",Лист1!A418)</f>
        <v/>
      </c>
      <c r="B418" s="5" t="str">
        <f>IF(ISBLANK(Лист1!B418),"",Лист1!B418)</f>
        <v/>
      </c>
      <c r="C418" s="5" t="str">
        <f>IF(ISBLANK(Лист1!C418),"",Лист1!C418)</f>
        <v/>
      </c>
      <c r="D418" s="5" t="str">
        <f>IF(ISBLANK(Лист1!D418),"",Лист1!D418)</f>
        <v/>
      </c>
      <c r="E418" s="5" t="str">
        <f>IF(ISBLANK(Лист1!E418),"",Лист1!E418)</f>
        <v/>
      </c>
      <c r="F418" s="5" t="str">
        <f>IF(ISBLANK(Лист1!F418),"",Лист1!F418)</f>
        <v/>
      </c>
      <c r="G418" s="5" t="str">
        <f>IF(ISBLANK(Лист1!G418),"",Лист1!G418)</f>
        <v/>
      </c>
      <c r="H418" s="5" t="str">
        <f>IF(ISBLANK(Лист1!H418),"",Лист1!H418)</f>
        <v/>
      </c>
      <c r="I418" s="5" t="str">
        <f>IF(ISBLANK(Лист1!I418),"",Лист1!I418)</f>
        <v/>
      </c>
      <c r="J418" s="5" t="str">
        <f>IF(ISBLANK(Лист1!J418),"",Лист1!J418)</f>
        <v/>
      </c>
      <c r="K418" s="5" t="str">
        <f>IF(ISBLANK(Лист1!K418),"",Лист1!K418)</f>
        <v/>
      </c>
      <c r="L418" s="5" t="str">
        <f>IF(ISBLANK(Лист1!L418),"",Лист1!L418)</f>
        <v/>
      </c>
      <c r="M418" s="5" t="str">
        <f>IF(ISBLANK(Лист1!M418),"",Лист1!M418)</f>
        <v/>
      </c>
      <c r="N418" s="5" t="str">
        <f>IF(ISBLANK(Лист1!N418),"",Лист1!N418)</f>
        <v/>
      </c>
      <c r="O418" s="5" t="str">
        <f>IF(ISBLANK(Лист1!O418),"",Лист1!O418)</f>
        <v/>
      </c>
      <c r="P418" s="5" t="str">
        <f>IF(ISBLANK(Лист1!P418),"",Лист1!P418)</f>
        <v/>
      </c>
      <c r="Q418" s="5" t="str">
        <f>IF(ISBLANK(Лист1!Q418),"",Лист1!Q418)</f>
        <v/>
      </c>
      <c r="R418" s="5" t="str">
        <f>IF(ISBLANK(Лист1!R418),"",Лист1!R418)</f>
        <v/>
      </c>
      <c r="S418" s="5" t="str">
        <f>IF(ISBLANK(Лист1!S418),"",Лист1!S418)</f>
        <v/>
      </c>
      <c r="T418" s="5" t="str">
        <f>IF(ISBLANK(Лист1!T418),"",Лист1!T418)</f>
        <v/>
      </c>
      <c r="U418" s="5" t="str">
        <f>IF(ISBLANK(Лист1!U418),"",Лист1!U418)</f>
        <v/>
      </c>
      <c r="V418" s="5" t="str">
        <f>IF(ISBLANK(Лист1!V418),"",Лист1!V418)</f>
        <v/>
      </c>
      <c r="W418" s="5" t="str">
        <f>IF(ISBLANK(Лист1!W418),"",Лист1!W418)</f>
        <v/>
      </c>
      <c r="X418" s="5" t="str">
        <f>IF(ISBLANK(Лист1!X418),"",Лист1!X418)</f>
        <v/>
      </c>
      <c r="Y418" s="5" t="str">
        <f>IF(ISERROR(VLOOKUP($X418,Лист2!$A$2:$G$498,1,FALSE)),"",VLOOKUP($X418,Лист2!$A$2:$G$498,1,FALSE))</f>
        <v/>
      </c>
      <c r="Z418" s="5" t="str">
        <f>IF(ISERROR(VLOOKUP($X418,Лист2!$A$2:$G$498,5,FALSE)),"",VLOOKUP($X418,Лист2!$A$2:$G$498,5,FALSE))</f>
        <v/>
      </c>
      <c r="AA418" s="5" t="str">
        <f>IF(ISERROR(VLOOKUP($X418,Лист2!$A$2:$G$498,6,FALSE)),"",VLOOKUP($X418,Лист2!$A$2:$G$498,6,FALSE))</f>
        <v/>
      </c>
      <c r="AB418" s="5" t="str">
        <f>IF(ISERROR(VLOOKUP($X418,Лист2!$A$2:$G$498,7,FALSE)),"",VLOOKUP($X418,Лист2!$A$2:$G$498,7,FALSE))</f>
        <v/>
      </c>
    </row>
    <row r="419" spans="1:28" x14ac:dyDescent="0.25">
      <c r="A419" s="5" t="str">
        <f>IF(ISBLANK(Лист1!A419),"",Лист1!A419)</f>
        <v/>
      </c>
      <c r="B419" s="5" t="str">
        <f>IF(ISBLANK(Лист1!B419),"",Лист1!B419)</f>
        <v/>
      </c>
      <c r="C419" s="5" t="str">
        <f>IF(ISBLANK(Лист1!C419),"",Лист1!C419)</f>
        <v/>
      </c>
      <c r="D419" s="5" t="str">
        <f>IF(ISBLANK(Лист1!D419),"",Лист1!D419)</f>
        <v/>
      </c>
      <c r="E419" s="5" t="str">
        <f>IF(ISBLANK(Лист1!E419),"",Лист1!E419)</f>
        <v/>
      </c>
      <c r="F419" s="5" t="str">
        <f>IF(ISBLANK(Лист1!F419),"",Лист1!F419)</f>
        <v/>
      </c>
      <c r="G419" s="5" t="str">
        <f>IF(ISBLANK(Лист1!G419),"",Лист1!G419)</f>
        <v/>
      </c>
      <c r="H419" s="5" t="str">
        <f>IF(ISBLANK(Лист1!H419),"",Лист1!H419)</f>
        <v/>
      </c>
      <c r="I419" s="5" t="str">
        <f>IF(ISBLANK(Лист1!I419),"",Лист1!I419)</f>
        <v/>
      </c>
      <c r="J419" s="5" t="str">
        <f>IF(ISBLANK(Лист1!J419),"",Лист1!J419)</f>
        <v/>
      </c>
      <c r="K419" s="5" t="str">
        <f>IF(ISBLANK(Лист1!K419),"",Лист1!K419)</f>
        <v/>
      </c>
      <c r="L419" s="5" t="str">
        <f>IF(ISBLANK(Лист1!L419),"",Лист1!L419)</f>
        <v/>
      </c>
      <c r="M419" s="5" t="str">
        <f>IF(ISBLANK(Лист1!M419),"",Лист1!M419)</f>
        <v/>
      </c>
      <c r="N419" s="5" t="str">
        <f>IF(ISBLANK(Лист1!N419),"",Лист1!N419)</f>
        <v/>
      </c>
      <c r="O419" s="5" t="str">
        <f>IF(ISBLANK(Лист1!O419),"",Лист1!O419)</f>
        <v/>
      </c>
      <c r="P419" s="5" t="str">
        <f>IF(ISBLANK(Лист1!P419),"",Лист1!P419)</f>
        <v/>
      </c>
      <c r="Q419" s="5" t="str">
        <f>IF(ISBLANK(Лист1!Q419),"",Лист1!Q419)</f>
        <v/>
      </c>
      <c r="R419" s="5" t="str">
        <f>IF(ISBLANK(Лист1!R419),"",Лист1!R419)</f>
        <v/>
      </c>
      <c r="S419" s="5" t="str">
        <f>IF(ISBLANK(Лист1!S419),"",Лист1!S419)</f>
        <v/>
      </c>
      <c r="T419" s="5" t="str">
        <f>IF(ISBLANK(Лист1!T419),"",Лист1!T419)</f>
        <v/>
      </c>
      <c r="U419" s="5" t="str">
        <f>IF(ISBLANK(Лист1!U419),"",Лист1!U419)</f>
        <v/>
      </c>
      <c r="V419" s="5" t="str">
        <f>IF(ISBLANK(Лист1!V419),"",Лист1!V419)</f>
        <v/>
      </c>
      <c r="W419" s="5" t="str">
        <f>IF(ISBLANK(Лист1!W419),"",Лист1!W419)</f>
        <v/>
      </c>
      <c r="X419" s="5" t="str">
        <f>IF(ISBLANK(Лист1!X419),"",Лист1!X419)</f>
        <v/>
      </c>
      <c r="Y419" s="5" t="str">
        <f>IF(ISERROR(VLOOKUP($X419,Лист2!$A$2:$G$498,1,FALSE)),"",VLOOKUP($X419,Лист2!$A$2:$G$498,1,FALSE))</f>
        <v/>
      </c>
      <c r="Z419" s="5" t="str">
        <f>IF(ISERROR(VLOOKUP($X419,Лист2!$A$2:$G$498,5,FALSE)),"",VLOOKUP($X419,Лист2!$A$2:$G$498,5,FALSE))</f>
        <v/>
      </c>
      <c r="AA419" s="5" t="str">
        <f>IF(ISERROR(VLOOKUP($X419,Лист2!$A$2:$G$498,6,FALSE)),"",VLOOKUP($X419,Лист2!$A$2:$G$498,6,FALSE))</f>
        <v/>
      </c>
      <c r="AB419" s="5" t="str">
        <f>IF(ISERROR(VLOOKUP($X419,Лист2!$A$2:$G$498,7,FALSE)),"",VLOOKUP($X419,Лист2!$A$2:$G$498,7,FALSE))</f>
        <v/>
      </c>
    </row>
    <row r="420" spans="1:28" x14ac:dyDescent="0.25">
      <c r="A420" s="5" t="str">
        <f>IF(ISBLANK(Лист1!A420),"",Лист1!A420)</f>
        <v/>
      </c>
      <c r="B420" s="5" t="str">
        <f>IF(ISBLANK(Лист1!B420),"",Лист1!B420)</f>
        <v/>
      </c>
      <c r="C420" s="5" t="str">
        <f>IF(ISBLANK(Лист1!C420),"",Лист1!C420)</f>
        <v/>
      </c>
      <c r="D420" s="5" t="str">
        <f>IF(ISBLANK(Лист1!D420),"",Лист1!D420)</f>
        <v/>
      </c>
      <c r="E420" s="5" t="str">
        <f>IF(ISBLANK(Лист1!E420),"",Лист1!E420)</f>
        <v/>
      </c>
      <c r="F420" s="5" t="str">
        <f>IF(ISBLANK(Лист1!F420),"",Лист1!F420)</f>
        <v/>
      </c>
      <c r="G420" s="5" t="str">
        <f>IF(ISBLANK(Лист1!G420),"",Лист1!G420)</f>
        <v/>
      </c>
      <c r="H420" s="5" t="str">
        <f>IF(ISBLANK(Лист1!H420),"",Лист1!H420)</f>
        <v/>
      </c>
      <c r="I420" s="5" t="str">
        <f>IF(ISBLANK(Лист1!I420),"",Лист1!I420)</f>
        <v/>
      </c>
      <c r="J420" s="5" t="str">
        <f>IF(ISBLANK(Лист1!J420),"",Лист1!J420)</f>
        <v/>
      </c>
      <c r="K420" s="5" t="str">
        <f>IF(ISBLANK(Лист1!K420),"",Лист1!K420)</f>
        <v/>
      </c>
      <c r="L420" s="5" t="str">
        <f>IF(ISBLANK(Лист1!L420),"",Лист1!L420)</f>
        <v/>
      </c>
      <c r="M420" s="5" t="str">
        <f>IF(ISBLANK(Лист1!M420),"",Лист1!M420)</f>
        <v/>
      </c>
      <c r="N420" s="5" t="str">
        <f>IF(ISBLANK(Лист1!N420),"",Лист1!N420)</f>
        <v/>
      </c>
      <c r="O420" s="5" t="str">
        <f>IF(ISBLANK(Лист1!O420),"",Лист1!O420)</f>
        <v/>
      </c>
      <c r="P420" s="5" t="str">
        <f>IF(ISBLANK(Лист1!P420),"",Лист1!P420)</f>
        <v/>
      </c>
      <c r="Q420" s="5" t="str">
        <f>IF(ISBLANK(Лист1!Q420),"",Лист1!Q420)</f>
        <v/>
      </c>
      <c r="R420" s="5" t="str">
        <f>IF(ISBLANK(Лист1!R420),"",Лист1!R420)</f>
        <v/>
      </c>
      <c r="S420" s="5" t="str">
        <f>IF(ISBLANK(Лист1!S420),"",Лист1!S420)</f>
        <v/>
      </c>
      <c r="T420" s="5" t="str">
        <f>IF(ISBLANK(Лист1!T420),"",Лист1!T420)</f>
        <v/>
      </c>
      <c r="U420" s="5" t="str">
        <f>IF(ISBLANK(Лист1!U420),"",Лист1!U420)</f>
        <v/>
      </c>
      <c r="V420" s="5" t="str">
        <f>IF(ISBLANK(Лист1!V420),"",Лист1!V420)</f>
        <v/>
      </c>
      <c r="W420" s="5" t="str">
        <f>IF(ISBLANK(Лист1!W420),"",Лист1!W420)</f>
        <v/>
      </c>
      <c r="X420" s="5" t="str">
        <f>IF(ISBLANK(Лист1!X420),"",Лист1!X420)</f>
        <v/>
      </c>
      <c r="Y420" s="5" t="str">
        <f>IF(ISERROR(VLOOKUP($X420,Лист2!$A$2:$G$498,1,FALSE)),"",VLOOKUP($X420,Лист2!$A$2:$G$498,1,FALSE))</f>
        <v/>
      </c>
      <c r="Z420" s="5" t="str">
        <f>IF(ISERROR(VLOOKUP($X420,Лист2!$A$2:$G$498,5,FALSE)),"",VLOOKUP($X420,Лист2!$A$2:$G$498,5,FALSE))</f>
        <v/>
      </c>
      <c r="AA420" s="5" t="str">
        <f>IF(ISERROR(VLOOKUP($X420,Лист2!$A$2:$G$498,6,FALSE)),"",VLOOKUP($X420,Лист2!$A$2:$G$498,6,FALSE))</f>
        <v/>
      </c>
      <c r="AB420" s="5" t="str">
        <f>IF(ISERROR(VLOOKUP($X420,Лист2!$A$2:$G$498,7,FALSE)),"",VLOOKUP($X420,Лист2!$A$2:$G$498,7,FALSE))</f>
        <v/>
      </c>
    </row>
    <row r="421" spans="1:28" x14ac:dyDescent="0.25">
      <c r="A421" s="5" t="str">
        <f>IF(ISBLANK(Лист1!A421),"",Лист1!A421)</f>
        <v/>
      </c>
      <c r="B421" s="5" t="str">
        <f>IF(ISBLANK(Лист1!B421),"",Лист1!B421)</f>
        <v/>
      </c>
      <c r="C421" s="5" t="str">
        <f>IF(ISBLANK(Лист1!C421),"",Лист1!C421)</f>
        <v/>
      </c>
      <c r="D421" s="5" t="str">
        <f>IF(ISBLANK(Лист1!D421),"",Лист1!D421)</f>
        <v/>
      </c>
      <c r="E421" s="5" t="str">
        <f>IF(ISBLANK(Лист1!E421),"",Лист1!E421)</f>
        <v/>
      </c>
      <c r="F421" s="5" t="str">
        <f>IF(ISBLANK(Лист1!F421),"",Лист1!F421)</f>
        <v/>
      </c>
      <c r="G421" s="5" t="str">
        <f>IF(ISBLANK(Лист1!G421),"",Лист1!G421)</f>
        <v/>
      </c>
      <c r="H421" s="5" t="str">
        <f>IF(ISBLANK(Лист1!H421),"",Лист1!H421)</f>
        <v/>
      </c>
      <c r="I421" s="5" t="str">
        <f>IF(ISBLANK(Лист1!I421),"",Лист1!I421)</f>
        <v/>
      </c>
      <c r="J421" s="5" t="str">
        <f>IF(ISBLANK(Лист1!J421),"",Лист1!J421)</f>
        <v/>
      </c>
      <c r="K421" s="5" t="str">
        <f>IF(ISBLANK(Лист1!K421),"",Лист1!K421)</f>
        <v/>
      </c>
      <c r="L421" s="5" t="str">
        <f>IF(ISBLANK(Лист1!L421),"",Лист1!L421)</f>
        <v/>
      </c>
      <c r="M421" s="5" t="str">
        <f>IF(ISBLANK(Лист1!M421),"",Лист1!M421)</f>
        <v/>
      </c>
      <c r="N421" s="5" t="str">
        <f>IF(ISBLANK(Лист1!N421),"",Лист1!N421)</f>
        <v/>
      </c>
      <c r="O421" s="5" t="str">
        <f>IF(ISBLANK(Лист1!O421),"",Лист1!O421)</f>
        <v/>
      </c>
      <c r="P421" s="5" t="str">
        <f>IF(ISBLANK(Лист1!P421),"",Лист1!P421)</f>
        <v/>
      </c>
      <c r="Q421" s="5" t="str">
        <f>IF(ISBLANK(Лист1!Q421),"",Лист1!Q421)</f>
        <v/>
      </c>
      <c r="R421" s="5" t="str">
        <f>IF(ISBLANK(Лист1!R421),"",Лист1!R421)</f>
        <v/>
      </c>
      <c r="S421" s="5" t="str">
        <f>IF(ISBLANK(Лист1!S421),"",Лист1!S421)</f>
        <v/>
      </c>
      <c r="T421" s="5" t="str">
        <f>IF(ISBLANK(Лист1!T421),"",Лист1!T421)</f>
        <v/>
      </c>
      <c r="U421" s="5" t="str">
        <f>IF(ISBLANK(Лист1!U421),"",Лист1!U421)</f>
        <v/>
      </c>
      <c r="V421" s="5" t="str">
        <f>IF(ISBLANK(Лист1!V421),"",Лист1!V421)</f>
        <v/>
      </c>
      <c r="W421" s="5" t="str">
        <f>IF(ISBLANK(Лист1!W421),"",Лист1!W421)</f>
        <v/>
      </c>
      <c r="X421" s="5" t="str">
        <f>IF(ISBLANK(Лист1!X421),"",Лист1!X421)</f>
        <v/>
      </c>
      <c r="Y421" s="5" t="str">
        <f>IF(ISERROR(VLOOKUP($X421,Лист2!$A$2:$G$498,1,FALSE)),"",VLOOKUP($X421,Лист2!$A$2:$G$498,1,FALSE))</f>
        <v/>
      </c>
      <c r="Z421" s="5" t="str">
        <f>IF(ISERROR(VLOOKUP($X421,Лист2!$A$2:$G$498,5,FALSE)),"",VLOOKUP($X421,Лист2!$A$2:$G$498,5,FALSE))</f>
        <v/>
      </c>
      <c r="AA421" s="5" t="str">
        <f>IF(ISERROR(VLOOKUP($X421,Лист2!$A$2:$G$498,6,FALSE)),"",VLOOKUP($X421,Лист2!$A$2:$G$498,6,FALSE))</f>
        <v/>
      </c>
      <c r="AB421" s="5" t="str">
        <f>IF(ISERROR(VLOOKUP($X421,Лист2!$A$2:$G$498,7,FALSE)),"",VLOOKUP($X421,Лист2!$A$2:$G$498,7,FALSE))</f>
        <v/>
      </c>
    </row>
    <row r="422" spans="1:28" x14ac:dyDescent="0.25">
      <c r="A422" s="5" t="str">
        <f>IF(ISBLANK(Лист1!A422),"",Лист1!A422)</f>
        <v/>
      </c>
      <c r="B422" s="5" t="str">
        <f>IF(ISBLANK(Лист1!B422),"",Лист1!B422)</f>
        <v/>
      </c>
      <c r="C422" s="5" t="str">
        <f>IF(ISBLANK(Лист1!C422),"",Лист1!C422)</f>
        <v/>
      </c>
      <c r="D422" s="5" t="str">
        <f>IF(ISBLANK(Лист1!D422),"",Лист1!D422)</f>
        <v/>
      </c>
      <c r="E422" s="5" t="str">
        <f>IF(ISBLANK(Лист1!E422),"",Лист1!E422)</f>
        <v/>
      </c>
      <c r="F422" s="5" t="str">
        <f>IF(ISBLANK(Лист1!F422),"",Лист1!F422)</f>
        <v/>
      </c>
      <c r="G422" s="5" t="str">
        <f>IF(ISBLANK(Лист1!G422),"",Лист1!G422)</f>
        <v/>
      </c>
      <c r="H422" s="5" t="str">
        <f>IF(ISBLANK(Лист1!H422),"",Лист1!H422)</f>
        <v/>
      </c>
      <c r="I422" s="5" t="str">
        <f>IF(ISBLANK(Лист1!I422),"",Лист1!I422)</f>
        <v/>
      </c>
      <c r="J422" s="5" t="str">
        <f>IF(ISBLANK(Лист1!J422),"",Лист1!J422)</f>
        <v/>
      </c>
      <c r="K422" s="5" t="str">
        <f>IF(ISBLANK(Лист1!K422),"",Лист1!K422)</f>
        <v/>
      </c>
      <c r="L422" s="5" t="str">
        <f>IF(ISBLANK(Лист1!L422),"",Лист1!L422)</f>
        <v/>
      </c>
      <c r="M422" s="5" t="str">
        <f>IF(ISBLANK(Лист1!M422),"",Лист1!M422)</f>
        <v/>
      </c>
      <c r="N422" s="5" t="str">
        <f>IF(ISBLANK(Лист1!N422),"",Лист1!N422)</f>
        <v/>
      </c>
      <c r="O422" s="5" t="str">
        <f>IF(ISBLANK(Лист1!O422),"",Лист1!O422)</f>
        <v/>
      </c>
      <c r="P422" s="5" t="str">
        <f>IF(ISBLANK(Лист1!P422),"",Лист1!P422)</f>
        <v/>
      </c>
      <c r="Q422" s="5" t="str">
        <f>IF(ISBLANK(Лист1!Q422),"",Лист1!Q422)</f>
        <v/>
      </c>
      <c r="R422" s="5" t="str">
        <f>IF(ISBLANK(Лист1!R422),"",Лист1!R422)</f>
        <v/>
      </c>
      <c r="S422" s="5" t="str">
        <f>IF(ISBLANK(Лист1!S422),"",Лист1!S422)</f>
        <v/>
      </c>
      <c r="T422" s="5" t="str">
        <f>IF(ISBLANK(Лист1!T422),"",Лист1!T422)</f>
        <v/>
      </c>
      <c r="U422" s="5" t="str">
        <f>IF(ISBLANK(Лист1!U422),"",Лист1!U422)</f>
        <v/>
      </c>
      <c r="V422" s="5" t="str">
        <f>IF(ISBLANK(Лист1!V422),"",Лист1!V422)</f>
        <v/>
      </c>
      <c r="W422" s="5" t="str">
        <f>IF(ISBLANK(Лист1!W422),"",Лист1!W422)</f>
        <v/>
      </c>
      <c r="X422" s="5" t="str">
        <f>IF(ISBLANK(Лист1!X422),"",Лист1!X422)</f>
        <v/>
      </c>
      <c r="Y422" s="5" t="str">
        <f>IF(ISERROR(VLOOKUP($X422,Лист2!$A$2:$G$498,1,FALSE)),"",VLOOKUP($X422,Лист2!$A$2:$G$498,1,FALSE))</f>
        <v/>
      </c>
      <c r="Z422" s="5" t="str">
        <f>IF(ISERROR(VLOOKUP($X422,Лист2!$A$2:$G$498,5,FALSE)),"",VLOOKUP($X422,Лист2!$A$2:$G$498,5,FALSE))</f>
        <v/>
      </c>
      <c r="AA422" s="5" t="str">
        <f>IF(ISERROR(VLOOKUP($X422,Лист2!$A$2:$G$498,6,FALSE)),"",VLOOKUP($X422,Лист2!$A$2:$G$498,6,FALSE))</f>
        <v/>
      </c>
      <c r="AB422" s="5" t="str">
        <f>IF(ISERROR(VLOOKUP($X422,Лист2!$A$2:$G$498,7,FALSE)),"",VLOOKUP($X422,Лист2!$A$2:$G$498,7,FALSE))</f>
        <v/>
      </c>
    </row>
    <row r="423" spans="1:28" x14ac:dyDescent="0.25">
      <c r="A423" s="5" t="str">
        <f>IF(ISBLANK(Лист1!A423),"",Лист1!A423)</f>
        <v/>
      </c>
      <c r="B423" s="5" t="str">
        <f>IF(ISBLANK(Лист1!B423),"",Лист1!B423)</f>
        <v/>
      </c>
      <c r="C423" s="5" t="str">
        <f>IF(ISBLANK(Лист1!C423),"",Лист1!C423)</f>
        <v/>
      </c>
      <c r="D423" s="5" t="str">
        <f>IF(ISBLANK(Лист1!D423),"",Лист1!D423)</f>
        <v/>
      </c>
      <c r="E423" s="5" t="str">
        <f>IF(ISBLANK(Лист1!E423),"",Лист1!E423)</f>
        <v/>
      </c>
      <c r="F423" s="5" t="str">
        <f>IF(ISBLANK(Лист1!F423),"",Лист1!F423)</f>
        <v/>
      </c>
      <c r="G423" s="5" t="str">
        <f>IF(ISBLANK(Лист1!G423),"",Лист1!G423)</f>
        <v/>
      </c>
      <c r="H423" s="5" t="str">
        <f>IF(ISBLANK(Лист1!H423),"",Лист1!H423)</f>
        <v/>
      </c>
      <c r="I423" s="5" t="str">
        <f>IF(ISBLANK(Лист1!I423),"",Лист1!I423)</f>
        <v/>
      </c>
      <c r="J423" s="5" t="str">
        <f>IF(ISBLANK(Лист1!J423),"",Лист1!J423)</f>
        <v/>
      </c>
      <c r="K423" s="5" t="str">
        <f>IF(ISBLANK(Лист1!K423),"",Лист1!K423)</f>
        <v/>
      </c>
      <c r="L423" s="5" t="str">
        <f>IF(ISBLANK(Лист1!L423),"",Лист1!L423)</f>
        <v/>
      </c>
      <c r="M423" s="5" t="str">
        <f>IF(ISBLANK(Лист1!M423),"",Лист1!M423)</f>
        <v/>
      </c>
      <c r="N423" s="5" t="str">
        <f>IF(ISBLANK(Лист1!N423),"",Лист1!N423)</f>
        <v/>
      </c>
      <c r="O423" s="5" t="str">
        <f>IF(ISBLANK(Лист1!O423),"",Лист1!O423)</f>
        <v/>
      </c>
      <c r="P423" s="5" t="str">
        <f>IF(ISBLANK(Лист1!P423),"",Лист1!P423)</f>
        <v/>
      </c>
      <c r="Q423" s="5" t="str">
        <f>IF(ISBLANK(Лист1!Q423),"",Лист1!Q423)</f>
        <v/>
      </c>
      <c r="R423" s="5" t="str">
        <f>IF(ISBLANK(Лист1!R423),"",Лист1!R423)</f>
        <v/>
      </c>
      <c r="S423" s="5" t="str">
        <f>IF(ISBLANK(Лист1!S423),"",Лист1!S423)</f>
        <v/>
      </c>
      <c r="T423" s="5" t="str">
        <f>IF(ISBLANK(Лист1!T423),"",Лист1!T423)</f>
        <v/>
      </c>
      <c r="U423" s="5" t="str">
        <f>IF(ISBLANK(Лист1!U423),"",Лист1!U423)</f>
        <v/>
      </c>
      <c r="V423" s="5" t="str">
        <f>IF(ISBLANK(Лист1!V423),"",Лист1!V423)</f>
        <v/>
      </c>
      <c r="W423" s="5" t="str">
        <f>IF(ISBLANK(Лист1!W423),"",Лист1!W423)</f>
        <v/>
      </c>
      <c r="X423" s="5" t="str">
        <f>IF(ISBLANK(Лист1!X423),"",Лист1!X423)</f>
        <v/>
      </c>
      <c r="Y423" s="5" t="str">
        <f>IF(ISERROR(VLOOKUP($X423,Лист2!$A$2:$G$498,1,FALSE)),"",VLOOKUP($X423,Лист2!$A$2:$G$498,1,FALSE))</f>
        <v/>
      </c>
      <c r="Z423" s="5" t="str">
        <f>IF(ISERROR(VLOOKUP($X423,Лист2!$A$2:$G$498,5,FALSE)),"",VLOOKUP($X423,Лист2!$A$2:$G$498,5,FALSE))</f>
        <v/>
      </c>
      <c r="AA423" s="5" t="str">
        <f>IF(ISERROR(VLOOKUP($X423,Лист2!$A$2:$G$498,6,FALSE)),"",VLOOKUP($X423,Лист2!$A$2:$G$498,6,FALSE))</f>
        <v/>
      </c>
      <c r="AB423" s="5" t="str">
        <f>IF(ISERROR(VLOOKUP($X423,Лист2!$A$2:$G$498,7,FALSE)),"",VLOOKUP($X423,Лист2!$A$2:$G$498,7,FALSE))</f>
        <v/>
      </c>
    </row>
    <row r="424" spans="1:28" x14ac:dyDescent="0.25">
      <c r="A424" s="5" t="str">
        <f>IF(ISBLANK(Лист1!A424),"",Лист1!A424)</f>
        <v/>
      </c>
      <c r="B424" s="5" t="str">
        <f>IF(ISBLANK(Лист1!B424),"",Лист1!B424)</f>
        <v/>
      </c>
      <c r="C424" s="5" t="str">
        <f>IF(ISBLANK(Лист1!C424),"",Лист1!C424)</f>
        <v/>
      </c>
      <c r="D424" s="5" t="str">
        <f>IF(ISBLANK(Лист1!D424),"",Лист1!D424)</f>
        <v/>
      </c>
      <c r="E424" s="5" t="str">
        <f>IF(ISBLANK(Лист1!E424),"",Лист1!E424)</f>
        <v/>
      </c>
      <c r="F424" s="5" t="str">
        <f>IF(ISBLANK(Лист1!F424),"",Лист1!F424)</f>
        <v/>
      </c>
      <c r="G424" s="5" t="str">
        <f>IF(ISBLANK(Лист1!G424),"",Лист1!G424)</f>
        <v/>
      </c>
      <c r="H424" s="5" t="str">
        <f>IF(ISBLANK(Лист1!H424),"",Лист1!H424)</f>
        <v/>
      </c>
      <c r="I424" s="5" t="str">
        <f>IF(ISBLANK(Лист1!I424),"",Лист1!I424)</f>
        <v/>
      </c>
      <c r="J424" s="5" t="str">
        <f>IF(ISBLANK(Лист1!J424),"",Лист1!J424)</f>
        <v/>
      </c>
      <c r="K424" s="5" t="str">
        <f>IF(ISBLANK(Лист1!K424),"",Лист1!K424)</f>
        <v/>
      </c>
      <c r="L424" s="5" t="str">
        <f>IF(ISBLANK(Лист1!L424),"",Лист1!L424)</f>
        <v/>
      </c>
      <c r="M424" s="5" t="str">
        <f>IF(ISBLANK(Лист1!M424),"",Лист1!M424)</f>
        <v/>
      </c>
      <c r="N424" s="5" t="str">
        <f>IF(ISBLANK(Лист1!N424),"",Лист1!N424)</f>
        <v/>
      </c>
      <c r="O424" s="5" t="str">
        <f>IF(ISBLANK(Лист1!O424),"",Лист1!O424)</f>
        <v/>
      </c>
      <c r="P424" s="5" t="str">
        <f>IF(ISBLANK(Лист1!P424),"",Лист1!P424)</f>
        <v/>
      </c>
      <c r="Q424" s="5" t="str">
        <f>IF(ISBLANK(Лист1!Q424),"",Лист1!Q424)</f>
        <v/>
      </c>
      <c r="R424" s="5" t="str">
        <f>IF(ISBLANK(Лист1!R424),"",Лист1!R424)</f>
        <v/>
      </c>
      <c r="S424" s="5" t="str">
        <f>IF(ISBLANK(Лист1!S424),"",Лист1!S424)</f>
        <v/>
      </c>
      <c r="T424" s="5" t="str">
        <f>IF(ISBLANK(Лист1!T424),"",Лист1!T424)</f>
        <v/>
      </c>
      <c r="U424" s="5" t="str">
        <f>IF(ISBLANK(Лист1!U424),"",Лист1!U424)</f>
        <v/>
      </c>
      <c r="V424" s="5" t="str">
        <f>IF(ISBLANK(Лист1!V424),"",Лист1!V424)</f>
        <v/>
      </c>
      <c r="W424" s="5" t="str">
        <f>IF(ISBLANK(Лист1!W424),"",Лист1!W424)</f>
        <v/>
      </c>
      <c r="X424" s="5" t="str">
        <f>IF(ISBLANK(Лист1!X424),"",Лист1!X424)</f>
        <v/>
      </c>
      <c r="Y424" s="5" t="str">
        <f>IF(ISERROR(VLOOKUP($X424,Лист2!$A$2:$G$498,1,FALSE)),"",VLOOKUP($X424,Лист2!$A$2:$G$498,1,FALSE))</f>
        <v/>
      </c>
      <c r="Z424" s="5" t="str">
        <f>IF(ISERROR(VLOOKUP($X424,Лист2!$A$2:$G$498,5,FALSE)),"",VLOOKUP($X424,Лист2!$A$2:$G$498,5,FALSE))</f>
        <v/>
      </c>
      <c r="AA424" s="5" t="str">
        <f>IF(ISERROR(VLOOKUP($X424,Лист2!$A$2:$G$498,6,FALSE)),"",VLOOKUP($X424,Лист2!$A$2:$G$498,6,FALSE))</f>
        <v/>
      </c>
      <c r="AB424" s="5" t="str">
        <f>IF(ISERROR(VLOOKUP($X424,Лист2!$A$2:$G$498,7,FALSE)),"",VLOOKUP($X424,Лист2!$A$2:$G$498,7,FALSE))</f>
        <v/>
      </c>
    </row>
    <row r="425" spans="1:28" x14ac:dyDescent="0.25">
      <c r="A425" s="5" t="str">
        <f>IF(ISBLANK(Лист1!A425),"",Лист1!A425)</f>
        <v/>
      </c>
      <c r="B425" s="5" t="str">
        <f>IF(ISBLANK(Лист1!B425),"",Лист1!B425)</f>
        <v/>
      </c>
      <c r="C425" s="5" t="str">
        <f>IF(ISBLANK(Лист1!C425),"",Лист1!C425)</f>
        <v/>
      </c>
      <c r="D425" s="5" t="str">
        <f>IF(ISBLANK(Лист1!D425),"",Лист1!D425)</f>
        <v/>
      </c>
      <c r="E425" s="5" t="str">
        <f>IF(ISBLANK(Лист1!E425),"",Лист1!E425)</f>
        <v/>
      </c>
      <c r="F425" s="5" t="str">
        <f>IF(ISBLANK(Лист1!F425),"",Лист1!F425)</f>
        <v/>
      </c>
      <c r="G425" s="5" t="str">
        <f>IF(ISBLANK(Лист1!G425),"",Лист1!G425)</f>
        <v/>
      </c>
      <c r="H425" s="5" t="str">
        <f>IF(ISBLANK(Лист1!H425),"",Лист1!H425)</f>
        <v/>
      </c>
      <c r="I425" s="5" t="str">
        <f>IF(ISBLANK(Лист1!I425),"",Лист1!I425)</f>
        <v/>
      </c>
      <c r="J425" s="5" t="str">
        <f>IF(ISBLANK(Лист1!J425),"",Лист1!J425)</f>
        <v/>
      </c>
      <c r="K425" s="5" t="str">
        <f>IF(ISBLANK(Лист1!K425),"",Лист1!K425)</f>
        <v/>
      </c>
      <c r="L425" s="5" t="str">
        <f>IF(ISBLANK(Лист1!L425),"",Лист1!L425)</f>
        <v/>
      </c>
      <c r="M425" s="5" t="str">
        <f>IF(ISBLANK(Лист1!M425),"",Лист1!M425)</f>
        <v/>
      </c>
      <c r="N425" s="5" t="str">
        <f>IF(ISBLANK(Лист1!N425),"",Лист1!N425)</f>
        <v/>
      </c>
      <c r="O425" s="5" t="str">
        <f>IF(ISBLANK(Лист1!O425),"",Лист1!O425)</f>
        <v/>
      </c>
      <c r="P425" s="5" t="str">
        <f>IF(ISBLANK(Лист1!P425),"",Лист1!P425)</f>
        <v/>
      </c>
      <c r="Q425" s="5" t="str">
        <f>IF(ISBLANK(Лист1!Q425),"",Лист1!Q425)</f>
        <v/>
      </c>
      <c r="R425" s="5" t="str">
        <f>IF(ISBLANK(Лист1!R425),"",Лист1!R425)</f>
        <v/>
      </c>
      <c r="S425" s="5" t="str">
        <f>IF(ISBLANK(Лист1!S425),"",Лист1!S425)</f>
        <v/>
      </c>
      <c r="T425" s="5" t="str">
        <f>IF(ISBLANK(Лист1!T425),"",Лист1!T425)</f>
        <v/>
      </c>
      <c r="U425" s="5" t="str">
        <f>IF(ISBLANK(Лист1!U425),"",Лист1!U425)</f>
        <v/>
      </c>
      <c r="V425" s="5" t="str">
        <f>IF(ISBLANK(Лист1!V425),"",Лист1!V425)</f>
        <v/>
      </c>
      <c r="W425" s="5" t="str">
        <f>IF(ISBLANK(Лист1!W425),"",Лист1!W425)</f>
        <v/>
      </c>
      <c r="X425" s="5" t="str">
        <f>IF(ISBLANK(Лист1!X425),"",Лист1!X425)</f>
        <v/>
      </c>
      <c r="Y425" s="5" t="str">
        <f>IF(ISERROR(VLOOKUP($X425,Лист2!$A$2:$G$498,1,FALSE)),"",VLOOKUP($X425,Лист2!$A$2:$G$498,1,FALSE))</f>
        <v/>
      </c>
      <c r="Z425" s="5" t="str">
        <f>IF(ISERROR(VLOOKUP($X425,Лист2!$A$2:$G$498,5,FALSE)),"",VLOOKUP($X425,Лист2!$A$2:$G$498,5,FALSE))</f>
        <v/>
      </c>
      <c r="AA425" s="5" t="str">
        <f>IF(ISERROR(VLOOKUP($X425,Лист2!$A$2:$G$498,6,FALSE)),"",VLOOKUP($X425,Лист2!$A$2:$G$498,6,FALSE))</f>
        <v/>
      </c>
      <c r="AB425" s="5" t="str">
        <f>IF(ISERROR(VLOOKUP($X425,Лист2!$A$2:$G$498,7,FALSE)),"",VLOOKUP($X425,Лист2!$A$2:$G$498,7,FALSE))</f>
        <v/>
      </c>
    </row>
    <row r="426" spans="1:28" x14ac:dyDescent="0.25">
      <c r="A426" s="5" t="str">
        <f>IF(ISBLANK(Лист1!A426),"",Лист1!A426)</f>
        <v/>
      </c>
      <c r="B426" s="5" t="str">
        <f>IF(ISBLANK(Лист1!B426),"",Лист1!B426)</f>
        <v/>
      </c>
      <c r="C426" s="5" t="str">
        <f>IF(ISBLANK(Лист1!C426),"",Лист1!C426)</f>
        <v/>
      </c>
      <c r="D426" s="5" t="str">
        <f>IF(ISBLANK(Лист1!D426),"",Лист1!D426)</f>
        <v/>
      </c>
      <c r="E426" s="5" t="str">
        <f>IF(ISBLANK(Лист1!E426),"",Лист1!E426)</f>
        <v/>
      </c>
      <c r="F426" s="5" t="str">
        <f>IF(ISBLANK(Лист1!F426),"",Лист1!F426)</f>
        <v/>
      </c>
      <c r="G426" s="5" t="str">
        <f>IF(ISBLANK(Лист1!G426),"",Лист1!G426)</f>
        <v/>
      </c>
      <c r="H426" s="5" t="str">
        <f>IF(ISBLANK(Лист1!H426),"",Лист1!H426)</f>
        <v/>
      </c>
      <c r="I426" s="5" t="str">
        <f>IF(ISBLANK(Лист1!I426),"",Лист1!I426)</f>
        <v/>
      </c>
      <c r="J426" s="5" t="str">
        <f>IF(ISBLANK(Лист1!J426),"",Лист1!J426)</f>
        <v/>
      </c>
      <c r="K426" s="5" t="str">
        <f>IF(ISBLANK(Лист1!K426),"",Лист1!K426)</f>
        <v/>
      </c>
      <c r="L426" s="5" t="str">
        <f>IF(ISBLANK(Лист1!L426),"",Лист1!L426)</f>
        <v/>
      </c>
      <c r="M426" s="5" t="str">
        <f>IF(ISBLANK(Лист1!M426),"",Лист1!M426)</f>
        <v/>
      </c>
      <c r="N426" s="5" t="str">
        <f>IF(ISBLANK(Лист1!N426),"",Лист1!N426)</f>
        <v/>
      </c>
      <c r="O426" s="5" t="str">
        <f>IF(ISBLANK(Лист1!O426),"",Лист1!O426)</f>
        <v/>
      </c>
      <c r="P426" s="5" t="str">
        <f>IF(ISBLANK(Лист1!P426),"",Лист1!P426)</f>
        <v/>
      </c>
      <c r="Q426" s="5" t="str">
        <f>IF(ISBLANK(Лист1!Q426),"",Лист1!Q426)</f>
        <v/>
      </c>
      <c r="R426" s="5" t="str">
        <f>IF(ISBLANK(Лист1!R426),"",Лист1!R426)</f>
        <v/>
      </c>
      <c r="S426" s="5" t="str">
        <f>IF(ISBLANK(Лист1!S426),"",Лист1!S426)</f>
        <v/>
      </c>
      <c r="T426" s="5" t="str">
        <f>IF(ISBLANK(Лист1!T426),"",Лист1!T426)</f>
        <v/>
      </c>
      <c r="U426" s="5" t="str">
        <f>IF(ISBLANK(Лист1!U426),"",Лист1!U426)</f>
        <v/>
      </c>
      <c r="V426" s="5" t="str">
        <f>IF(ISBLANK(Лист1!V426),"",Лист1!V426)</f>
        <v/>
      </c>
      <c r="W426" s="5" t="str">
        <f>IF(ISBLANK(Лист1!W426),"",Лист1!W426)</f>
        <v/>
      </c>
      <c r="X426" s="5" t="str">
        <f>IF(ISBLANK(Лист1!X426),"",Лист1!X426)</f>
        <v/>
      </c>
      <c r="Y426" s="5" t="str">
        <f>IF(ISERROR(VLOOKUP($X426,Лист2!$A$2:$G$498,1,FALSE)),"",VLOOKUP($X426,Лист2!$A$2:$G$498,1,FALSE))</f>
        <v/>
      </c>
      <c r="Z426" s="5" t="str">
        <f>IF(ISERROR(VLOOKUP($X426,Лист2!$A$2:$G$498,5,FALSE)),"",VLOOKUP($X426,Лист2!$A$2:$G$498,5,FALSE))</f>
        <v/>
      </c>
      <c r="AA426" s="5" t="str">
        <f>IF(ISERROR(VLOOKUP($X426,Лист2!$A$2:$G$498,6,FALSE)),"",VLOOKUP($X426,Лист2!$A$2:$G$498,6,FALSE))</f>
        <v/>
      </c>
      <c r="AB426" s="5" t="str">
        <f>IF(ISERROR(VLOOKUP($X426,Лист2!$A$2:$G$498,7,FALSE)),"",VLOOKUP($X426,Лист2!$A$2:$G$498,7,FALSE))</f>
        <v/>
      </c>
    </row>
    <row r="427" spans="1:28" x14ac:dyDescent="0.25">
      <c r="A427" s="5" t="str">
        <f>IF(ISBLANK(Лист1!A427),"",Лист1!A427)</f>
        <v/>
      </c>
      <c r="B427" s="5" t="str">
        <f>IF(ISBLANK(Лист1!B427),"",Лист1!B427)</f>
        <v/>
      </c>
      <c r="C427" s="5" t="str">
        <f>IF(ISBLANK(Лист1!C427),"",Лист1!C427)</f>
        <v/>
      </c>
      <c r="D427" s="5" t="str">
        <f>IF(ISBLANK(Лист1!D427),"",Лист1!D427)</f>
        <v/>
      </c>
      <c r="E427" s="5" t="str">
        <f>IF(ISBLANK(Лист1!E427),"",Лист1!E427)</f>
        <v/>
      </c>
      <c r="F427" s="5" t="str">
        <f>IF(ISBLANK(Лист1!F427),"",Лист1!F427)</f>
        <v/>
      </c>
      <c r="G427" s="5" t="str">
        <f>IF(ISBLANK(Лист1!G427),"",Лист1!G427)</f>
        <v/>
      </c>
      <c r="H427" s="5" t="str">
        <f>IF(ISBLANK(Лист1!H427),"",Лист1!H427)</f>
        <v/>
      </c>
      <c r="I427" s="5" t="str">
        <f>IF(ISBLANK(Лист1!I427),"",Лист1!I427)</f>
        <v/>
      </c>
      <c r="J427" s="5" t="str">
        <f>IF(ISBLANK(Лист1!J427),"",Лист1!J427)</f>
        <v/>
      </c>
      <c r="K427" s="5" t="str">
        <f>IF(ISBLANK(Лист1!K427),"",Лист1!K427)</f>
        <v/>
      </c>
      <c r="L427" s="5" t="str">
        <f>IF(ISBLANK(Лист1!L427),"",Лист1!L427)</f>
        <v/>
      </c>
      <c r="M427" s="5" t="str">
        <f>IF(ISBLANK(Лист1!M427),"",Лист1!M427)</f>
        <v/>
      </c>
      <c r="N427" s="5" t="str">
        <f>IF(ISBLANK(Лист1!N427),"",Лист1!N427)</f>
        <v/>
      </c>
      <c r="O427" s="5" t="str">
        <f>IF(ISBLANK(Лист1!O427),"",Лист1!O427)</f>
        <v/>
      </c>
      <c r="P427" s="5" t="str">
        <f>IF(ISBLANK(Лист1!P427),"",Лист1!P427)</f>
        <v/>
      </c>
      <c r="Q427" s="5" t="str">
        <f>IF(ISBLANK(Лист1!Q427),"",Лист1!Q427)</f>
        <v/>
      </c>
      <c r="R427" s="5" t="str">
        <f>IF(ISBLANK(Лист1!R427),"",Лист1!R427)</f>
        <v/>
      </c>
      <c r="S427" s="5" t="str">
        <f>IF(ISBLANK(Лист1!S427),"",Лист1!S427)</f>
        <v/>
      </c>
      <c r="T427" s="5" t="str">
        <f>IF(ISBLANK(Лист1!T427),"",Лист1!T427)</f>
        <v/>
      </c>
      <c r="U427" s="5" t="str">
        <f>IF(ISBLANK(Лист1!U427),"",Лист1!U427)</f>
        <v/>
      </c>
      <c r="V427" s="5" t="str">
        <f>IF(ISBLANK(Лист1!V427),"",Лист1!V427)</f>
        <v/>
      </c>
      <c r="W427" s="5" t="str">
        <f>IF(ISBLANK(Лист1!W427),"",Лист1!W427)</f>
        <v/>
      </c>
      <c r="X427" s="5" t="str">
        <f>IF(ISBLANK(Лист1!X427),"",Лист1!X427)</f>
        <v/>
      </c>
      <c r="Y427" s="5" t="str">
        <f>IF(ISERROR(VLOOKUP($X427,Лист2!$A$2:$G$498,1,FALSE)),"",VLOOKUP($X427,Лист2!$A$2:$G$498,1,FALSE))</f>
        <v/>
      </c>
      <c r="Z427" s="5" t="str">
        <f>IF(ISERROR(VLOOKUP($X427,Лист2!$A$2:$G$498,5,FALSE)),"",VLOOKUP($X427,Лист2!$A$2:$G$498,5,FALSE))</f>
        <v/>
      </c>
      <c r="AA427" s="5" t="str">
        <f>IF(ISERROR(VLOOKUP($X427,Лист2!$A$2:$G$498,6,FALSE)),"",VLOOKUP($X427,Лист2!$A$2:$G$498,6,FALSE))</f>
        <v/>
      </c>
      <c r="AB427" s="5" t="str">
        <f>IF(ISERROR(VLOOKUP($X427,Лист2!$A$2:$G$498,7,FALSE)),"",VLOOKUP($X427,Лист2!$A$2:$G$498,7,FALSE))</f>
        <v/>
      </c>
    </row>
    <row r="428" spans="1:28" x14ac:dyDescent="0.25">
      <c r="A428" s="5" t="str">
        <f>IF(ISBLANK(Лист1!A428),"",Лист1!A428)</f>
        <v/>
      </c>
      <c r="B428" s="5" t="str">
        <f>IF(ISBLANK(Лист1!B428),"",Лист1!B428)</f>
        <v/>
      </c>
      <c r="C428" s="5" t="str">
        <f>IF(ISBLANK(Лист1!C428),"",Лист1!C428)</f>
        <v/>
      </c>
      <c r="D428" s="5" t="str">
        <f>IF(ISBLANK(Лист1!D428),"",Лист1!D428)</f>
        <v/>
      </c>
      <c r="E428" s="5" t="str">
        <f>IF(ISBLANK(Лист1!E428),"",Лист1!E428)</f>
        <v/>
      </c>
      <c r="F428" s="5" t="str">
        <f>IF(ISBLANK(Лист1!F428),"",Лист1!F428)</f>
        <v/>
      </c>
      <c r="G428" s="5" t="str">
        <f>IF(ISBLANK(Лист1!G428),"",Лист1!G428)</f>
        <v/>
      </c>
      <c r="H428" s="5" t="str">
        <f>IF(ISBLANK(Лист1!H428),"",Лист1!H428)</f>
        <v/>
      </c>
      <c r="I428" s="5" t="str">
        <f>IF(ISBLANK(Лист1!I428),"",Лист1!I428)</f>
        <v/>
      </c>
      <c r="J428" s="5" t="str">
        <f>IF(ISBLANK(Лист1!J428),"",Лист1!J428)</f>
        <v/>
      </c>
      <c r="K428" s="5" t="str">
        <f>IF(ISBLANK(Лист1!K428),"",Лист1!K428)</f>
        <v/>
      </c>
      <c r="L428" s="5" t="str">
        <f>IF(ISBLANK(Лист1!L428),"",Лист1!L428)</f>
        <v/>
      </c>
      <c r="M428" s="5" t="str">
        <f>IF(ISBLANK(Лист1!M428),"",Лист1!M428)</f>
        <v/>
      </c>
      <c r="N428" s="5" t="str">
        <f>IF(ISBLANK(Лист1!N428),"",Лист1!N428)</f>
        <v/>
      </c>
      <c r="O428" s="5" t="str">
        <f>IF(ISBLANK(Лист1!O428),"",Лист1!O428)</f>
        <v/>
      </c>
      <c r="P428" s="5" t="str">
        <f>IF(ISBLANK(Лист1!P428),"",Лист1!P428)</f>
        <v/>
      </c>
      <c r="Q428" s="5" t="str">
        <f>IF(ISBLANK(Лист1!Q428),"",Лист1!Q428)</f>
        <v/>
      </c>
      <c r="R428" s="5" t="str">
        <f>IF(ISBLANK(Лист1!R428),"",Лист1!R428)</f>
        <v/>
      </c>
      <c r="S428" s="5" t="str">
        <f>IF(ISBLANK(Лист1!S428),"",Лист1!S428)</f>
        <v/>
      </c>
      <c r="T428" s="5" t="str">
        <f>IF(ISBLANK(Лист1!T428),"",Лист1!T428)</f>
        <v/>
      </c>
      <c r="U428" s="5" t="str">
        <f>IF(ISBLANK(Лист1!U428),"",Лист1!U428)</f>
        <v/>
      </c>
      <c r="V428" s="5" t="str">
        <f>IF(ISBLANK(Лист1!V428),"",Лист1!V428)</f>
        <v/>
      </c>
      <c r="W428" s="5" t="str">
        <f>IF(ISBLANK(Лист1!W428),"",Лист1!W428)</f>
        <v/>
      </c>
      <c r="X428" s="5" t="str">
        <f>IF(ISBLANK(Лист1!X428),"",Лист1!X428)</f>
        <v/>
      </c>
      <c r="Y428" s="5" t="str">
        <f>IF(ISERROR(VLOOKUP($X428,Лист2!$A$2:$G$498,1,FALSE)),"",VLOOKUP($X428,Лист2!$A$2:$G$498,1,FALSE))</f>
        <v/>
      </c>
      <c r="Z428" s="5" t="str">
        <f>IF(ISERROR(VLOOKUP($X428,Лист2!$A$2:$G$498,5,FALSE)),"",VLOOKUP($X428,Лист2!$A$2:$G$498,5,FALSE))</f>
        <v/>
      </c>
      <c r="AA428" s="5" t="str">
        <f>IF(ISERROR(VLOOKUP($X428,Лист2!$A$2:$G$498,6,FALSE)),"",VLOOKUP($X428,Лист2!$A$2:$G$498,6,FALSE))</f>
        <v/>
      </c>
      <c r="AB428" s="5" t="str">
        <f>IF(ISERROR(VLOOKUP($X428,Лист2!$A$2:$G$498,7,FALSE)),"",VLOOKUP($X428,Лист2!$A$2:$G$498,7,FALSE))</f>
        <v/>
      </c>
    </row>
    <row r="429" spans="1:28" x14ac:dyDescent="0.25">
      <c r="A429" s="5" t="str">
        <f>IF(ISBLANK(Лист1!A429),"",Лист1!A429)</f>
        <v/>
      </c>
      <c r="B429" s="5" t="str">
        <f>IF(ISBLANK(Лист1!B429),"",Лист1!B429)</f>
        <v/>
      </c>
      <c r="C429" s="5" t="str">
        <f>IF(ISBLANK(Лист1!C429),"",Лист1!C429)</f>
        <v/>
      </c>
      <c r="D429" s="5" t="str">
        <f>IF(ISBLANK(Лист1!D429),"",Лист1!D429)</f>
        <v/>
      </c>
      <c r="E429" s="5" t="str">
        <f>IF(ISBLANK(Лист1!E429),"",Лист1!E429)</f>
        <v/>
      </c>
      <c r="F429" s="5" t="str">
        <f>IF(ISBLANK(Лист1!F429),"",Лист1!F429)</f>
        <v/>
      </c>
      <c r="G429" s="5" t="str">
        <f>IF(ISBLANK(Лист1!G429),"",Лист1!G429)</f>
        <v/>
      </c>
      <c r="H429" s="5" t="str">
        <f>IF(ISBLANK(Лист1!H429),"",Лист1!H429)</f>
        <v/>
      </c>
      <c r="I429" s="5" t="str">
        <f>IF(ISBLANK(Лист1!I429),"",Лист1!I429)</f>
        <v/>
      </c>
      <c r="J429" s="5" t="str">
        <f>IF(ISBLANK(Лист1!J429),"",Лист1!J429)</f>
        <v/>
      </c>
      <c r="K429" s="5" t="str">
        <f>IF(ISBLANK(Лист1!K429),"",Лист1!K429)</f>
        <v/>
      </c>
      <c r="L429" s="5" t="str">
        <f>IF(ISBLANK(Лист1!L429),"",Лист1!L429)</f>
        <v/>
      </c>
      <c r="M429" s="5" t="str">
        <f>IF(ISBLANK(Лист1!M429),"",Лист1!M429)</f>
        <v/>
      </c>
      <c r="N429" s="5" t="str">
        <f>IF(ISBLANK(Лист1!N429),"",Лист1!N429)</f>
        <v/>
      </c>
      <c r="O429" s="5" t="str">
        <f>IF(ISBLANK(Лист1!O429),"",Лист1!O429)</f>
        <v/>
      </c>
      <c r="P429" s="5" t="str">
        <f>IF(ISBLANK(Лист1!P429),"",Лист1!P429)</f>
        <v/>
      </c>
      <c r="Q429" s="5" t="str">
        <f>IF(ISBLANK(Лист1!Q429),"",Лист1!Q429)</f>
        <v/>
      </c>
      <c r="R429" s="5" t="str">
        <f>IF(ISBLANK(Лист1!R429),"",Лист1!R429)</f>
        <v/>
      </c>
      <c r="S429" s="5" t="str">
        <f>IF(ISBLANK(Лист1!S429),"",Лист1!S429)</f>
        <v/>
      </c>
      <c r="T429" s="5" t="str">
        <f>IF(ISBLANK(Лист1!T429),"",Лист1!T429)</f>
        <v/>
      </c>
      <c r="U429" s="5" t="str">
        <f>IF(ISBLANK(Лист1!U429),"",Лист1!U429)</f>
        <v/>
      </c>
      <c r="V429" s="5" t="str">
        <f>IF(ISBLANK(Лист1!V429),"",Лист1!V429)</f>
        <v/>
      </c>
      <c r="W429" s="5" t="str">
        <f>IF(ISBLANK(Лист1!W429),"",Лист1!W429)</f>
        <v/>
      </c>
      <c r="X429" s="5" t="str">
        <f>IF(ISBLANK(Лист1!X429),"",Лист1!X429)</f>
        <v/>
      </c>
      <c r="Y429" s="5" t="str">
        <f>IF(ISERROR(VLOOKUP($X429,Лист2!$A$2:$G$498,1,FALSE)),"",VLOOKUP($X429,Лист2!$A$2:$G$498,1,FALSE))</f>
        <v/>
      </c>
      <c r="Z429" s="5" t="str">
        <f>IF(ISERROR(VLOOKUP($X429,Лист2!$A$2:$G$498,5,FALSE)),"",VLOOKUP($X429,Лист2!$A$2:$G$498,5,FALSE))</f>
        <v/>
      </c>
      <c r="AA429" s="5" t="str">
        <f>IF(ISERROR(VLOOKUP($X429,Лист2!$A$2:$G$498,6,FALSE)),"",VLOOKUP($X429,Лист2!$A$2:$G$498,6,FALSE))</f>
        <v/>
      </c>
      <c r="AB429" s="5" t="str">
        <f>IF(ISERROR(VLOOKUP($X429,Лист2!$A$2:$G$498,7,FALSE)),"",VLOOKUP($X429,Лист2!$A$2:$G$498,7,FALSE))</f>
        <v/>
      </c>
    </row>
    <row r="430" spans="1:28" x14ac:dyDescent="0.25">
      <c r="A430" s="5" t="str">
        <f>IF(ISBLANK(Лист1!A430),"",Лист1!A430)</f>
        <v/>
      </c>
      <c r="B430" s="5" t="str">
        <f>IF(ISBLANK(Лист1!B430),"",Лист1!B430)</f>
        <v/>
      </c>
      <c r="C430" s="5" t="str">
        <f>IF(ISBLANK(Лист1!C430),"",Лист1!C430)</f>
        <v/>
      </c>
      <c r="D430" s="5" t="str">
        <f>IF(ISBLANK(Лист1!D430),"",Лист1!D430)</f>
        <v/>
      </c>
      <c r="E430" s="5" t="str">
        <f>IF(ISBLANK(Лист1!E430),"",Лист1!E430)</f>
        <v/>
      </c>
      <c r="F430" s="5" t="str">
        <f>IF(ISBLANK(Лист1!F430),"",Лист1!F430)</f>
        <v/>
      </c>
      <c r="G430" s="5" t="str">
        <f>IF(ISBLANK(Лист1!G430),"",Лист1!G430)</f>
        <v/>
      </c>
      <c r="H430" s="5" t="str">
        <f>IF(ISBLANK(Лист1!H430),"",Лист1!H430)</f>
        <v/>
      </c>
      <c r="I430" s="5" t="str">
        <f>IF(ISBLANK(Лист1!I430),"",Лист1!I430)</f>
        <v/>
      </c>
      <c r="J430" s="5" t="str">
        <f>IF(ISBLANK(Лист1!J430),"",Лист1!J430)</f>
        <v/>
      </c>
      <c r="K430" s="5" t="str">
        <f>IF(ISBLANK(Лист1!K430),"",Лист1!K430)</f>
        <v/>
      </c>
      <c r="L430" s="5" t="str">
        <f>IF(ISBLANK(Лист1!L430),"",Лист1!L430)</f>
        <v/>
      </c>
      <c r="M430" s="5" t="str">
        <f>IF(ISBLANK(Лист1!M430),"",Лист1!M430)</f>
        <v/>
      </c>
      <c r="N430" s="5" t="str">
        <f>IF(ISBLANK(Лист1!N430),"",Лист1!N430)</f>
        <v/>
      </c>
      <c r="O430" s="5" t="str">
        <f>IF(ISBLANK(Лист1!O430),"",Лист1!O430)</f>
        <v/>
      </c>
      <c r="P430" s="5" t="str">
        <f>IF(ISBLANK(Лист1!P430),"",Лист1!P430)</f>
        <v/>
      </c>
      <c r="Q430" s="5" t="str">
        <f>IF(ISBLANK(Лист1!Q430),"",Лист1!Q430)</f>
        <v/>
      </c>
      <c r="R430" s="5" t="str">
        <f>IF(ISBLANK(Лист1!R430),"",Лист1!R430)</f>
        <v/>
      </c>
      <c r="S430" s="5" t="str">
        <f>IF(ISBLANK(Лист1!S430),"",Лист1!S430)</f>
        <v/>
      </c>
      <c r="T430" s="5" t="str">
        <f>IF(ISBLANK(Лист1!T430),"",Лист1!T430)</f>
        <v/>
      </c>
      <c r="U430" s="5" t="str">
        <f>IF(ISBLANK(Лист1!U430),"",Лист1!U430)</f>
        <v/>
      </c>
      <c r="V430" s="5" t="str">
        <f>IF(ISBLANK(Лист1!V430),"",Лист1!V430)</f>
        <v/>
      </c>
      <c r="W430" s="5" t="str">
        <f>IF(ISBLANK(Лист1!W430),"",Лист1!W430)</f>
        <v/>
      </c>
      <c r="X430" s="5" t="str">
        <f>IF(ISBLANK(Лист1!X430),"",Лист1!X430)</f>
        <v/>
      </c>
      <c r="Y430" s="5" t="str">
        <f>IF(ISERROR(VLOOKUP($X430,Лист2!$A$2:$G$498,1,FALSE)),"",VLOOKUP($X430,Лист2!$A$2:$G$498,1,FALSE))</f>
        <v/>
      </c>
      <c r="Z430" s="5" t="str">
        <f>IF(ISERROR(VLOOKUP($X430,Лист2!$A$2:$G$498,5,FALSE)),"",VLOOKUP($X430,Лист2!$A$2:$G$498,5,FALSE))</f>
        <v/>
      </c>
      <c r="AA430" s="5" t="str">
        <f>IF(ISERROR(VLOOKUP($X430,Лист2!$A$2:$G$498,6,FALSE)),"",VLOOKUP($X430,Лист2!$A$2:$G$498,6,FALSE))</f>
        <v/>
      </c>
      <c r="AB430" s="5" t="str">
        <f>IF(ISERROR(VLOOKUP($X430,Лист2!$A$2:$G$498,7,FALSE)),"",VLOOKUP($X430,Лист2!$A$2:$G$498,7,FALSE))</f>
        <v/>
      </c>
    </row>
    <row r="431" spans="1:28" x14ac:dyDescent="0.25">
      <c r="A431" s="5" t="str">
        <f>IF(ISBLANK(Лист1!A431),"",Лист1!A431)</f>
        <v/>
      </c>
      <c r="B431" s="5" t="str">
        <f>IF(ISBLANK(Лист1!B431),"",Лист1!B431)</f>
        <v/>
      </c>
      <c r="C431" s="5" t="str">
        <f>IF(ISBLANK(Лист1!C431),"",Лист1!C431)</f>
        <v/>
      </c>
      <c r="D431" s="5" t="str">
        <f>IF(ISBLANK(Лист1!D431),"",Лист1!D431)</f>
        <v/>
      </c>
      <c r="E431" s="5" t="str">
        <f>IF(ISBLANK(Лист1!E431),"",Лист1!E431)</f>
        <v/>
      </c>
      <c r="F431" s="5" t="str">
        <f>IF(ISBLANK(Лист1!F431),"",Лист1!F431)</f>
        <v/>
      </c>
      <c r="G431" s="5" t="str">
        <f>IF(ISBLANK(Лист1!G431),"",Лист1!G431)</f>
        <v/>
      </c>
      <c r="H431" s="5" t="str">
        <f>IF(ISBLANK(Лист1!H431),"",Лист1!H431)</f>
        <v/>
      </c>
      <c r="I431" s="5" t="str">
        <f>IF(ISBLANK(Лист1!I431),"",Лист1!I431)</f>
        <v/>
      </c>
      <c r="J431" s="5" t="str">
        <f>IF(ISBLANK(Лист1!J431),"",Лист1!J431)</f>
        <v/>
      </c>
      <c r="K431" s="5" t="str">
        <f>IF(ISBLANK(Лист1!K431),"",Лист1!K431)</f>
        <v/>
      </c>
      <c r="L431" s="5" t="str">
        <f>IF(ISBLANK(Лист1!L431),"",Лист1!L431)</f>
        <v/>
      </c>
      <c r="M431" s="5" t="str">
        <f>IF(ISBLANK(Лист1!M431),"",Лист1!M431)</f>
        <v/>
      </c>
      <c r="N431" s="5" t="str">
        <f>IF(ISBLANK(Лист1!N431),"",Лист1!N431)</f>
        <v/>
      </c>
      <c r="O431" s="5" t="str">
        <f>IF(ISBLANK(Лист1!O431),"",Лист1!O431)</f>
        <v/>
      </c>
      <c r="P431" s="5" t="str">
        <f>IF(ISBLANK(Лист1!P431),"",Лист1!P431)</f>
        <v/>
      </c>
      <c r="Q431" s="5" t="str">
        <f>IF(ISBLANK(Лист1!Q431),"",Лист1!Q431)</f>
        <v/>
      </c>
      <c r="R431" s="5" t="str">
        <f>IF(ISBLANK(Лист1!R431),"",Лист1!R431)</f>
        <v/>
      </c>
      <c r="S431" s="5" t="str">
        <f>IF(ISBLANK(Лист1!S431),"",Лист1!S431)</f>
        <v/>
      </c>
      <c r="T431" s="5" t="str">
        <f>IF(ISBLANK(Лист1!T431),"",Лист1!T431)</f>
        <v/>
      </c>
      <c r="U431" s="5" t="str">
        <f>IF(ISBLANK(Лист1!U431),"",Лист1!U431)</f>
        <v/>
      </c>
      <c r="V431" s="5" t="str">
        <f>IF(ISBLANK(Лист1!V431),"",Лист1!V431)</f>
        <v/>
      </c>
      <c r="W431" s="5" t="str">
        <f>IF(ISBLANK(Лист1!W431),"",Лист1!W431)</f>
        <v/>
      </c>
      <c r="X431" s="5" t="str">
        <f>IF(ISBLANK(Лист1!X431),"",Лист1!X431)</f>
        <v/>
      </c>
      <c r="Y431" s="5" t="str">
        <f>IF(ISERROR(VLOOKUP($X431,Лист2!$A$2:$G$498,1,FALSE)),"",VLOOKUP($X431,Лист2!$A$2:$G$498,1,FALSE))</f>
        <v/>
      </c>
      <c r="Z431" s="5" t="str">
        <f>IF(ISERROR(VLOOKUP($X431,Лист2!$A$2:$G$498,5,FALSE)),"",VLOOKUP($X431,Лист2!$A$2:$G$498,5,FALSE))</f>
        <v/>
      </c>
      <c r="AA431" s="5" t="str">
        <f>IF(ISERROR(VLOOKUP($X431,Лист2!$A$2:$G$498,6,FALSE)),"",VLOOKUP($X431,Лист2!$A$2:$G$498,6,FALSE))</f>
        <v/>
      </c>
      <c r="AB431" s="5" t="str">
        <f>IF(ISERROR(VLOOKUP($X431,Лист2!$A$2:$G$498,7,FALSE)),"",VLOOKUP($X431,Лист2!$A$2:$G$498,7,FALSE))</f>
        <v/>
      </c>
    </row>
    <row r="432" spans="1:28" x14ac:dyDescent="0.25">
      <c r="A432" s="5" t="str">
        <f>IF(ISBLANK(Лист1!A432),"",Лист1!A432)</f>
        <v/>
      </c>
      <c r="B432" s="5" t="str">
        <f>IF(ISBLANK(Лист1!B432),"",Лист1!B432)</f>
        <v/>
      </c>
      <c r="C432" s="5" t="str">
        <f>IF(ISBLANK(Лист1!C432),"",Лист1!C432)</f>
        <v/>
      </c>
      <c r="D432" s="5" t="str">
        <f>IF(ISBLANK(Лист1!D432),"",Лист1!D432)</f>
        <v/>
      </c>
      <c r="E432" s="5" t="str">
        <f>IF(ISBLANK(Лист1!E432),"",Лист1!E432)</f>
        <v/>
      </c>
      <c r="F432" s="5" t="str">
        <f>IF(ISBLANK(Лист1!F432),"",Лист1!F432)</f>
        <v/>
      </c>
      <c r="G432" s="5" t="str">
        <f>IF(ISBLANK(Лист1!G432),"",Лист1!G432)</f>
        <v/>
      </c>
      <c r="H432" s="5" t="str">
        <f>IF(ISBLANK(Лист1!H432),"",Лист1!H432)</f>
        <v/>
      </c>
      <c r="I432" s="5" t="str">
        <f>IF(ISBLANK(Лист1!I432),"",Лист1!I432)</f>
        <v/>
      </c>
      <c r="J432" s="5" t="str">
        <f>IF(ISBLANK(Лист1!J432),"",Лист1!J432)</f>
        <v/>
      </c>
      <c r="K432" s="5" t="str">
        <f>IF(ISBLANK(Лист1!K432),"",Лист1!K432)</f>
        <v/>
      </c>
      <c r="L432" s="5" t="str">
        <f>IF(ISBLANK(Лист1!L432),"",Лист1!L432)</f>
        <v/>
      </c>
      <c r="M432" s="5" t="str">
        <f>IF(ISBLANK(Лист1!M432),"",Лист1!M432)</f>
        <v/>
      </c>
      <c r="N432" s="5" t="str">
        <f>IF(ISBLANK(Лист1!N432),"",Лист1!N432)</f>
        <v/>
      </c>
      <c r="O432" s="5" t="str">
        <f>IF(ISBLANK(Лист1!O432),"",Лист1!O432)</f>
        <v/>
      </c>
      <c r="P432" s="5" t="str">
        <f>IF(ISBLANK(Лист1!P432),"",Лист1!P432)</f>
        <v/>
      </c>
      <c r="Q432" s="5" t="str">
        <f>IF(ISBLANK(Лист1!Q432),"",Лист1!Q432)</f>
        <v/>
      </c>
      <c r="R432" s="5" t="str">
        <f>IF(ISBLANK(Лист1!R432),"",Лист1!R432)</f>
        <v/>
      </c>
      <c r="S432" s="5" t="str">
        <f>IF(ISBLANK(Лист1!S432),"",Лист1!S432)</f>
        <v/>
      </c>
      <c r="T432" s="5" t="str">
        <f>IF(ISBLANK(Лист1!T432),"",Лист1!T432)</f>
        <v/>
      </c>
      <c r="U432" s="5" t="str">
        <f>IF(ISBLANK(Лист1!U432),"",Лист1!U432)</f>
        <v/>
      </c>
      <c r="V432" s="5" t="str">
        <f>IF(ISBLANK(Лист1!V432),"",Лист1!V432)</f>
        <v/>
      </c>
      <c r="W432" s="5" t="str">
        <f>IF(ISBLANK(Лист1!W432),"",Лист1!W432)</f>
        <v/>
      </c>
      <c r="X432" s="5" t="str">
        <f>IF(ISBLANK(Лист1!X432),"",Лист1!X432)</f>
        <v/>
      </c>
      <c r="Y432" s="5" t="str">
        <f>IF(ISERROR(VLOOKUP($X432,Лист2!$A$2:$G$498,1,FALSE)),"",VLOOKUP($X432,Лист2!$A$2:$G$498,1,FALSE))</f>
        <v/>
      </c>
      <c r="Z432" s="5" t="str">
        <f>IF(ISERROR(VLOOKUP($X432,Лист2!$A$2:$G$498,5,FALSE)),"",VLOOKUP($X432,Лист2!$A$2:$G$498,5,FALSE))</f>
        <v/>
      </c>
      <c r="AA432" s="5" t="str">
        <f>IF(ISERROR(VLOOKUP($X432,Лист2!$A$2:$G$498,6,FALSE)),"",VLOOKUP($X432,Лист2!$A$2:$G$498,6,FALSE))</f>
        <v/>
      </c>
      <c r="AB432" s="5" t="str">
        <f>IF(ISERROR(VLOOKUP($X432,Лист2!$A$2:$G$498,7,FALSE)),"",VLOOKUP($X432,Лист2!$A$2:$G$498,7,FALSE))</f>
        <v/>
      </c>
    </row>
    <row r="433" spans="1:28" x14ac:dyDescent="0.25">
      <c r="A433" s="5" t="str">
        <f>IF(ISBLANK(Лист1!A433),"",Лист1!A433)</f>
        <v/>
      </c>
      <c r="B433" s="5" t="str">
        <f>IF(ISBLANK(Лист1!B433),"",Лист1!B433)</f>
        <v/>
      </c>
      <c r="C433" s="5" t="str">
        <f>IF(ISBLANK(Лист1!C433),"",Лист1!C433)</f>
        <v/>
      </c>
      <c r="D433" s="5" t="str">
        <f>IF(ISBLANK(Лист1!D433),"",Лист1!D433)</f>
        <v/>
      </c>
      <c r="E433" s="5" t="str">
        <f>IF(ISBLANK(Лист1!E433),"",Лист1!E433)</f>
        <v/>
      </c>
      <c r="F433" s="5" t="str">
        <f>IF(ISBLANK(Лист1!F433),"",Лист1!F433)</f>
        <v/>
      </c>
      <c r="G433" s="5" t="str">
        <f>IF(ISBLANK(Лист1!G433),"",Лист1!G433)</f>
        <v/>
      </c>
      <c r="H433" s="5" t="str">
        <f>IF(ISBLANK(Лист1!H433),"",Лист1!H433)</f>
        <v/>
      </c>
      <c r="I433" s="5" t="str">
        <f>IF(ISBLANK(Лист1!I433),"",Лист1!I433)</f>
        <v/>
      </c>
      <c r="J433" s="5" t="str">
        <f>IF(ISBLANK(Лист1!J433),"",Лист1!J433)</f>
        <v/>
      </c>
      <c r="K433" s="5" t="str">
        <f>IF(ISBLANK(Лист1!K433),"",Лист1!K433)</f>
        <v/>
      </c>
      <c r="L433" s="5" t="str">
        <f>IF(ISBLANK(Лист1!L433),"",Лист1!L433)</f>
        <v/>
      </c>
      <c r="M433" s="5" t="str">
        <f>IF(ISBLANK(Лист1!M433),"",Лист1!M433)</f>
        <v/>
      </c>
      <c r="N433" s="5" t="str">
        <f>IF(ISBLANK(Лист1!N433),"",Лист1!N433)</f>
        <v/>
      </c>
      <c r="O433" s="5" t="str">
        <f>IF(ISBLANK(Лист1!O433),"",Лист1!O433)</f>
        <v/>
      </c>
      <c r="P433" s="5" t="str">
        <f>IF(ISBLANK(Лист1!P433),"",Лист1!P433)</f>
        <v/>
      </c>
      <c r="Q433" s="5" t="str">
        <f>IF(ISBLANK(Лист1!Q433),"",Лист1!Q433)</f>
        <v/>
      </c>
      <c r="R433" s="5" t="str">
        <f>IF(ISBLANK(Лист1!R433),"",Лист1!R433)</f>
        <v/>
      </c>
      <c r="S433" s="5" t="str">
        <f>IF(ISBLANK(Лист1!S433),"",Лист1!S433)</f>
        <v/>
      </c>
      <c r="T433" s="5" t="str">
        <f>IF(ISBLANK(Лист1!T433),"",Лист1!T433)</f>
        <v/>
      </c>
      <c r="U433" s="5" t="str">
        <f>IF(ISBLANK(Лист1!U433),"",Лист1!U433)</f>
        <v/>
      </c>
      <c r="V433" s="5" t="str">
        <f>IF(ISBLANK(Лист1!V433),"",Лист1!V433)</f>
        <v/>
      </c>
      <c r="W433" s="5" t="str">
        <f>IF(ISBLANK(Лист1!W433),"",Лист1!W433)</f>
        <v/>
      </c>
      <c r="X433" s="5" t="str">
        <f>IF(ISBLANK(Лист1!X433),"",Лист1!X433)</f>
        <v/>
      </c>
      <c r="Y433" s="5" t="str">
        <f>IF(ISERROR(VLOOKUP($X433,Лист2!$A$2:$G$498,1,FALSE)),"",VLOOKUP($X433,Лист2!$A$2:$G$498,1,FALSE))</f>
        <v/>
      </c>
      <c r="Z433" s="5" t="str">
        <f>IF(ISERROR(VLOOKUP($X433,Лист2!$A$2:$G$498,5,FALSE)),"",VLOOKUP($X433,Лист2!$A$2:$G$498,5,FALSE))</f>
        <v/>
      </c>
      <c r="AA433" s="5" t="str">
        <f>IF(ISERROR(VLOOKUP($X433,Лист2!$A$2:$G$498,6,FALSE)),"",VLOOKUP($X433,Лист2!$A$2:$G$498,6,FALSE))</f>
        <v/>
      </c>
      <c r="AB433" s="5" t="str">
        <f>IF(ISERROR(VLOOKUP($X433,Лист2!$A$2:$G$498,7,FALSE)),"",VLOOKUP($X433,Лист2!$A$2:$G$498,7,FALSE))</f>
        <v/>
      </c>
    </row>
    <row r="434" spans="1:28" x14ac:dyDescent="0.25">
      <c r="A434" s="5" t="str">
        <f>IF(ISBLANK(Лист1!A434),"",Лист1!A434)</f>
        <v/>
      </c>
      <c r="B434" s="5" t="str">
        <f>IF(ISBLANK(Лист1!B434),"",Лист1!B434)</f>
        <v/>
      </c>
      <c r="C434" s="5" t="str">
        <f>IF(ISBLANK(Лист1!C434),"",Лист1!C434)</f>
        <v/>
      </c>
      <c r="D434" s="5" t="str">
        <f>IF(ISBLANK(Лист1!D434),"",Лист1!D434)</f>
        <v/>
      </c>
      <c r="E434" s="5" t="str">
        <f>IF(ISBLANK(Лист1!E434),"",Лист1!E434)</f>
        <v/>
      </c>
      <c r="F434" s="5" t="str">
        <f>IF(ISBLANK(Лист1!F434),"",Лист1!F434)</f>
        <v/>
      </c>
      <c r="G434" s="5" t="str">
        <f>IF(ISBLANK(Лист1!G434),"",Лист1!G434)</f>
        <v/>
      </c>
      <c r="H434" s="5" t="str">
        <f>IF(ISBLANK(Лист1!H434),"",Лист1!H434)</f>
        <v/>
      </c>
      <c r="I434" s="5" t="str">
        <f>IF(ISBLANK(Лист1!I434),"",Лист1!I434)</f>
        <v/>
      </c>
      <c r="J434" s="5" t="str">
        <f>IF(ISBLANK(Лист1!J434),"",Лист1!J434)</f>
        <v/>
      </c>
      <c r="K434" s="5" t="str">
        <f>IF(ISBLANK(Лист1!K434),"",Лист1!K434)</f>
        <v/>
      </c>
      <c r="L434" s="5" t="str">
        <f>IF(ISBLANK(Лист1!L434),"",Лист1!L434)</f>
        <v/>
      </c>
      <c r="M434" s="5" t="str">
        <f>IF(ISBLANK(Лист1!M434),"",Лист1!M434)</f>
        <v/>
      </c>
      <c r="N434" s="5" t="str">
        <f>IF(ISBLANK(Лист1!N434),"",Лист1!N434)</f>
        <v/>
      </c>
      <c r="O434" s="5" t="str">
        <f>IF(ISBLANK(Лист1!O434),"",Лист1!O434)</f>
        <v/>
      </c>
      <c r="P434" s="5" t="str">
        <f>IF(ISBLANK(Лист1!P434),"",Лист1!P434)</f>
        <v/>
      </c>
      <c r="Q434" s="5" t="str">
        <f>IF(ISBLANK(Лист1!Q434),"",Лист1!Q434)</f>
        <v/>
      </c>
      <c r="R434" s="5" t="str">
        <f>IF(ISBLANK(Лист1!R434),"",Лист1!R434)</f>
        <v/>
      </c>
      <c r="S434" s="5" t="str">
        <f>IF(ISBLANK(Лист1!S434),"",Лист1!S434)</f>
        <v/>
      </c>
      <c r="T434" s="5" t="str">
        <f>IF(ISBLANK(Лист1!T434),"",Лист1!T434)</f>
        <v/>
      </c>
      <c r="U434" s="5" t="str">
        <f>IF(ISBLANK(Лист1!U434),"",Лист1!U434)</f>
        <v/>
      </c>
      <c r="V434" s="5" t="str">
        <f>IF(ISBLANK(Лист1!V434),"",Лист1!V434)</f>
        <v/>
      </c>
      <c r="W434" s="5" t="str">
        <f>IF(ISBLANK(Лист1!W434),"",Лист1!W434)</f>
        <v/>
      </c>
      <c r="X434" s="5" t="str">
        <f>IF(ISBLANK(Лист1!X434),"",Лист1!X434)</f>
        <v/>
      </c>
      <c r="Y434" s="5" t="str">
        <f>IF(ISERROR(VLOOKUP($X434,Лист2!$A$2:$G$498,1,FALSE)),"",VLOOKUP($X434,Лист2!$A$2:$G$498,1,FALSE))</f>
        <v/>
      </c>
      <c r="Z434" s="5" t="str">
        <f>IF(ISERROR(VLOOKUP($X434,Лист2!$A$2:$G$498,5,FALSE)),"",VLOOKUP($X434,Лист2!$A$2:$G$498,5,FALSE))</f>
        <v/>
      </c>
      <c r="AA434" s="5" t="str">
        <f>IF(ISERROR(VLOOKUP($X434,Лист2!$A$2:$G$498,6,FALSE)),"",VLOOKUP($X434,Лист2!$A$2:$G$498,6,FALSE))</f>
        <v/>
      </c>
      <c r="AB434" s="5" t="str">
        <f>IF(ISERROR(VLOOKUP($X434,Лист2!$A$2:$G$498,7,FALSE)),"",VLOOKUP($X434,Лист2!$A$2:$G$498,7,FALSE))</f>
        <v/>
      </c>
    </row>
    <row r="435" spans="1:28" x14ac:dyDescent="0.25">
      <c r="A435" s="5" t="str">
        <f>IF(ISBLANK(Лист1!A435),"",Лист1!A435)</f>
        <v/>
      </c>
      <c r="B435" s="5" t="str">
        <f>IF(ISBLANK(Лист1!B435),"",Лист1!B435)</f>
        <v/>
      </c>
      <c r="C435" s="5" t="str">
        <f>IF(ISBLANK(Лист1!C435),"",Лист1!C435)</f>
        <v/>
      </c>
      <c r="D435" s="5" t="str">
        <f>IF(ISBLANK(Лист1!D435),"",Лист1!D435)</f>
        <v/>
      </c>
      <c r="E435" s="5" t="str">
        <f>IF(ISBLANK(Лист1!E435),"",Лист1!E435)</f>
        <v/>
      </c>
      <c r="F435" s="5" t="str">
        <f>IF(ISBLANK(Лист1!F435),"",Лист1!F435)</f>
        <v/>
      </c>
      <c r="G435" s="5" t="str">
        <f>IF(ISBLANK(Лист1!G435),"",Лист1!G435)</f>
        <v/>
      </c>
      <c r="H435" s="5" t="str">
        <f>IF(ISBLANK(Лист1!H435),"",Лист1!H435)</f>
        <v/>
      </c>
      <c r="I435" s="5" t="str">
        <f>IF(ISBLANK(Лист1!I435),"",Лист1!I435)</f>
        <v/>
      </c>
      <c r="J435" s="5" t="str">
        <f>IF(ISBLANK(Лист1!J435),"",Лист1!J435)</f>
        <v/>
      </c>
      <c r="K435" s="5" t="str">
        <f>IF(ISBLANK(Лист1!K435),"",Лист1!K435)</f>
        <v/>
      </c>
      <c r="L435" s="5" t="str">
        <f>IF(ISBLANK(Лист1!L435),"",Лист1!L435)</f>
        <v/>
      </c>
      <c r="M435" s="5" t="str">
        <f>IF(ISBLANK(Лист1!M435),"",Лист1!M435)</f>
        <v/>
      </c>
      <c r="N435" s="5" t="str">
        <f>IF(ISBLANK(Лист1!N435),"",Лист1!N435)</f>
        <v/>
      </c>
      <c r="O435" s="5" t="str">
        <f>IF(ISBLANK(Лист1!O435),"",Лист1!O435)</f>
        <v/>
      </c>
      <c r="P435" s="5" t="str">
        <f>IF(ISBLANK(Лист1!P435),"",Лист1!P435)</f>
        <v/>
      </c>
      <c r="Q435" s="5" t="str">
        <f>IF(ISBLANK(Лист1!Q435),"",Лист1!Q435)</f>
        <v/>
      </c>
      <c r="R435" s="5" t="str">
        <f>IF(ISBLANK(Лист1!R435),"",Лист1!R435)</f>
        <v/>
      </c>
      <c r="S435" s="5" t="str">
        <f>IF(ISBLANK(Лист1!S435),"",Лист1!S435)</f>
        <v/>
      </c>
      <c r="T435" s="5" t="str">
        <f>IF(ISBLANK(Лист1!T435),"",Лист1!T435)</f>
        <v/>
      </c>
      <c r="U435" s="5" t="str">
        <f>IF(ISBLANK(Лист1!U435),"",Лист1!U435)</f>
        <v/>
      </c>
      <c r="V435" s="5" t="str">
        <f>IF(ISBLANK(Лист1!V435),"",Лист1!V435)</f>
        <v/>
      </c>
      <c r="W435" s="5" t="str">
        <f>IF(ISBLANK(Лист1!W435),"",Лист1!W435)</f>
        <v/>
      </c>
      <c r="X435" s="5" t="str">
        <f>IF(ISBLANK(Лист1!X435),"",Лист1!X435)</f>
        <v/>
      </c>
      <c r="Y435" s="5" t="str">
        <f>IF(ISERROR(VLOOKUP($X435,Лист2!$A$2:$G$498,1,FALSE)),"",VLOOKUP($X435,Лист2!$A$2:$G$498,1,FALSE))</f>
        <v/>
      </c>
      <c r="Z435" s="5" t="str">
        <f>IF(ISERROR(VLOOKUP($X435,Лист2!$A$2:$G$498,5,FALSE)),"",VLOOKUP($X435,Лист2!$A$2:$G$498,5,FALSE))</f>
        <v/>
      </c>
      <c r="AA435" s="5" t="str">
        <f>IF(ISERROR(VLOOKUP($X435,Лист2!$A$2:$G$498,6,FALSE)),"",VLOOKUP($X435,Лист2!$A$2:$G$498,6,FALSE))</f>
        <v/>
      </c>
      <c r="AB435" s="5" t="str">
        <f>IF(ISERROR(VLOOKUP($X435,Лист2!$A$2:$G$498,7,FALSE)),"",VLOOKUP($X435,Лист2!$A$2:$G$498,7,FALSE))</f>
        <v/>
      </c>
    </row>
    <row r="436" spans="1:28" x14ac:dyDescent="0.25">
      <c r="A436" s="5" t="str">
        <f>IF(ISBLANK(Лист1!A436),"",Лист1!A436)</f>
        <v/>
      </c>
      <c r="B436" s="5" t="str">
        <f>IF(ISBLANK(Лист1!B436),"",Лист1!B436)</f>
        <v/>
      </c>
      <c r="C436" s="5" t="str">
        <f>IF(ISBLANK(Лист1!C436),"",Лист1!C436)</f>
        <v/>
      </c>
      <c r="D436" s="5" t="str">
        <f>IF(ISBLANK(Лист1!D436),"",Лист1!D436)</f>
        <v/>
      </c>
      <c r="E436" s="5" t="str">
        <f>IF(ISBLANK(Лист1!E436),"",Лист1!E436)</f>
        <v/>
      </c>
      <c r="F436" s="5" t="str">
        <f>IF(ISBLANK(Лист1!F436),"",Лист1!F436)</f>
        <v/>
      </c>
      <c r="G436" s="5" t="str">
        <f>IF(ISBLANK(Лист1!G436),"",Лист1!G436)</f>
        <v/>
      </c>
      <c r="H436" s="5" t="str">
        <f>IF(ISBLANK(Лист1!H436),"",Лист1!H436)</f>
        <v/>
      </c>
      <c r="I436" s="5" t="str">
        <f>IF(ISBLANK(Лист1!I436),"",Лист1!I436)</f>
        <v/>
      </c>
      <c r="J436" s="5" t="str">
        <f>IF(ISBLANK(Лист1!J436),"",Лист1!J436)</f>
        <v/>
      </c>
      <c r="K436" s="5" t="str">
        <f>IF(ISBLANK(Лист1!K436),"",Лист1!K436)</f>
        <v/>
      </c>
      <c r="L436" s="5" t="str">
        <f>IF(ISBLANK(Лист1!L436),"",Лист1!L436)</f>
        <v/>
      </c>
      <c r="M436" s="5" t="str">
        <f>IF(ISBLANK(Лист1!M436),"",Лист1!M436)</f>
        <v/>
      </c>
      <c r="N436" s="5" t="str">
        <f>IF(ISBLANK(Лист1!N436),"",Лист1!N436)</f>
        <v/>
      </c>
      <c r="O436" s="5" t="str">
        <f>IF(ISBLANK(Лист1!O436),"",Лист1!O436)</f>
        <v/>
      </c>
      <c r="P436" s="5" t="str">
        <f>IF(ISBLANK(Лист1!P436),"",Лист1!P436)</f>
        <v/>
      </c>
      <c r="Q436" s="5" t="str">
        <f>IF(ISBLANK(Лист1!Q436),"",Лист1!Q436)</f>
        <v/>
      </c>
      <c r="R436" s="5" t="str">
        <f>IF(ISBLANK(Лист1!R436),"",Лист1!R436)</f>
        <v/>
      </c>
      <c r="S436" s="5" t="str">
        <f>IF(ISBLANK(Лист1!S436),"",Лист1!S436)</f>
        <v/>
      </c>
      <c r="T436" s="5" t="str">
        <f>IF(ISBLANK(Лист1!T436),"",Лист1!T436)</f>
        <v/>
      </c>
      <c r="U436" s="5" t="str">
        <f>IF(ISBLANK(Лист1!U436),"",Лист1!U436)</f>
        <v/>
      </c>
      <c r="V436" s="5" t="str">
        <f>IF(ISBLANK(Лист1!V436),"",Лист1!V436)</f>
        <v/>
      </c>
      <c r="W436" s="5" t="str">
        <f>IF(ISBLANK(Лист1!W436),"",Лист1!W436)</f>
        <v/>
      </c>
      <c r="X436" s="5" t="str">
        <f>IF(ISBLANK(Лист1!X436),"",Лист1!X436)</f>
        <v/>
      </c>
      <c r="Y436" s="5" t="str">
        <f>IF(ISERROR(VLOOKUP($X436,Лист2!$A$2:$G$498,1,FALSE)),"",VLOOKUP($X436,Лист2!$A$2:$G$498,1,FALSE))</f>
        <v/>
      </c>
      <c r="Z436" s="5" t="str">
        <f>IF(ISERROR(VLOOKUP($X436,Лист2!$A$2:$G$498,5,FALSE)),"",VLOOKUP($X436,Лист2!$A$2:$G$498,5,FALSE))</f>
        <v/>
      </c>
      <c r="AA436" s="5" t="str">
        <f>IF(ISERROR(VLOOKUP($X436,Лист2!$A$2:$G$498,6,FALSE)),"",VLOOKUP($X436,Лист2!$A$2:$G$498,6,FALSE))</f>
        <v/>
      </c>
      <c r="AB436" s="5" t="str">
        <f>IF(ISERROR(VLOOKUP($X436,Лист2!$A$2:$G$498,7,FALSE)),"",VLOOKUP($X436,Лист2!$A$2:$G$498,7,FALSE))</f>
        <v/>
      </c>
    </row>
    <row r="437" spans="1:28" x14ac:dyDescent="0.25">
      <c r="A437" s="5" t="str">
        <f>IF(ISBLANK(Лист1!A437),"",Лист1!A437)</f>
        <v/>
      </c>
      <c r="B437" s="5" t="str">
        <f>IF(ISBLANK(Лист1!B437),"",Лист1!B437)</f>
        <v/>
      </c>
      <c r="C437" s="5" t="str">
        <f>IF(ISBLANK(Лист1!C437),"",Лист1!C437)</f>
        <v/>
      </c>
      <c r="D437" s="5" t="str">
        <f>IF(ISBLANK(Лист1!D437),"",Лист1!D437)</f>
        <v/>
      </c>
      <c r="E437" s="5" t="str">
        <f>IF(ISBLANK(Лист1!E437),"",Лист1!E437)</f>
        <v/>
      </c>
      <c r="F437" s="5" t="str">
        <f>IF(ISBLANK(Лист1!F437),"",Лист1!F437)</f>
        <v/>
      </c>
      <c r="G437" s="5" t="str">
        <f>IF(ISBLANK(Лист1!G437),"",Лист1!G437)</f>
        <v/>
      </c>
      <c r="H437" s="5" t="str">
        <f>IF(ISBLANK(Лист1!H437),"",Лист1!H437)</f>
        <v/>
      </c>
      <c r="I437" s="5" t="str">
        <f>IF(ISBLANK(Лист1!I437),"",Лист1!I437)</f>
        <v/>
      </c>
      <c r="J437" s="5" t="str">
        <f>IF(ISBLANK(Лист1!J437),"",Лист1!J437)</f>
        <v/>
      </c>
      <c r="K437" s="5" t="str">
        <f>IF(ISBLANK(Лист1!K437),"",Лист1!K437)</f>
        <v/>
      </c>
      <c r="L437" s="5" t="str">
        <f>IF(ISBLANK(Лист1!L437),"",Лист1!L437)</f>
        <v/>
      </c>
      <c r="M437" s="5" t="str">
        <f>IF(ISBLANK(Лист1!M437),"",Лист1!M437)</f>
        <v/>
      </c>
      <c r="N437" s="5" t="str">
        <f>IF(ISBLANK(Лист1!N437),"",Лист1!N437)</f>
        <v/>
      </c>
      <c r="O437" s="5" t="str">
        <f>IF(ISBLANK(Лист1!O437),"",Лист1!O437)</f>
        <v/>
      </c>
      <c r="P437" s="5" t="str">
        <f>IF(ISBLANK(Лист1!P437),"",Лист1!P437)</f>
        <v/>
      </c>
      <c r="Q437" s="5" t="str">
        <f>IF(ISBLANK(Лист1!Q437),"",Лист1!Q437)</f>
        <v/>
      </c>
      <c r="R437" s="5" t="str">
        <f>IF(ISBLANK(Лист1!R437),"",Лист1!R437)</f>
        <v/>
      </c>
      <c r="S437" s="5" t="str">
        <f>IF(ISBLANK(Лист1!S437),"",Лист1!S437)</f>
        <v/>
      </c>
      <c r="T437" s="5" t="str">
        <f>IF(ISBLANK(Лист1!T437),"",Лист1!T437)</f>
        <v/>
      </c>
      <c r="U437" s="5" t="str">
        <f>IF(ISBLANK(Лист1!U437),"",Лист1!U437)</f>
        <v/>
      </c>
      <c r="V437" s="5" t="str">
        <f>IF(ISBLANK(Лист1!V437),"",Лист1!V437)</f>
        <v/>
      </c>
      <c r="W437" s="5" t="str">
        <f>IF(ISBLANK(Лист1!W437),"",Лист1!W437)</f>
        <v/>
      </c>
      <c r="X437" s="5" t="str">
        <f>IF(ISBLANK(Лист1!X437),"",Лист1!X437)</f>
        <v/>
      </c>
      <c r="Y437" s="5" t="str">
        <f>IF(ISERROR(VLOOKUP($X437,Лист2!$A$2:$G$498,1,FALSE)),"",VLOOKUP($X437,Лист2!$A$2:$G$498,1,FALSE))</f>
        <v/>
      </c>
      <c r="Z437" s="5" t="str">
        <f>IF(ISERROR(VLOOKUP($X437,Лист2!$A$2:$G$498,5,FALSE)),"",VLOOKUP($X437,Лист2!$A$2:$G$498,5,FALSE))</f>
        <v/>
      </c>
      <c r="AA437" s="5" t="str">
        <f>IF(ISERROR(VLOOKUP($X437,Лист2!$A$2:$G$498,6,FALSE)),"",VLOOKUP($X437,Лист2!$A$2:$G$498,6,FALSE))</f>
        <v/>
      </c>
      <c r="AB437" s="5" t="str">
        <f>IF(ISERROR(VLOOKUP($X437,Лист2!$A$2:$G$498,7,FALSE)),"",VLOOKUP($X437,Лист2!$A$2:$G$498,7,FALSE))</f>
        <v/>
      </c>
    </row>
    <row r="438" spans="1:28" x14ac:dyDescent="0.25">
      <c r="A438" s="5" t="str">
        <f>IF(ISBLANK(Лист1!A438),"",Лист1!A438)</f>
        <v/>
      </c>
      <c r="B438" s="5" t="str">
        <f>IF(ISBLANK(Лист1!B438),"",Лист1!B438)</f>
        <v/>
      </c>
      <c r="C438" s="5" t="str">
        <f>IF(ISBLANK(Лист1!C438),"",Лист1!C438)</f>
        <v/>
      </c>
      <c r="D438" s="5" t="str">
        <f>IF(ISBLANK(Лист1!D438),"",Лист1!D438)</f>
        <v/>
      </c>
      <c r="E438" s="5" t="str">
        <f>IF(ISBLANK(Лист1!E438),"",Лист1!E438)</f>
        <v/>
      </c>
      <c r="F438" s="5" t="str">
        <f>IF(ISBLANK(Лист1!F438),"",Лист1!F438)</f>
        <v/>
      </c>
      <c r="G438" s="5" t="str">
        <f>IF(ISBLANK(Лист1!G438),"",Лист1!G438)</f>
        <v/>
      </c>
      <c r="H438" s="5" t="str">
        <f>IF(ISBLANK(Лист1!H438),"",Лист1!H438)</f>
        <v/>
      </c>
      <c r="I438" s="5" t="str">
        <f>IF(ISBLANK(Лист1!I438),"",Лист1!I438)</f>
        <v/>
      </c>
      <c r="J438" s="5" t="str">
        <f>IF(ISBLANK(Лист1!J438),"",Лист1!J438)</f>
        <v/>
      </c>
      <c r="K438" s="5" t="str">
        <f>IF(ISBLANK(Лист1!K438),"",Лист1!K438)</f>
        <v/>
      </c>
      <c r="L438" s="5" t="str">
        <f>IF(ISBLANK(Лист1!L438),"",Лист1!L438)</f>
        <v/>
      </c>
      <c r="M438" s="5" t="str">
        <f>IF(ISBLANK(Лист1!M438),"",Лист1!M438)</f>
        <v/>
      </c>
      <c r="N438" s="5" t="str">
        <f>IF(ISBLANK(Лист1!N438),"",Лист1!N438)</f>
        <v/>
      </c>
      <c r="O438" s="5" t="str">
        <f>IF(ISBLANK(Лист1!O438),"",Лист1!O438)</f>
        <v/>
      </c>
      <c r="P438" s="5" t="str">
        <f>IF(ISBLANK(Лист1!P438),"",Лист1!P438)</f>
        <v/>
      </c>
      <c r="Q438" s="5" t="str">
        <f>IF(ISBLANK(Лист1!Q438),"",Лист1!Q438)</f>
        <v/>
      </c>
      <c r="R438" s="5" t="str">
        <f>IF(ISBLANK(Лист1!R438),"",Лист1!R438)</f>
        <v/>
      </c>
      <c r="S438" s="5" t="str">
        <f>IF(ISBLANK(Лист1!S438),"",Лист1!S438)</f>
        <v/>
      </c>
      <c r="T438" s="5" t="str">
        <f>IF(ISBLANK(Лист1!T438),"",Лист1!T438)</f>
        <v/>
      </c>
      <c r="U438" s="5" t="str">
        <f>IF(ISBLANK(Лист1!U438),"",Лист1!U438)</f>
        <v/>
      </c>
      <c r="V438" s="5" t="str">
        <f>IF(ISBLANK(Лист1!V438),"",Лист1!V438)</f>
        <v/>
      </c>
      <c r="W438" s="5" t="str">
        <f>IF(ISBLANK(Лист1!W438),"",Лист1!W438)</f>
        <v/>
      </c>
      <c r="X438" s="5" t="str">
        <f>IF(ISBLANK(Лист1!X438),"",Лист1!X438)</f>
        <v/>
      </c>
      <c r="Y438" s="5" t="str">
        <f>IF(ISERROR(VLOOKUP($X438,Лист2!$A$2:$G$498,1,FALSE)),"",VLOOKUP($X438,Лист2!$A$2:$G$498,1,FALSE))</f>
        <v/>
      </c>
      <c r="Z438" s="5" t="str">
        <f>IF(ISERROR(VLOOKUP($X438,Лист2!$A$2:$G$498,5,FALSE)),"",VLOOKUP($X438,Лист2!$A$2:$G$498,5,FALSE))</f>
        <v/>
      </c>
      <c r="AA438" s="5" t="str">
        <f>IF(ISERROR(VLOOKUP($X438,Лист2!$A$2:$G$498,6,FALSE)),"",VLOOKUP($X438,Лист2!$A$2:$G$498,6,FALSE))</f>
        <v/>
      </c>
      <c r="AB438" s="5" t="str">
        <f>IF(ISERROR(VLOOKUP($X438,Лист2!$A$2:$G$498,7,FALSE)),"",VLOOKUP($X438,Лист2!$A$2:$G$498,7,FALSE))</f>
        <v/>
      </c>
    </row>
    <row r="439" spans="1:28" x14ac:dyDescent="0.25">
      <c r="A439" s="5" t="str">
        <f>IF(ISBLANK(Лист1!A439),"",Лист1!A439)</f>
        <v/>
      </c>
      <c r="B439" s="5" t="str">
        <f>IF(ISBLANK(Лист1!B439),"",Лист1!B439)</f>
        <v/>
      </c>
      <c r="C439" s="5" t="str">
        <f>IF(ISBLANK(Лист1!C439),"",Лист1!C439)</f>
        <v/>
      </c>
      <c r="D439" s="5" t="str">
        <f>IF(ISBLANK(Лист1!D439),"",Лист1!D439)</f>
        <v/>
      </c>
      <c r="E439" s="5" t="str">
        <f>IF(ISBLANK(Лист1!E439),"",Лист1!E439)</f>
        <v/>
      </c>
      <c r="F439" s="5" t="str">
        <f>IF(ISBLANK(Лист1!F439),"",Лист1!F439)</f>
        <v/>
      </c>
      <c r="G439" s="5" t="str">
        <f>IF(ISBLANK(Лист1!G439),"",Лист1!G439)</f>
        <v/>
      </c>
      <c r="H439" s="5" t="str">
        <f>IF(ISBLANK(Лист1!H439),"",Лист1!H439)</f>
        <v/>
      </c>
      <c r="I439" s="5" t="str">
        <f>IF(ISBLANK(Лист1!I439),"",Лист1!I439)</f>
        <v/>
      </c>
      <c r="J439" s="5" t="str">
        <f>IF(ISBLANK(Лист1!J439),"",Лист1!J439)</f>
        <v/>
      </c>
      <c r="K439" s="5" t="str">
        <f>IF(ISBLANK(Лист1!K439),"",Лист1!K439)</f>
        <v/>
      </c>
      <c r="L439" s="5" t="str">
        <f>IF(ISBLANK(Лист1!L439),"",Лист1!L439)</f>
        <v/>
      </c>
      <c r="M439" s="5" t="str">
        <f>IF(ISBLANK(Лист1!M439),"",Лист1!M439)</f>
        <v/>
      </c>
      <c r="N439" s="5" t="str">
        <f>IF(ISBLANK(Лист1!N439),"",Лист1!N439)</f>
        <v/>
      </c>
      <c r="O439" s="5" t="str">
        <f>IF(ISBLANK(Лист1!O439),"",Лист1!O439)</f>
        <v/>
      </c>
      <c r="P439" s="5" t="str">
        <f>IF(ISBLANK(Лист1!P439),"",Лист1!P439)</f>
        <v/>
      </c>
      <c r="Q439" s="5" t="str">
        <f>IF(ISBLANK(Лист1!Q439),"",Лист1!Q439)</f>
        <v/>
      </c>
      <c r="R439" s="5" t="str">
        <f>IF(ISBLANK(Лист1!R439),"",Лист1!R439)</f>
        <v/>
      </c>
      <c r="S439" s="5" t="str">
        <f>IF(ISBLANK(Лист1!S439),"",Лист1!S439)</f>
        <v/>
      </c>
      <c r="T439" s="5" t="str">
        <f>IF(ISBLANK(Лист1!T439),"",Лист1!T439)</f>
        <v/>
      </c>
      <c r="U439" s="5" t="str">
        <f>IF(ISBLANK(Лист1!U439),"",Лист1!U439)</f>
        <v/>
      </c>
      <c r="V439" s="5" t="str">
        <f>IF(ISBLANK(Лист1!V439),"",Лист1!V439)</f>
        <v/>
      </c>
      <c r="W439" s="5" t="str">
        <f>IF(ISBLANK(Лист1!W439),"",Лист1!W439)</f>
        <v/>
      </c>
      <c r="X439" s="5" t="str">
        <f>IF(ISBLANK(Лист1!X439),"",Лист1!X439)</f>
        <v/>
      </c>
      <c r="Y439" s="5" t="str">
        <f>IF(ISERROR(VLOOKUP($X439,Лист2!$A$2:$G$498,1,FALSE)),"",VLOOKUP($X439,Лист2!$A$2:$G$498,1,FALSE))</f>
        <v/>
      </c>
      <c r="Z439" s="5" t="str">
        <f>IF(ISERROR(VLOOKUP($X439,Лист2!$A$2:$G$498,5,FALSE)),"",VLOOKUP($X439,Лист2!$A$2:$G$498,5,FALSE))</f>
        <v/>
      </c>
      <c r="AA439" s="5" t="str">
        <f>IF(ISERROR(VLOOKUP($X439,Лист2!$A$2:$G$498,6,FALSE)),"",VLOOKUP($X439,Лист2!$A$2:$G$498,6,FALSE))</f>
        <v/>
      </c>
      <c r="AB439" s="5" t="str">
        <f>IF(ISERROR(VLOOKUP($X439,Лист2!$A$2:$G$498,7,FALSE)),"",VLOOKUP($X439,Лист2!$A$2:$G$498,7,FALSE))</f>
        <v/>
      </c>
    </row>
    <row r="440" spans="1:28" x14ac:dyDescent="0.25">
      <c r="A440" s="5" t="str">
        <f>IF(ISBLANK(Лист1!A440),"",Лист1!A440)</f>
        <v/>
      </c>
      <c r="B440" s="5" t="str">
        <f>IF(ISBLANK(Лист1!B440),"",Лист1!B440)</f>
        <v/>
      </c>
      <c r="C440" s="5" t="str">
        <f>IF(ISBLANK(Лист1!C440),"",Лист1!C440)</f>
        <v/>
      </c>
      <c r="D440" s="5" t="str">
        <f>IF(ISBLANK(Лист1!D440),"",Лист1!D440)</f>
        <v/>
      </c>
      <c r="E440" s="5" t="str">
        <f>IF(ISBLANK(Лист1!E440),"",Лист1!E440)</f>
        <v/>
      </c>
      <c r="F440" s="5" t="str">
        <f>IF(ISBLANK(Лист1!F440),"",Лист1!F440)</f>
        <v/>
      </c>
      <c r="G440" s="5" t="str">
        <f>IF(ISBLANK(Лист1!G440),"",Лист1!G440)</f>
        <v/>
      </c>
      <c r="H440" s="5" t="str">
        <f>IF(ISBLANK(Лист1!H440),"",Лист1!H440)</f>
        <v/>
      </c>
      <c r="I440" s="5" t="str">
        <f>IF(ISBLANK(Лист1!I440),"",Лист1!I440)</f>
        <v/>
      </c>
      <c r="J440" s="5" t="str">
        <f>IF(ISBLANK(Лист1!J440),"",Лист1!J440)</f>
        <v/>
      </c>
      <c r="K440" s="5" t="str">
        <f>IF(ISBLANK(Лист1!K440),"",Лист1!K440)</f>
        <v/>
      </c>
      <c r="L440" s="5" t="str">
        <f>IF(ISBLANK(Лист1!L440),"",Лист1!L440)</f>
        <v/>
      </c>
      <c r="M440" s="5" t="str">
        <f>IF(ISBLANK(Лист1!M440),"",Лист1!M440)</f>
        <v/>
      </c>
      <c r="N440" s="5" t="str">
        <f>IF(ISBLANK(Лист1!N440),"",Лист1!N440)</f>
        <v/>
      </c>
      <c r="O440" s="5" t="str">
        <f>IF(ISBLANK(Лист1!O440),"",Лист1!O440)</f>
        <v/>
      </c>
      <c r="P440" s="5" t="str">
        <f>IF(ISBLANK(Лист1!P440),"",Лист1!P440)</f>
        <v/>
      </c>
      <c r="Q440" s="5" t="str">
        <f>IF(ISBLANK(Лист1!Q440),"",Лист1!Q440)</f>
        <v/>
      </c>
      <c r="R440" s="5" t="str">
        <f>IF(ISBLANK(Лист1!R440),"",Лист1!R440)</f>
        <v/>
      </c>
      <c r="S440" s="5" t="str">
        <f>IF(ISBLANK(Лист1!S440),"",Лист1!S440)</f>
        <v/>
      </c>
      <c r="T440" s="5" t="str">
        <f>IF(ISBLANK(Лист1!T440),"",Лист1!T440)</f>
        <v/>
      </c>
      <c r="U440" s="5" t="str">
        <f>IF(ISBLANK(Лист1!U440),"",Лист1!U440)</f>
        <v/>
      </c>
      <c r="V440" s="5" t="str">
        <f>IF(ISBLANK(Лист1!V440),"",Лист1!V440)</f>
        <v/>
      </c>
      <c r="W440" s="5" t="str">
        <f>IF(ISBLANK(Лист1!W440),"",Лист1!W440)</f>
        <v/>
      </c>
      <c r="X440" s="5" t="str">
        <f>IF(ISBLANK(Лист1!X440),"",Лист1!X440)</f>
        <v/>
      </c>
      <c r="Y440" s="5" t="str">
        <f>IF(ISERROR(VLOOKUP($X440,Лист2!$A$2:$G$498,1,FALSE)),"",VLOOKUP($X440,Лист2!$A$2:$G$498,1,FALSE))</f>
        <v/>
      </c>
      <c r="Z440" s="5" t="str">
        <f>IF(ISERROR(VLOOKUP($X440,Лист2!$A$2:$G$498,5,FALSE)),"",VLOOKUP($X440,Лист2!$A$2:$G$498,5,FALSE))</f>
        <v/>
      </c>
      <c r="AA440" s="5" t="str">
        <f>IF(ISERROR(VLOOKUP($X440,Лист2!$A$2:$G$498,6,FALSE)),"",VLOOKUP($X440,Лист2!$A$2:$G$498,6,FALSE))</f>
        <v/>
      </c>
      <c r="AB440" s="5" t="str">
        <f>IF(ISERROR(VLOOKUP($X440,Лист2!$A$2:$G$498,7,FALSE)),"",VLOOKUP($X440,Лист2!$A$2:$G$498,7,FALSE))</f>
        <v/>
      </c>
    </row>
    <row r="441" spans="1:28" x14ac:dyDescent="0.25">
      <c r="A441" s="5" t="str">
        <f>IF(ISBLANK(Лист1!A441),"",Лист1!A441)</f>
        <v/>
      </c>
      <c r="B441" s="5" t="str">
        <f>IF(ISBLANK(Лист1!B441),"",Лист1!B441)</f>
        <v/>
      </c>
      <c r="C441" s="5" t="str">
        <f>IF(ISBLANK(Лист1!C441),"",Лист1!C441)</f>
        <v/>
      </c>
      <c r="D441" s="5" t="str">
        <f>IF(ISBLANK(Лист1!D441),"",Лист1!D441)</f>
        <v/>
      </c>
      <c r="E441" s="5" t="str">
        <f>IF(ISBLANK(Лист1!E441),"",Лист1!E441)</f>
        <v/>
      </c>
      <c r="F441" s="5" t="str">
        <f>IF(ISBLANK(Лист1!F441),"",Лист1!F441)</f>
        <v/>
      </c>
      <c r="G441" s="5" t="str">
        <f>IF(ISBLANK(Лист1!G441),"",Лист1!G441)</f>
        <v/>
      </c>
      <c r="H441" s="5" t="str">
        <f>IF(ISBLANK(Лист1!H441),"",Лист1!H441)</f>
        <v/>
      </c>
      <c r="I441" s="5" t="str">
        <f>IF(ISBLANK(Лист1!I441),"",Лист1!I441)</f>
        <v/>
      </c>
      <c r="J441" s="5" t="str">
        <f>IF(ISBLANK(Лист1!J441),"",Лист1!J441)</f>
        <v/>
      </c>
      <c r="K441" s="5" t="str">
        <f>IF(ISBLANK(Лист1!K441),"",Лист1!K441)</f>
        <v/>
      </c>
      <c r="L441" s="5" t="str">
        <f>IF(ISBLANK(Лист1!L441),"",Лист1!L441)</f>
        <v/>
      </c>
      <c r="M441" s="5" t="str">
        <f>IF(ISBLANK(Лист1!M441),"",Лист1!M441)</f>
        <v/>
      </c>
      <c r="N441" s="5" t="str">
        <f>IF(ISBLANK(Лист1!N441),"",Лист1!N441)</f>
        <v/>
      </c>
      <c r="O441" s="5" t="str">
        <f>IF(ISBLANK(Лист1!O441),"",Лист1!O441)</f>
        <v/>
      </c>
      <c r="P441" s="5" t="str">
        <f>IF(ISBLANK(Лист1!P441),"",Лист1!P441)</f>
        <v/>
      </c>
      <c r="Q441" s="5" t="str">
        <f>IF(ISBLANK(Лист1!Q441),"",Лист1!Q441)</f>
        <v/>
      </c>
      <c r="R441" s="5" t="str">
        <f>IF(ISBLANK(Лист1!R441),"",Лист1!R441)</f>
        <v/>
      </c>
      <c r="S441" s="5" t="str">
        <f>IF(ISBLANK(Лист1!S441),"",Лист1!S441)</f>
        <v/>
      </c>
      <c r="T441" s="5" t="str">
        <f>IF(ISBLANK(Лист1!T441),"",Лист1!T441)</f>
        <v/>
      </c>
      <c r="U441" s="5" t="str">
        <f>IF(ISBLANK(Лист1!U441),"",Лист1!U441)</f>
        <v/>
      </c>
      <c r="V441" s="5" t="str">
        <f>IF(ISBLANK(Лист1!V441),"",Лист1!V441)</f>
        <v/>
      </c>
      <c r="W441" s="5" t="str">
        <f>IF(ISBLANK(Лист1!W441),"",Лист1!W441)</f>
        <v/>
      </c>
      <c r="X441" s="5" t="str">
        <f>IF(ISBLANK(Лист1!X441),"",Лист1!X441)</f>
        <v/>
      </c>
      <c r="Y441" s="5" t="str">
        <f>IF(ISERROR(VLOOKUP($X441,Лист2!$A$2:$G$498,1,FALSE)),"",VLOOKUP($X441,Лист2!$A$2:$G$498,1,FALSE))</f>
        <v/>
      </c>
      <c r="Z441" s="5" t="str">
        <f>IF(ISERROR(VLOOKUP($X441,Лист2!$A$2:$G$498,5,FALSE)),"",VLOOKUP($X441,Лист2!$A$2:$G$498,5,FALSE))</f>
        <v/>
      </c>
      <c r="AA441" s="5" t="str">
        <f>IF(ISERROR(VLOOKUP($X441,Лист2!$A$2:$G$498,6,FALSE)),"",VLOOKUP($X441,Лист2!$A$2:$G$498,6,FALSE))</f>
        <v/>
      </c>
      <c r="AB441" s="5" t="str">
        <f>IF(ISERROR(VLOOKUP($X441,Лист2!$A$2:$G$498,7,FALSE)),"",VLOOKUP($X441,Лист2!$A$2:$G$498,7,FALSE))</f>
        <v/>
      </c>
    </row>
    <row r="442" spans="1:28" x14ac:dyDescent="0.25">
      <c r="A442" s="5" t="str">
        <f>IF(ISBLANK(Лист1!A442),"",Лист1!A442)</f>
        <v/>
      </c>
      <c r="B442" s="5" t="str">
        <f>IF(ISBLANK(Лист1!B442),"",Лист1!B442)</f>
        <v/>
      </c>
      <c r="C442" s="5" t="str">
        <f>IF(ISBLANK(Лист1!C442),"",Лист1!C442)</f>
        <v/>
      </c>
      <c r="D442" s="5" t="str">
        <f>IF(ISBLANK(Лист1!D442),"",Лист1!D442)</f>
        <v/>
      </c>
      <c r="E442" s="5" t="str">
        <f>IF(ISBLANK(Лист1!E442),"",Лист1!E442)</f>
        <v/>
      </c>
      <c r="F442" s="5" t="str">
        <f>IF(ISBLANK(Лист1!F442),"",Лист1!F442)</f>
        <v/>
      </c>
      <c r="G442" s="5" t="str">
        <f>IF(ISBLANK(Лист1!G442),"",Лист1!G442)</f>
        <v/>
      </c>
      <c r="H442" s="5" t="str">
        <f>IF(ISBLANK(Лист1!H442),"",Лист1!H442)</f>
        <v/>
      </c>
      <c r="I442" s="5" t="str">
        <f>IF(ISBLANK(Лист1!I442),"",Лист1!I442)</f>
        <v/>
      </c>
      <c r="J442" s="5" t="str">
        <f>IF(ISBLANK(Лист1!J442),"",Лист1!J442)</f>
        <v/>
      </c>
      <c r="K442" s="5" t="str">
        <f>IF(ISBLANK(Лист1!K442),"",Лист1!K442)</f>
        <v/>
      </c>
      <c r="L442" s="5" t="str">
        <f>IF(ISBLANK(Лист1!L442),"",Лист1!L442)</f>
        <v/>
      </c>
      <c r="M442" s="5" t="str">
        <f>IF(ISBLANK(Лист1!M442),"",Лист1!M442)</f>
        <v/>
      </c>
      <c r="N442" s="5" t="str">
        <f>IF(ISBLANK(Лист1!N442),"",Лист1!N442)</f>
        <v/>
      </c>
      <c r="O442" s="5" t="str">
        <f>IF(ISBLANK(Лист1!O442),"",Лист1!O442)</f>
        <v/>
      </c>
      <c r="P442" s="5" t="str">
        <f>IF(ISBLANK(Лист1!P442),"",Лист1!P442)</f>
        <v/>
      </c>
      <c r="Q442" s="5" t="str">
        <f>IF(ISBLANK(Лист1!Q442),"",Лист1!Q442)</f>
        <v/>
      </c>
      <c r="R442" s="5" t="str">
        <f>IF(ISBLANK(Лист1!R442),"",Лист1!R442)</f>
        <v/>
      </c>
      <c r="S442" s="5" t="str">
        <f>IF(ISBLANK(Лист1!S442),"",Лист1!S442)</f>
        <v/>
      </c>
      <c r="T442" s="5" t="str">
        <f>IF(ISBLANK(Лист1!T442),"",Лист1!T442)</f>
        <v/>
      </c>
      <c r="U442" s="5" t="str">
        <f>IF(ISBLANK(Лист1!U442),"",Лист1!U442)</f>
        <v/>
      </c>
      <c r="V442" s="5" t="str">
        <f>IF(ISBLANK(Лист1!V442),"",Лист1!V442)</f>
        <v/>
      </c>
      <c r="W442" s="5" t="str">
        <f>IF(ISBLANK(Лист1!W442),"",Лист1!W442)</f>
        <v/>
      </c>
      <c r="X442" s="5" t="str">
        <f>IF(ISBLANK(Лист1!X442),"",Лист1!X442)</f>
        <v/>
      </c>
      <c r="Y442" s="5" t="str">
        <f>IF(ISERROR(VLOOKUP($X442,Лист2!$A$2:$G$498,1,FALSE)),"",VLOOKUP($X442,Лист2!$A$2:$G$498,1,FALSE))</f>
        <v/>
      </c>
      <c r="Z442" s="5" t="str">
        <f>IF(ISERROR(VLOOKUP($X442,Лист2!$A$2:$G$498,5,FALSE)),"",VLOOKUP($X442,Лист2!$A$2:$G$498,5,FALSE))</f>
        <v/>
      </c>
      <c r="AA442" s="5" t="str">
        <f>IF(ISERROR(VLOOKUP($X442,Лист2!$A$2:$G$498,6,FALSE)),"",VLOOKUP($X442,Лист2!$A$2:$G$498,6,FALSE))</f>
        <v/>
      </c>
      <c r="AB442" s="5" t="str">
        <f>IF(ISERROR(VLOOKUP($X442,Лист2!$A$2:$G$498,7,FALSE)),"",VLOOKUP($X442,Лист2!$A$2:$G$498,7,FALSE))</f>
        <v/>
      </c>
    </row>
    <row r="443" spans="1:28" x14ac:dyDescent="0.25">
      <c r="A443" s="5" t="str">
        <f>IF(ISBLANK(Лист1!A443),"",Лист1!A443)</f>
        <v/>
      </c>
      <c r="B443" s="5" t="str">
        <f>IF(ISBLANK(Лист1!B443),"",Лист1!B443)</f>
        <v/>
      </c>
      <c r="C443" s="5" t="str">
        <f>IF(ISBLANK(Лист1!C443),"",Лист1!C443)</f>
        <v/>
      </c>
      <c r="D443" s="5" t="str">
        <f>IF(ISBLANK(Лист1!D443),"",Лист1!D443)</f>
        <v/>
      </c>
      <c r="E443" s="5" t="str">
        <f>IF(ISBLANK(Лист1!E443),"",Лист1!E443)</f>
        <v/>
      </c>
      <c r="F443" s="5" t="str">
        <f>IF(ISBLANK(Лист1!F443),"",Лист1!F443)</f>
        <v/>
      </c>
      <c r="G443" s="5" t="str">
        <f>IF(ISBLANK(Лист1!G443),"",Лист1!G443)</f>
        <v/>
      </c>
      <c r="H443" s="5" t="str">
        <f>IF(ISBLANK(Лист1!H443),"",Лист1!H443)</f>
        <v/>
      </c>
      <c r="I443" s="5" t="str">
        <f>IF(ISBLANK(Лист1!I443),"",Лист1!I443)</f>
        <v/>
      </c>
      <c r="J443" s="5" t="str">
        <f>IF(ISBLANK(Лист1!J443),"",Лист1!J443)</f>
        <v/>
      </c>
      <c r="K443" s="5" t="str">
        <f>IF(ISBLANK(Лист1!K443),"",Лист1!K443)</f>
        <v/>
      </c>
      <c r="L443" s="5" t="str">
        <f>IF(ISBLANK(Лист1!L443),"",Лист1!L443)</f>
        <v/>
      </c>
      <c r="M443" s="5" t="str">
        <f>IF(ISBLANK(Лист1!M443),"",Лист1!M443)</f>
        <v/>
      </c>
      <c r="N443" s="5" t="str">
        <f>IF(ISBLANK(Лист1!N443),"",Лист1!N443)</f>
        <v/>
      </c>
      <c r="O443" s="5" t="str">
        <f>IF(ISBLANK(Лист1!O443),"",Лист1!O443)</f>
        <v/>
      </c>
      <c r="P443" s="5" t="str">
        <f>IF(ISBLANK(Лист1!P443),"",Лист1!P443)</f>
        <v/>
      </c>
      <c r="Q443" s="5" t="str">
        <f>IF(ISBLANK(Лист1!Q443),"",Лист1!Q443)</f>
        <v/>
      </c>
      <c r="R443" s="5" t="str">
        <f>IF(ISBLANK(Лист1!R443),"",Лист1!R443)</f>
        <v/>
      </c>
      <c r="S443" s="5" t="str">
        <f>IF(ISBLANK(Лист1!S443),"",Лист1!S443)</f>
        <v/>
      </c>
      <c r="T443" s="5" t="str">
        <f>IF(ISBLANK(Лист1!T443),"",Лист1!T443)</f>
        <v/>
      </c>
      <c r="U443" s="5" t="str">
        <f>IF(ISBLANK(Лист1!U443),"",Лист1!U443)</f>
        <v/>
      </c>
      <c r="V443" s="5" t="str">
        <f>IF(ISBLANK(Лист1!V443),"",Лист1!V443)</f>
        <v/>
      </c>
      <c r="W443" s="5" t="str">
        <f>IF(ISBLANK(Лист1!W443),"",Лист1!W443)</f>
        <v/>
      </c>
      <c r="X443" s="5" t="str">
        <f>IF(ISBLANK(Лист1!X443),"",Лист1!X443)</f>
        <v/>
      </c>
      <c r="Y443" s="5" t="str">
        <f>IF(ISERROR(VLOOKUP($X443,Лист2!$A$2:$G$498,1,FALSE)),"",VLOOKUP($X443,Лист2!$A$2:$G$498,1,FALSE))</f>
        <v/>
      </c>
      <c r="Z443" s="5" t="str">
        <f>IF(ISERROR(VLOOKUP($X443,Лист2!$A$2:$G$498,5,FALSE)),"",VLOOKUP($X443,Лист2!$A$2:$G$498,5,FALSE))</f>
        <v/>
      </c>
      <c r="AA443" s="5" t="str">
        <f>IF(ISERROR(VLOOKUP($X443,Лист2!$A$2:$G$498,6,FALSE)),"",VLOOKUP($X443,Лист2!$A$2:$G$498,6,FALSE))</f>
        <v/>
      </c>
      <c r="AB443" s="5" t="str">
        <f>IF(ISERROR(VLOOKUP($X443,Лист2!$A$2:$G$498,7,FALSE)),"",VLOOKUP($X443,Лист2!$A$2:$G$498,7,FALSE))</f>
        <v/>
      </c>
    </row>
    <row r="444" spans="1:28" x14ac:dyDescent="0.25">
      <c r="A444" s="5" t="str">
        <f>IF(ISBLANK(Лист1!A444),"",Лист1!A444)</f>
        <v/>
      </c>
      <c r="B444" s="5" t="str">
        <f>IF(ISBLANK(Лист1!B444),"",Лист1!B444)</f>
        <v/>
      </c>
      <c r="C444" s="5" t="str">
        <f>IF(ISBLANK(Лист1!C444),"",Лист1!C444)</f>
        <v/>
      </c>
      <c r="D444" s="5" t="str">
        <f>IF(ISBLANK(Лист1!D444),"",Лист1!D444)</f>
        <v/>
      </c>
      <c r="E444" s="5" t="str">
        <f>IF(ISBLANK(Лист1!E444),"",Лист1!E444)</f>
        <v/>
      </c>
      <c r="F444" s="5" t="str">
        <f>IF(ISBLANK(Лист1!F444),"",Лист1!F444)</f>
        <v/>
      </c>
      <c r="G444" s="5" t="str">
        <f>IF(ISBLANK(Лист1!G444),"",Лист1!G444)</f>
        <v/>
      </c>
      <c r="H444" s="5" t="str">
        <f>IF(ISBLANK(Лист1!H444),"",Лист1!H444)</f>
        <v/>
      </c>
      <c r="I444" s="5" t="str">
        <f>IF(ISBLANK(Лист1!I444),"",Лист1!I444)</f>
        <v/>
      </c>
      <c r="J444" s="5" t="str">
        <f>IF(ISBLANK(Лист1!J444),"",Лист1!J444)</f>
        <v/>
      </c>
      <c r="K444" s="5" t="str">
        <f>IF(ISBLANK(Лист1!K444),"",Лист1!K444)</f>
        <v/>
      </c>
      <c r="L444" s="5" t="str">
        <f>IF(ISBLANK(Лист1!L444),"",Лист1!L444)</f>
        <v/>
      </c>
      <c r="M444" s="5" t="str">
        <f>IF(ISBLANK(Лист1!M444),"",Лист1!M444)</f>
        <v/>
      </c>
      <c r="N444" s="5" t="str">
        <f>IF(ISBLANK(Лист1!N444),"",Лист1!N444)</f>
        <v/>
      </c>
      <c r="O444" s="5" t="str">
        <f>IF(ISBLANK(Лист1!O444),"",Лист1!O444)</f>
        <v/>
      </c>
      <c r="P444" s="5" t="str">
        <f>IF(ISBLANK(Лист1!P444),"",Лист1!P444)</f>
        <v/>
      </c>
      <c r="Q444" s="5" t="str">
        <f>IF(ISBLANK(Лист1!Q444),"",Лист1!Q444)</f>
        <v/>
      </c>
      <c r="R444" s="5" t="str">
        <f>IF(ISBLANK(Лист1!R444),"",Лист1!R444)</f>
        <v/>
      </c>
      <c r="S444" s="5" t="str">
        <f>IF(ISBLANK(Лист1!S444),"",Лист1!S444)</f>
        <v/>
      </c>
      <c r="T444" s="5" t="str">
        <f>IF(ISBLANK(Лист1!T444),"",Лист1!T444)</f>
        <v/>
      </c>
      <c r="U444" s="5" t="str">
        <f>IF(ISBLANK(Лист1!U444),"",Лист1!U444)</f>
        <v/>
      </c>
      <c r="V444" s="5" t="str">
        <f>IF(ISBLANK(Лист1!V444),"",Лист1!V444)</f>
        <v/>
      </c>
      <c r="W444" s="5" t="str">
        <f>IF(ISBLANK(Лист1!W444),"",Лист1!W444)</f>
        <v/>
      </c>
      <c r="X444" s="5" t="str">
        <f>IF(ISBLANK(Лист1!X444),"",Лист1!X444)</f>
        <v/>
      </c>
      <c r="Y444" s="5" t="str">
        <f>IF(ISERROR(VLOOKUP($X444,Лист2!$A$2:$G$498,1,FALSE)),"",VLOOKUP($X444,Лист2!$A$2:$G$498,1,FALSE))</f>
        <v/>
      </c>
      <c r="Z444" s="5" t="str">
        <f>IF(ISERROR(VLOOKUP($X444,Лист2!$A$2:$G$498,5,FALSE)),"",VLOOKUP($X444,Лист2!$A$2:$G$498,5,FALSE))</f>
        <v/>
      </c>
      <c r="AA444" s="5" t="str">
        <f>IF(ISERROR(VLOOKUP($X444,Лист2!$A$2:$G$498,6,FALSE)),"",VLOOKUP($X444,Лист2!$A$2:$G$498,6,FALSE))</f>
        <v/>
      </c>
      <c r="AB444" s="5" t="str">
        <f>IF(ISERROR(VLOOKUP($X444,Лист2!$A$2:$G$498,7,FALSE)),"",VLOOKUP($X444,Лист2!$A$2:$G$498,7,FALSE))</f>
        <v/>
      </c>
    </row>
    <row r="445" spans="1:28" x14ac:dyDescent="0.25">
      <c r="A445" s="5" t="str">
        <f>IF(ISBLANK(Лист1!A445),"",Лист1!A445)</f>
        <v/>
      </c>
      <c r="B445" s="5" t="str">
        <f>IF(ISBLANK(Лист1!B445),"",Лист1!B445)</f>
        <v/>
      </c>
      <c r="C445" s="5" t="str">
        <f>IF(ISBLANK(Лист1!C445),"",Лист1!C445)</f>
        <v/>
      </c>
      <c r="D445" s="5" t="str">
        <f>IF(ISBLANK(Лист1!D445),"",Лист1!D445)</f>
        <v/>
      </c>
      <c r="E445" s="5" t="str">
        <f>IF(ISBLANK(Лист1!E445),"",Лист1!E445)</f>
        <v/>
      </c>
      <c r="F445" s="5" t="str">
        <f>IF(ISBLANK(Лист1!F445),"",Лист1!F445)</f>
        <v/>
      </c>
      <c r="G445" s="5" t="str">
        <f>IF(ISBLANK(Лист1!G445),"",Лист1!G445)</f>
        <v/>
      </c>
      <c r="H445" s="5" t="str">
        <f>IF(ISBLANK(Лист1!H445),"",Лист1!H445)</f>
        <v/>
      </c>
      <c r="I445" s="5" t="str">
        <f>IF(ISBLANK(Лист1!I445),"",Лист1!I445)</f>
        <v/>
      </c>
      <c r="J445" s="5" t="str">
        <f>IF(ISBLANK(Лист1!J445),"",Лист1!J445)</f>
        <v/>
      </c>
      <c r="K445" s="5" t="str">
        <f>IF(ISBLANK(Лист1!K445),"",Лист1!K445)</f>
        <v/>
      </c>
      <c r="L445" s="5" t="str">
        <f>IF(ISBLANK(Лист1!L445),"",Лист1!L445)</f>
        <v/>
      </c>
      <c r="M445" s="5" t="str">
        <f>IF(ISBLANK(Лист1!M445),"",Лист1!M445)</f>
        <v/>
      </c>
      <c r="N445" s="5" t="str">
        <f>IF(ISBLANK(Лист1!N445),"",Лист1!N445)</f>
        <v/>
      </c>
      <c r="O445" s="5" t="str">
        <f>IF(ISBLANK(Лист1!O445),"",Лист1!O445)</f>
        <v/>
      </c>
      <c r="P445" s="5" t="str">
        <f>IF(ISBLANK(Лист1!P445),"",Лист1!P445)</f>
        <v/>
      </c>
      <c r="Q445" s="5" t="str">
        <f>IF(ISBLANK(Лист1!Q445),"",Лист1!Q445)</f>
        <v/>
      </c>
      <c r="R445" s="5" t="str">
        <f>IF(ISBLANK(Лист1!R445),"",Лист1!R445)</f>
        <v/>
      </c>
      <c r="S445" s="5" t="str">
        <f>IF(ISBLANK(Лист1!S445),"",Лист1!S445)</f>
        <v/>
      </c>
      <c r="T445" s="5" t="str">
        <f>IF(ISBLANK(Лист1!T445),"",Лист1!T445)</f>
        <v/>
      </c>
      <c r="U445" s="5" t="str">
        <f>IF(ISBLANK(Лист1!U445),"",Лист1!U445)</f>
        <v/>
      </c>
      <c r="V445" s="5" t="str">
        <f>IF(ISBLANK(Лист1!V445),"",Лист1!V445)</f>
        <v/>
      </c>
      <c r="W445" s="5" t="str">
        <f>IF(ISBLANK(Лист1!W445),"",Лист1!W445)</f>
        <v/>
      </c>
      <c r="X445" s="5" t="str">
        <f>IF(ISBLANK(Лист1!X445),"",Лист1!X445)</f>
        <v/>
      </c>
      <c r="Y445" s="5" t="str">
        <f>IF(ISERROR(VLOOKUP($X445,Лист2!$A$2:$G$498,1,FALSE)),"",VLOOKUP($X445,Лист2!$A$2:$G$498,1,FALSE))</f>
        <v/>
      </c>
      <c r="Z445" s="5" t="str">
        <f>IF(ISERROR(VLOOKUP($X445,Лист2!$A$2:$G$498,5,FALSE)),"",VLOOKUP($X445,Лист2!$A$2:$G$498,5,FALSE))</f>
        <v/>
      </c>
      <c r="AA445" s="5" t="str">
        <f>IF(ISERROR(VLOOKUP($X445,Лист2!$A$2:$G$498,6,FALSE)),"",VLOOKUP($X445,Лист2!$A$2:$G$498,6,FALSE))</f>
        <v/>
      </c>
      <c r="AB445" s="5" t="str">
        <f>IF(ISERROR(VLOOKUP($X445,Лист2!$A$2:$G$498,7,FALSE)),"",VLOOKUP($X445,Лист2!$A$2:$G$498,7,FALSE))</f>
        <v/>
      </c>
    </row>
    <row r="446" spans="1:28" x14ac:dyDescent="0.25">
      <c r="A446" s="5" t="str">
        <f>IF(ISBLANK(Лист1!A446),"",Лист1!A446)</f>
        <v/>
      </c>
      <c r="B446" s="5" t="str">
        <f>IF(ISBLANK(Лист1!B446),"",Лист1!B446)</f>
        <v/>
      </c>
      <c r="C446" s="5" t="str">
        <f>IF(ISBLANK(Лист1!C446),"",Лист1!C446)</f>
        <v/>
      </c>
      <c r="D446" s="5" t="str">
        <f>IF(ISBLANK(Лист1!D446),"",Лист1!D446)</f>
        <v/>
      </c>
      <c r="E446" s="5" t="str">
        <f>IF(ISBLANK(Лист1!E446),"",Лист1!E446)</f>
        <v/>
      </c>
      <c r="F446" s="5" t="str">
        <f>IF(ISBLANK(Лист1!F446),"",Лист1!F446)</f>
        <v/>
      </c>
      <c r="G446" s="5" t="str">
        <f>IF(ISBLANK(Лист1!G446),"",Лист1!G446)</f>
        <v/>
      </c>
      <c r="H446" s="5" t="str">
        <f>IF(ISBLANK(Лист1!H446),"",Лист1!H446)</f>
        <v/>
      </c>
      <c r="I446" s="5" t="str">
        <f>IF(ISBLANK(Лист1!I446),"",Лист1!I446)</f>
        <v/>
      </c>
      <c r="J446" s="5" t="str">
        <f>IF(ISBLANK(Лист1!J446),"",Лист1!J446)</f>
        <v/>
      </c>
      <c r="K446" s="5" t="str">
        <f>IF(ISBLANK(Лист1!K446),"",Лист1!K446)</f>
        <v/>
      </c>
      <c r="L446" s="5" t="str">
        <f>IF(ISBLANK(Лист1!L446),"",Лист1!L446)</f>
        <v/>
      </c>
      <c r="M446" s="5" t="str">
        <f>IF(ISBLANK(Лист1!M446),"",Лист1!M446)</f>
        <v/>
      </c>
      <c r="N446" s="5" t="str">
        <f>IF(ISBLANK(Лист1!N446),"",Лист1!N446)</f>
        <v/>
      </c>
      <c r="O446" s="5" t="str">
        <f>IF(ISBLANK(Лист1!O446),"",Лист1!O446)</f>
        <v/>
      </c>
      <c r="P446" s="5" t="str">
        <f>IF(ISBLANK(Лист1!P446),"",Лист1!P446)</f>
        <v/>
      </c>
      <c r="Q446" s="5" t="str">
        <f>IF(ISBLANK(Лист1!Q446),"",Лист1!Q446)</f>
        <v/>
      </c>
      <c r="R446" s="5" t="str">
        <f>IF(ISBLANK(Лист1!R446),"",Лист1!R446)</f>
        <v/>
      </c>
      <c r="S446" s="5" t="str">
        <f>IF(ISBLANK(Лист1!S446),"",Лист1!S446)</f>
        <v/>
      </c>
      <c r="T446" s="5" t="str">
        <f>IF(ISBLANK(Лист1!T446),"",Лист1!T446)</f>
        <v/>
      </c>
      <c r="U446" s="5" t="str">
        <f>IF(ISBLANK(Лист1!U446),"",Лист1!U446)</f>
        <v/>
      </c>
      <c r="V446" s="5" t="str">
        <f>IF(ISBLANK(Лист1!V446),"",Лист1!V446)</f>
        <v/>
      </c>
      <c r="W446" s="5" t="str">
        <f>IF(ISBLANK(Лист1!W446),"",Лист1!W446)</f>
        <v/>
      </c>
      <c r="X446" s="5" t="str">
        <f>IF(ISBLANK(Лист1!X446),"",Лист1!X446)</f>
        <v/>
      </c>
      <c r="Y446" s="5" t="str">
        <f>IF(ISERROR(VLOOKUP($X446,Лист2!$A$2:$G$498,1,FALSE)),"",VLOOKUP($X446,Лист2!$A$2:$G$498,1,FALSE))</f>
        <v/>
      </c>
      <c r="Z446" s="5" t="str">
        <f>IF(ISERROR(VLOOKUP($X446,Лист2!$A$2:$G$498,5,FALSE)),"",VLOOKUP($X446,Лист2!$A$2:$G$498,5,FALSE))</f>
        <v/>
      </c>
      <c r="AA446" s="5" t="str">
        <f>IF(ISERROR(VLOOKUP($X446,Лист2!$A$2:$G$498,6,FALSE)),"",VLOOKUP($X446,Лист2!$A$2:$G$498,6,FALSE))</f>
        <v/>
      </c>
      <c r="AB446" s="5" t="str">
        <f>IF(ISERROR(VLOOKUP($X446,Лист2!$A$2:$G$498,7,FALSE)),"",VLOOKUP($X446,Лист2!$A$2:$G$498,7,FALSE))</f>
        <v/>
      </c>
    </row>
    <row r="447" spans="1:28" x14ac:dyDescent="0.25">
      <c r="A447" s="5" t="str">
        <f>IF(ISBLANK(Лист1!A447),"",Лист1!A447)</f>
        <v/>
      </c>
      <c r="B447" s="5" t="str">
        <f>IF(ISBLANK(Лист1!B447),"",Лист1!B447)</f>
        <v/>
      </c>
      <c r="C447" s="5" t="str">
        <f>IF(ISBLANK(Лист1!C447),"",Лист1!C447)</f>
        <v/>
      </c>
      <c r="D447" s="5" t="str">
        <f>IF(ISBLANK(Лист1!D447),"",Лист1!D447)</f>
        <v/>
      </c>
      <c r="E447" s="5" t="str">
        <f>IF(ISBLANK(Лист1!E447),"",Лист1!E447)</f>
        <v/>
      </c>
      <c r="F447" s="5" t="str">
        <f>IF(ISBLANK(Лист1!F447),"",Лист1!F447)</f>
        <v/>
      </c>
      <c r="G447" s="5" t="str">
        <f>IF(ISBLANK(Лист1!G447),"",Лист1!G447)</f>
        <v/>
      </c>
      <c r="H447" s="5" t="str">
        <f>IF(ISBLANK(Лист1!H447),"",Лист1!H447)</f>
        <v/>
      </c>
      <c r="I447" s="5" t="str">
        <f>IF(ISBLANK(Лист1!I447),"",Лист1!I447)</f>
        <v/>
      </c>
      <c r="J447" s="5" t="str">
        <f>IF(ISBLANK(Лист1!J447),"",Лист1!J447)</f>
        <v/>
      </c>
      <c r="K447" s="5" t="str">
        <f>IF(ISBLANK(Лист1!K447),"",Лист1!K447)</f>
        <v/>
      </c>
      <c r="L447" s="5" t="str">
        <f>IF(ISBLANK(Лист1!L447),"",Лист1!L447)</f>
        <v/>
      </c>
      <c r="M447" s="5" t="str">
        <f>IF(ISBLANK(Лист1!M447),"",Лист1!M447)</f>
        <v/>
      </c>
      <c r="N447" s="5" t="str">
        <f>IF(ISBLANK(Лист1!N447),"",Лист1!N447)</f>
        <v/>
      </c>
      <c r="O447" s="5" t="str">
        <f>IF(ISBLANK(Лист1!O447),"",Лист1!O447)</f>
        <v/>
      </c>
      <c r="P447" s="5" t="str">
        <f>IF(ISBLANK(Лист1!P447),"",Лист1!P447)</f>
        <v/>
      </c>
      <c r="Q447" s="5" t="str">
        <f>IF(ISBLANK(Лист1!Q447),"",Лист1!Q447)</f>
        <v/>
      </c>
      <c r="R447" s="5" t="str">
        <f>IF(ISBLANK(Лист1!R447),"",Лист1!R447)</f>
        <v/>
      </c>
      <c r="S447" s="5" t="str">
        <f>IF(ISBLANK(Лист1!S447),"",Лист1!S447)</f>
        <v/>
      </c>
      <c r="T447" s="5" t="str">
        <f>IF(ISBLANK(Лист1!T447),"",Лист1!T447)</f>
        <v/>
      </c>
      <c r="U447" s="5" t="str">
        <f>IF(ISBLANK(Лист1!U447),"",Лист1!U447)</f>
        <v/>
      </c>
      <c r="V447" s="5" t="str">
        <f>IF(ISBLANK(Лист1!V447),"",Лист1!V447)</f>
        <v/>
      </c>
      <c r="W447" s="5" t="str">
        <f>IF(ISBLANK(Лист1!W447),"",Лист1!W447)</f>
        <v/>
      </c>
      <c r="X447" s="5" t="str">
        <f>IF(ISBLANK(Лист1!X447),"",Лист1!X447)</f>
        <v/>
      </c>
      <c r="Y447" s="5" t="str">
        <f>IF(ISERROR(VLOOKUP($X447,Лист2!$A$2:$G$498,1,FALSE)),"",VLOOKUP($X447,Лист2!$A$2:$G$498,1,FALSE))</f>
        <v/>
      </c>
      <c r="Z447" s="5" t="str">
        <f>IF(ISERROR(VLOOKUP($X447,Лист2!$A$2:$G$498,5,FALSE)),"",VLOOKUP($X447,Лист2!$A$2:$G$498,5,FALSE))</f>
        <v/>
      </c>
      <c r="AA447" s="5" t="str">
        <f>IF(ISERROR(VLOOKUP($X447,Лист2!$A$2:$G$498,6,FALSE)),"",VLOOKUP($X447,Лист2!$A$2:$G$498,6,FALSE))</f>
        <v/>
      </c>
      <c r="AB447" s="5" t="str">
        <f>IF(ISERROR(VLOOKUP($X447,Лист2!$A$2:$G$498,7,FALSE)),"",VLOOKUP($X447,Лист2!$A$2:$G$498,7,FALSE))</f>
        <v/>
      </c>
    </row>
    <row r="448" spans="1:28" x14ac:dyDescent="0.25">
      <c r="A448" s="5" t="str">
        <f>IF(ISBLANK(Лист1!A448),"",Лист1!A448)</f>
        <v/>
      </c>
      <c r="B448" s="5" t="str">
        <f>IF(ISBLANK(Лист1!B448),"",Лист1!B448)</f>
        <v/>
      </c>
      <c r="C448" s="5" t="str">
        <f>IF(ISBLANK(Лист1!C448),"",Лист1!C448)</f>
        <v/>
      </c>
      <c r="D448" s="5" t="str">
        <f>IF(ISBLANK(Лист1!D448),"",Лист1!D448)</f>
        <v/>
      </c>
      <c r="E448" s="5" t="str">
        <f>IF(ISBLANK(Лист1!E448),"",Лист1!E448)</f>
        <v/>
      </c>
      <c r="F448" s="5" t="str">
        <f>IF(ISBLANK(Лист1!F448),"",Лист1!F448)</f>
        <v/>
      </c>
      <c r="G448" s="5" t="str">
        <f>IF(ISBLANK(Лист1!G448),"",Лист1!G448)</f>
        <v/>
      </c>
      <c r="H448" s="5" t="str">
        <f>IF(ISBLANK(Лист1!H448),"",Лист1!H448)</f>
        <v/>
      </c>
      <c r="I448" s="5" t="str">
        <f>IF(ISBLANK(Лист1!I448),"",Лист1!I448)</f>
        <v/>
      </c>
      <c r="J448" s="5" t="str">
        <f>IF(ISBLANK(Лист1!J448),"",Лист1!J448)</f>
        <v/>
      </c>
      <c r="K448" s="5" t="str">
        <f>IF(ISBLANK(Лист1!K448),"",Лист1!K448)</f>
        <v/>
      </c>
      <c r="L448" s="5" t="str">
        <f>IF(ISBLANK(Лист1!L448),"",Лист1!L448)</f>
        <v/>
      </c>
      <c r="M448" s="5" t="str">
        <f>IF(ISBLANK(Лист1!M448),"",Лист1!M448)</f>
        <v/>
      </c>
      <c r="N448" s="5" t="str">
        <f>IF(ISBLANK(Лист1!N448),"",Лист1!N448)</f>
        <v/>
      </c>
      <c r="O448" s="5" t="str">
        <f>IF(ISBLANK(Лист1!O448),"",Лист1!O448)</f>
        <v/>
      </c>
      <c r="P448" s="5" t="str">
        <f>IF(ISBLANK(Лист1!P448),"",Лист1!P448)</f>
        <v/>
      </c>
      <c r="Q448" s="5" t="str">
        <f>IF(ISBLANK(Лист1!Q448),"",Лист1!Q448)</f>
        <v/>
      </c>
      <c r="R448" s="5" t="str">
        <f>IF(ISBLANK(Лист1!R448),"",Лист1!R448)</f>
        <v/>
      </c>
      <c r="S448" s="5" t="str">
        <f>IF(ISBLANK(Лист1!S448),"",Лист1!S448)</f>
        <v/>
      </c>
      <c r="T448" s="5" t="str">
        <f>IF(ISBLANK(Лист1!T448),"",Лист1!T448)</f>
        <v/>
      </c>
      <c r="U448" s="5" t="str">
        <f>IF(ISBLANK(Лист1!U448),"",Лист1!U448)</f>
        <v/>
      </c>
      <c r="V448" s="5" t="str">
        <f>IF(ISBLANK(Лист1!V448),"",Лист1!V448)</f>
        <v/>
      </c>
      <c r="W448" s="5" t="str">
        <f>IF(ISBLANK(Лист1!W448),"",Лист1!W448)</f>
        <v/>
      </c>
      <c r="X448" s="5" t="str">
        <f>IF(ISBLANK(Лист1!X448),"",Лист1!X448)</f>
        <v/>
      </c>
      <c r="Y448" s="5" t="str">
        <f>IF(ISERROR(VLOOKUP($X448,Лист2!$A$2:$G$498,1,FALSE)),"",VLOOKUP($X448,Лист2!$A$2:$G$498,1,FALSE))</f>
        <v/>
      </c>
      <c r="Z448" s="5" t="str">
        <f>IF(ISERROR(VLOOKUP($X448,Лист2!$A$2:$G$498,5,FALSE)),"",VLOOKUP($X448,Лист2!$A$2:$G$498,5,FALSE))</f>
        <v/>
      </c>
      <c r="AA448" s="5" t="str">
        <f>IF(ISERROR(VLOOKUP($X448,Лист2!$A$2:$G$498,6,FALSE)),"",VLOOKUP($X448,Лист2!$A$2:$G$498,6,FALSE))</f>
        <v/>
      </c>
      <c r="AB448" s="5" t="str">
        <f>IF(ISERROR(VLOOKUP($X448,Лист2!$A$2:$G$498,7,FALSE)),"",VLOOKUP($X448,Лист2!$A$2:$G$498,7,FALSE))</f>
        <v/>
      </c>
    </row>
    <row r="449" spans="1:28" x14ac:dyDescent="0.25">
      <c r="A449" s="5" t="str">
        <f>IF(ISBLANK(Лист1!A449),"",Лист1!A449)</f>
        <v/>
      </c>
      <c r="B449" s="5" t="str">
        <f>IF(ISBLANK(Лист1!B449),"",Лист1!B449)</f>
        <v/>
      </c>
      <c r="C449" s="5" t="str">
        <f>IF(ISBLANK(Лист1!C449),"",Лист1!C449)</f>
        <v/>
      </c>
      <c r="D449" s="5" t="str">
        <f>IF(ISBLANK(Лист1!D449),"",Лист1!D449)</f>
        <v/>
      </c>
      <c r="E449" s="5" t="str">
        <f>IF(ISBLANK(Лист1!E449),"",Лист1!E449)</f>
        <v/>
      </c>
      <c r="F449" s="5" t="str">
        <f>IF(ISBLANK(Лист1!F449),"",Лист1!F449)</f>
        <v/>
      </c>
      <c r="G449" s="5" t="str">
        <f>IF(ISBLANK(Лист1!G449),"",Лист1!G449)</f>
        <v/>
      </c>
      <c r="H449" s="5" t="str">
        <f>IF(ISBLANK(Лист1!H449),"",Лист1!H449)</f>
        <v/>
      </c>
      <c r="I449" s="5" t="str">
        <f>IF(ISBLANK(Лист1!I449),"",Лист1!I449)</f>
        <v/>
      </c>
      <c r="J449" s="5" t="str">
        <f>IF(ISBLANK(Лист1!J449),"",Лист1!J449)</f>
        <v/>
      </c>
      <c r="K449" s="5" t="str">
        <f>IF(ISBLANK(Лист1!K449),"",Лист1!K449)</f>
        <v/>
      </c>
      <c r="L449" s="5" t="str">
        <f>IF(ISBLANK(Лист1!L449),"",Лист1!L449)</f>
        <v/>
      </c>
      <c r="M449" s="5" t="str">
        <f>IF(ISBLANK(Лист1!M449),"",Лист1!M449)</f>
        <v/>
      </c>
      <c r="N449" s="5" t="str">
        <f>IF(ISBLANK(Лист1!N449),"",Лист1!N449)</f>
        <v/>
      </c>
      <c r="O449" s="5" t="str">
        <f>IF(ISBLANK(Лист1!O449),"",Лист1!O449)</f>
        <v/>
      </c>
      <c r="P449" s="5" t="str">
        <f>IF(ISBLANK(Лист1!P449),"",Лист1!P449)</f>
        <v/>
      </c>
      <c r="Q449" s="5" t="str">
        <f>IF(ISBLANK(Лист1!Q449),"",Лист1!Q449)</f>
        <v/>
      </c>
      <c r="R449" s="5" t="str">
        <f>IF(ISBLANK(Лист1!R449),"",Лист1!R449)</f>
        <v/>
      </c>
      <c r="S449" s="5" t="str">
        <f>IF(ISBLANK(Лист1!S449),"",Лист1!S449)</f>
        <v/>
      </c>
      <c r="T449" s="5" t="str">
        <f>IF(ISBLANK(Лист1!T449),"",Лист1!T449)</f>
        <v/>
      </c>
      <c r="U449" s="5" t="str">
        <f>IF(ISBLANK(Лист1!U449),"",Лист1!U449)</f>
        <v/>
      </c>
      <c r="V449" s="5" t="str">
        <f>IF(ISBLANK(Лист1!V449),"",Лист1!V449)</f>
        <v/>
      </c>
      <c r="W449" s="5" t="str">
        <f>IF(ISBLANK(Лист1!W449),"",Лист1!W449)</f>
        <v/>
      </c>
      <c r="X449" s="5" t="str">
        <f>IF(ISBLANK(Лист1!X449),"",Лист1!X449)</f>
        <v/>
      </c>
      <c r="Y449" s="5" t="str">
        <f>IF(ISERROR(VLOOKUP($X449,Лист2!$A$2:$G$498,1,FALSE)),"",VLOOKUP($X449,Лист2!$A$2:$G$498,1,FALSE))</f>
        <v/>
      </c>
      <c r="Z449" s="5" t="str">
        <f>IF(ISERROR(VLOOKUP($X449,Лист2!$A$2:$G$498,5,FALSE)),"",VLOOKUP($X449,Лист2!$A$2:$G$498,5,FALSE))</f>
        <v/>
      </c>
      <c r="AA449" s="5" t="str">
        <f>IF(ISERROR(VLOOKUP($X449,Лист2!$A$2:$G$498,6,FALSE)),"",VLOOKUP($X449,Лист2!$A$2:$G$498,6,FALSE))</f>
        <v/>
      </c>
      <c r="AB449" s="5" t="str">
        <f>IF(ISERROR(VLOOKUP($X449,Лист2!$A$2:$G$498,7,FALSE)),"",VLOOKUP($X449,Лист2!$A$2:$G$498,7,FALSE))</f>
        <v/>
      </c>
    </row>
    <row r="450" spans="1:28" x14ac:dyDescent="0.25">
      <c r="A450" s="5" t="str">
        <f>IF(ISBLANK(Лист1!A450),"",Лист1!A450)</f>
        <v/>
      </c>
      <c r="B450" s="5" t="str">
        <f>IF(ISBLANK(Лист1!B450),"",Лист1!B450)</f>
        <v/>
      </c>
      <c r="C450" s="5" t="str">
        <f>IF(ISBLANK(Лист1!C450),"",Лист1!C450)</f>
        <v/>
      </c>
      <c r="D450" s="5" t="str">
        <f>IF(ISBLANK(Лист1!D450),"",Лист1!D450)</f>
        <v/>
      </c>
      <c r="E450" s="5" t="str">
        <f>IF(ISBLANK(Лист1!E450),"",Лист1!E450)</f>
        <v/>
      </c>
      <c r="F450" s="5" t="str">
        <f>IF(ISBLANK(Лист1!F450),"",Лист1!F450)</f>
        <v/>
      </c>
      <c r="G450" s="5" t="str">
        <f>IF(ISBLANK(Лист1!G450),"",Лист1!G450)</f>
        <v/>
      </c>
      <c r="H450" s="5" t="str">
        <f>IF(ISBLANK(Лист1!H450),"",Лист1!H450)</f>
        <v/>
      </c>
      <c r="I450" s="5" t="str">
        <f>IF(ISBLANK(Лист1!I450),"",Лист1!I450)</f>
        <v/>
      </c>
      <c r="J450" s="5" t="str">
        <f>IF(ISBLANK(Лист1!J450),"",Лист1!J450)</f>
        <v/>
      </c>
      <c r="K450" s="5" t="str">
        <f>IF(ISBLANK(Лист1!K450),"",Лист1!K450)</f>
        <v/>
      </c>
      <c r="L450" s="5" t="str">
        <f>IF(ISBLANK(Лист1!L450),"",Лист1!L450)</f>
        <v/>
      </c>
      <c r="M450" s="5" t="str">
        <f>IF(ISBLANK(Лист1!M450),"",Лист1!M450)</f>
        <v/>
      </c>
      <c r="N450" s="5" t="str">
        <f>IF(ISBLANK(Лист1!N450),"",Лист1!N450)</f>
        <v/>
      </c>
      <c r="O450" s="5" t="str">
        <f>IF(ISBLANK(Лист1!O450),"",Лист1!O450)</f>
        <v/>
      </c>
      <c r="P450" s="5" t="str">
        <f>IF(ISBLANK(Лист1!P450),"",Лист1!P450)</f>
        <v/>
      </c>
      <c r="Q450" s="5" t="str">
        <f>IF(ISBLANK(Лист1!Q450),"",Лист1!Q450)</f>
        <v/>
      </c>
      <c r="R450" s="5" t="str">
        <f>IF(ISBLANK(Лист1!R450),"",Лист1!R450)</f>
        <v/>
      </c>
      <c r="S450" s="5" t="str">
        <f>IF(ISBLANK(Лист1!S450),"",Лист1!S450)</f>
        <v/>
      </c>
      <c r="T450" s="5" t="str">
        <f>IF(ISBLANK(Лист1!T450),"",Лист1!T450)</f>
        <v/>
      </c>
      <c r="U450" s="5" t="str">
        <f>IF(ISBLANK(Лист1!U450),"",Лист1!U450)</f>
        <v/>
      </c>
      <c r="V450" s="5" t="str">
        <f>IF(ISBLANK(Лист1!V450),"",Лист1!V450)</f>
        <v/>
      </c>
      <c r="W450" s="5" t="str">
        <f>IF(ISBLANK(Лист1!W450),"",Лист1!W450)</f>
        <v/>
      </c>
      <c r="X450" s="5" t="str">
        <f>IF(ISBLANK(Лист1!X450),"",Лист1!X450)</f>
        <v/>
      </c>
      <c r="Y450" s="5" t="str">
        <f>IF(ISERROR(VLOOKUP($X450,Лист2!$A$2:$G$498,1,FALSE)),"",VLOOKUP($X450,Лист2!$A$2:$G$498,1,FALSE))</f>
        <v/>
      </c>
      <c r="Z450" s="5" t="str">
        <f>IF(ISERROR(VLOOKUP($X450,Лист2!$A$2:$G$498,5,FALSE)),"",VLOOKUP($X450,Лист2!$A$2:$G$498,5,FALSE))</f>
        <v/>
      </c>
      <c r="AA450" s="5" t="str">
        <f>IF(ISERROR(VLOOKUP($X450,Лист2!$A$2:$G$498,6,FALSE)),"",VLOOKUP($X450,Лист2!$A$2:$G$498,6,FALSE))</f>
        <v/>
      </c>
      <c r="AB450" s="5" t="str">
        <f>IF(ISERROR(VLOOKUP($X450,Лист2!$A$2:$G$498,7,FALSE)),"",VLOOKUP($X450,Лист2!$A$2:$G$498,7,FALSE))</f>
        <v/>
      </c>
    </row>
    <row r="451" spans="1:28" x14ac:dyDescent="0.25">
      <c r="A451" s="5" t="str">
        <f>IF(ISBLANK(Лист1!A451),"",Лист1!A451)</f>
        <v/>
      </c>
      <c r="B451" s="5" t="str">
        <f>IF(ISBLANK(Лист1!B451),"",Лист1!B451)</f>
        <v/>
      </c>
      <c r="C451" s="5" t="str">
        <f>IF(ISBLANK(Лист1!C451),"",Лист1!C451)</f>
        <v/>
      </c>
      <c r="D451" s="5" t="str">
        <f>IF(ISBLANK(Лист1!D451),"",Лист1!D451)</f>
        <v/>
      </c>
      <c r="E451" s="5" t="str">
        <f>IF(ISBLANK(Лист1!E451),"",Лист1!E451)</f>
        <v/>
      </c>
      <c r="F451" s="5" t="str">
        <f>IF(ISBLANK(Лист1!F451),"",Лист1!F451)</f>
        <v/>
      </c>
      <c r="G451" s="5" t="str">
        <f>IF(ISBLANK(Лист1!G451),"",Лист1!G451)</f>
        <v/>
      </c>
      <c r="H451" s="5" t="str">
        <f>IF(ISBLANK(Лист1!H451),"",Лист1!H451)</f>
        <v/>
      </c>
      <c r="I451" s="5" t="str">
        <f>IF(ISBLANK(Лист1!I451),"",Лист1!I451)</f>
        <v/>
      </c>
      <c r="J451" s="5" t="str">
        <f>IF(ISBLANK(Лист1!J451),"",Лист1!J451)</f>
        <v/>
      </c>
      <c r="K451" s="5" t="str">
        <f>IF(ISBLANK(Лист1!K451),"",Лист1!K451)</f>
        <v/>
      </c>
      <c r="L451" s="5" t="str">
        <f>IF(ISBLANK(Лист1!L451),"",Лист1!L451)</f>
        <v/>
      </c>
      <c r="M451" s="5" t="str">
        <f>IF(ISBLANK(Лист1!M451),"",Лист1!M451)</f>
        <v/>
      </c>
      <c r="N451" s="5" t="str">
        <f>IF(ISBLANK(Лист1!N451),"",Лист1!N451)</f>
        <v/>
      </c>
      <c r="O451" s="5" t="str">
        <f>IF(ISBLANK(Лист1!O451),"",Лист1!O451)</f>
        <v/>
      </c>
      <c r="P451" s="5" t="str">
        <f>IF(ISBLANK(Лист1!P451),"",Лист1!P451)</f>
        <v/>
      </c>
      <c r="Q451" s="5" t="str">
        <f>IF(ISBLANK(Лист1!Q451),"",Лист1!Q451)</f>
        <v/>
      </c>
      <c r="R451" s="5" t="str">
        <f>IF(ISBLANK(Лист1!R451),"",Лист1!R451)</f>
        <v/>
      </c>
      <c r="S451" s="5" t="str">
        <f>IF(ISBLANK(Лист1!S451),"",Лист1!S451)</f>
        <v/>
      </c>
      <c r="T451" s="5" t="str">
        <f>IF(ISBLANK(Лист1!T451),"",Лист1!T451)</f>
        <v/>
      </c>
      <c r="U451" s="5" t="str">
        <f>IF(ISBLANK(Лист1!U451),"",Лист1!U451)</f>
        <v/>
      </c>
      <c r="V451" s="5" t="str">
        <f>IF(ISBLANK(Лист1!V451),"",Лист1!V451)</f>
        <v/>
      </c>
      <c r="W451" s="5" t="str">
        <f>IF(ISBLANK(Лист1!W451),"",Лист1!W451)</f>
        <v/>
      </c>
      <c r="X451" s="5" t="str">
        <f>IF(ISBLANK(Лист1!X451),"",Лист1!X451)</f>
        <v/>
      </c>
      <c r="Y451" s="5" t="str">
        <f>IF(ISERROR(VLOOKUP($X451,Лист2!$A$2:$G$498,1,FALSE)),"",VLOOKUP($X451,Лист2!$A$2:$G$498,1,FALSE))</f>
        <v/>
      </c>
      <c r="Z451" s="5" t="str">
        <f>IF(ISERROR(VLOOKUP($X451,Лист2!$A$2:$G$498,5,FALSE)),"",VLOOKUP($X451,Лист2!$A$2:$G$498,5,FALSE))</f>
        <v/>
      </c>
      <c r="AA451" s="5" t="str">
        <f>IF(ISERROR(VLOOKUP($X451,Лист2!$A$2:$G$498,6,FALSE)),"",VLOOKUP($X451,Лист2!$A$2:$G$498,6,FALSE))</f>
        <v/>
      </c>
      <c r="AB451" s="5" t="str">
        <f>IF(ISERROR(VLOOKUP($X451,Лист2!$A$2:$G$498,7,FALSE)),"",VLOOKUP($X451,Лист2!$A$2:$G$498,7,FALSE))</f>
        <v/>
      </c>
    </row>
    <row r="452" spans="1:28" x14ac:dyDescent="0.25">
      <c r="A452" s="5" t="str">
        <f>IF(ISBLANK(Лист1!A452),"",Лист1!A452)</f>
        <v/>
      </c>
      <c r="B452" s="5" t="str">
        <f>IF(ISBLANK(Лист1!B452),"",Лист1!B452)</f>
        <v/>
      </c>
      <c r="C452" s="5" t="str">
        <f>IF(ISBLANK(Лист1!C452),"",Лист1!C452)</f>
        <v/>
      </c>
      <c r="D452" s="5" t="str">
        <f>IF(ISBLANK(Лист1!D452),"",Лист1!D452)</f>
        <v/>
      </c>
      <c r="E452" s="5" t="str">
        <f>IF(ISBLANK(Лист1!E452),"",Лист1!E452)</f>
        <v/>
      </c>
      <c r="F452" s="5" t="str">
        <f>IF(ISBLANK(Лист1!F452),"",Лист1!F452)</f>
        <v/>
      </c>
      <c r="G452" s="5" t="str">
        <f>IF(ISBLANK(Лист1!G452),"",Лист1!G452)</f>
        <v/>
      </c>
      <c r="H452" s="5" t="str">
        <f>IF(ISBLANK(Лист1!H452),"",Лист1!H452)</f>
        <v/>
      </c>
      <c r="I452" s="5" t="str">
        <f>IF(ISBLANK(Лист1!I452),"",Лист1!I452)</f>
        <v/>
      </c>
      <c r="J452" s="5" t="str">
        <f>IF(ISBLANK(Лист1!J452),"",Лист1!J452)</f>
        <v/>
      </c>
      <c r="K452" s="5" t="str">
        <f>IF(ISBLANK(Лист1!K452),"",Лист1!K452)</f>
        <v/>
      </c>
      <c r="L452" s="5" t="str">
        <f>IF(ISBLANK(Лист1!L452),"",Лист1!L452)</f>
        <v/>
      </c>
      <c r="M452" s="5" t="str">
        <f>IF(ISBLANK(Лист1!M452),"",Лист1!M452)</f>
        <v/>
      </c>
      <c r="N452" s="5" t="str">
        <f>IF(ISBLANK(Лист1!N452),"",Лист1!N452)</f>
        <v/>
      </c>
      <c r="O452" s="5" t="str">
        <f>IF(ISBLANK(Лист1!O452),"",Лист1!O452)</f>
        <v/>
      </c>
      <c r="P452" s="5" t="str">
        <f>IF(ISBLANK(Лист1!P452),"",Лист1!P452)</f>
        <v/>
      </c>
      <c r="Q452" s="5" t="str">
        <f>IF(ISBLANK(Лист1!Q452),"",Лист1!Q452)</f>
        <v/>
      </c>
      <c r="R452" s="5" t="str">
        <f>IF(ISBLANK(Лист1!R452),"",Лист1!R452)</f>
        <v/>
      </c>
      <c r="S452" s="5" t="str">
        <f>IF(ISBLANK(Лист1!S452),"",Лист1!S452)</f>
        <v/>
      </c>
      <c r="T452" s="5" t="str">
        <f>IF(ISBLANK(Лист1!T452),"",Лист1!T452)</f>
        <v/>
      </c>
      <c r="U452" s="5" t="str">
        <f>IF(ISBLANK(Лист1!U452),"",Лист1!U452)</f>
        <v/>
      </c>
      <c r="V452" s="5" t="str">
        <f>IF(ISBLANK(Лист1!V452),"",Лист1!V452)</f>
        <v/>
      </c>
      <c r="W452" s="5" t="str">
        <f>IF(ISBLANK(Лист1!W452),"",Лист1!W452)</f>
        <v/>
      </c>
      <c r="X452" s="5" t="str">
        <f>IF(ISBLANK(Лист1!X452),"",Лист1!X452)</f>
        <v/>
      </c>
      <c r="Y452" s="5" t="str">
        <f>IF(ISERROR(VLOOKUP($X452,Лист2!$A$2:$G$498,1,FALSE)),"",VLOOKUP($X452,Лист2!$A$2:$G$498,1,FALSE))</f>
        <v/>
      </c>
      <c r="Z452" s="5" t="str">
        <f>IF(ISERROR(VLOOKUP($X452,Лист2!$A$2:$G$498,5,FALSE)),"",VLOOKUP($X452,Лист2!$A$2:$G$498,5,FALSE))</f>
        <v/>
      </c>
      <c r="AA452" s="5" t="str">
        <f>IF(ISERROR(VLOOKUP($X452,Лист2!$A$2:$G$498,6,FALSE)),"",VLOOKUP($X452,Лист2!$A$2:$G$498,6,FALSE))</f>
        <v/>
      </c>
      <c r="AB452" s="5" t="str">
        <f>IF(ISERROR(VLOOKUP($X452,Лист2!$A$2:$G$498,7,FALSE)),"",VLOOKUP($X452,Лист2!$A$2:$G$498,7,FALSE))</f>
        <v/>
      </c>
    </row>
    <row r="453" spans="1:28" x14ac:dyDescent="0.25">
      <c r="A453" s="5" t="str">
        <f>IF(ISBLANK(Лист1!A453),"",Лист1!A453)</f>
        <v/>
      </c>
      <c r="B453" s="5" t="str">
        <f>IF(ISBLANK(Лист1!B453),"",Лист1!B453)</f>
        <v/>
      </c>
      <c r="C453" s="5" t="str">
        <f>IF(ISBLANK(Лист1!C453),"",Лист1!C453)</f>
        <v/>
      </c>
      <c r="D453" s="5" t="str">
        <f>IF(ISBLANK(Лист1!D453),"",Лист1!D453)</f>
        <v/>
      </c>
      <c r="E453" s="5" t="str">
        <f>IF(ISBLANK(Лист1!E453),"",Лист1!E453)</f>
        <v/>
      </c>
      <c r="F453" s="5" t="str">
        <f>IF(ISBLANK(Лист1!F453),"",Лист1!F453)</f>
        <v/>
      </c>
      <c r="G453" s="5" t="str">
        <f>IF(ISBLANK(Лист1!G453),"",Лист1!G453)</f>
        <v/>
      </c>
      <c r="H453" s="5" t="str">
        <f>IF(ISBLANK(Лист1!H453),"",Лист1!H453)</f>
        <v/>
      </c>
      <c r="I453" s="5" t="str">
        <f>IF(ISBLANK(Лист1!I453),"",Лист1!I453)</f>
        <v/>
      </c>
      <c r="J453" s="5" t="str">
        <f>IF(ISBLANK(Лист1!J453),"",Лист1!J453)</f>
        <v/>
      </c>
      <c r="K453" s="5" t="str">
        <f>IF(ISBLANK(Лист1!K453),"",Лист1!K453)</f>
        <v/>
      </c>
      <c r="L453" s="5" t="str">
        <f>IF(ISBLANK(Лист1!L453),"",Лист1!L453)</f>
        <v/>
      </c>
      <c r="M453" s="5" t="str">
        <f>IF(ISBLANK(Лист1!M453),"",Лист1!M453)</f>
        <v/>
      </c>
      <c r="N453" s="5" t="str">
        <f>IF(ISBLANK(Лист1!N453),"",Лист1!N453)</f>
        <v/>
      </c>
      <c r="O453" s="5" t="str">
        <f>IF(ISBLANK(Лист1!O453),"",Лист1!O453)</f>
        <v/>
      </c>
      <c r="P453" s="5" t="str">
        <f>IF(ISBLANK(Лист1!P453),"",Лист1!P453)</f>
        <v/>
      </c>
      <c r="Q453" s="5" t="str">
        <f>IF(ISBLANK(Лист1!Q453),"",Лист1!Q453)</f>
        <v/>
      </c>
      <c r="R453" s="5" t="str">
        <f>IF(ISBLANK(Лист1!R453),"",Лист1!R453)</f>
        <v/>
      </c>
      <c r="S453" s="5" t="str">
        <f>IF(ISBLANK(Лист1!S453),"",Лист1!S453)</f>
        <v/>
      </c>
      <c r="T453" s="5" t="str">
        <f>IF(ISBLANK(Лист1!T453),"",Лист1!T453)</f>
        <v/>
      </c>
      <c r="U453" s="5" t="str">
        <f>IF(ISBLANK(Лист1!U453),"",Лист1!U453)</f>
        <v/>
      </c>
      <c r="V453" s="5" t="str">
        <f>IF(ISBLANK(Лист1!V453),"",Лист1!V453)</f>
        <v/>
      </c>
      <c r="W453" s="5" t="str">
        <f>IF(ISBLANK(Лист1!W453),"",Лист1!W453)</f>
        <v/>
      </c>
      <c r="X453" s="5" t="str">
        <f>IF(ISBLANK(Лист1!X453),"",Лист1!X453)</f>
        <v/>
      </c>
      <c r="Y453" s="5" t="str">
        <f>IF(ISERROR(VLOOKUP($X453,Лист2!$A$2:$G$498,1,FALSE)),"",VLOOKUP($X453,Лист2!$A$2:$G$498,1,FALSE))</f>
        <v/>
      </c>
      <c r="Z453" s="5" t="str">
        <f>IF(ISERROR(VLOOKUP($X453,Лист2!$A$2:$G$498,5,FALSE)),"",VLOOKUP($X453,Лист2!$A$2:$G$498,5,FALSE))</f>
        <v/>
      </c>
      <c r="AA453" s="5" t="str">
        <f>IF(ISERROR(VLOOKUP($X453,Лист2!$A$2:$G$498,6,FALSE)),"",VLOOKUP($X453,Лист2!$A$2:$G$498,6,FALSE))</f>
        <v/>
      </c>
      <c r="AB453" s="5" t="str">
        <f>IF(ISERROR(VLOOKUP($X453,Лист2!$A$2:$G$498,7,FALSE)),"",VLOOKUP($X453,Лист2!$A$2:$G$498,7,FALSE))</f>
        <v/>
      </c>
    </row>
    <row r="454" spans="1:28" x14ac:dyDescent="0.25">
      <c r="A454" s="5" t="str">
        <f>IF(ISBLANK(Лист1!A454),"",Лист1!A454)</f>
        <v/>
      </c>
      <c r="B454" s="5" t="str">
        <f>IF(ISBLANK(Лист1!B454),"",Лист1!B454)</f>
        <v/>
      </c>
      <c r="C454" s="5" t="str">
        <f>IF(ISBLANK(Лист1!C454),"",Лист1!C454)</f>
        <v/>
      </c>
      <c r="D454" s="5" t="str">
        <f>IF(ISBLANK(Лист1!D454),"",Лист1!D454)</f>
        <v/>
      </c>
      <c r="E454" s="5" t="str">
        <f>IF(ISBLANK(Лист1!E454),"",Лист1!E454)</f>
        <v/>
      </c>
      <c r="F454" s="5" t="str">
        <f>IF(ISBLANK(Лист1!F454),"",Лист1!F454)</f>
        <v/>
      </c>
      <c r="G454" s="5" t="str">
        <f>IF(ISBLANK(Лист1!G454),"",Лист1!G454)</f>
        <v/>
      </c>
      <c r="H454" s="5" t="str">
        <f>IF(ISBLANK(Лист1!H454),"",Лист1!H454)</f>
        <v/>
      </c>
      <c r="I454" s="5" t="str">
        <f>IF(ISBLANK(Лист1!I454),"",Лист1!I454)</f>
        <v/>
      </c>
      <c r="J454" s="5" t="str">
        <f>IF(ISBLANK(Лист1!J454),"",Лист1!J454)</f>
        <v/>
      </c>
      <c r="K454" s="5" t="str">
        <f>IF(ISBLANK(Лист1!K454),"",Лист1!K454)</f>
        <v/>
      </c>
      <c r="L454" s="5" t="str">
        <f>IF(ISBLANK(Лист1!L454),"",Лист1!L454)</f>
        <v/>
      </c>
      <c r="M454" s="5" t="str">
        <f>IF(ISBLANK(Лист1!M454),"",Лист1!M454)</f>
        <v/>
      </c>
      <c r="N454" s="5" t="str">
        <f>IF(ISBLANK(Лист1!N454),"",Лист1!N454)</f>
        <v/>
      </c>
      <c r="O454" s="5" t="str">
        <f>IF(ISBLANK(Лист1!O454),"",Лист1!O454)</f>
        <v/>
      </c>
      <c r="P454" s="5" t="str">
        <f>IF(ISBLANK(Лист1!P454),"",Лист1!P454)</f>
        <v/>
      </c>
      <c r="Q454" s="5" t="str">
        <f>IF(ISBLANK(Лист1!Q454),"",Лист1!Q454)</f>
        <v/>
      </c>
      <c r="R454" s="5" t="str">
        <f>IF(ISBLANK(Лист1!R454),"",Лист1!R454)</f>
        <v/>
      </c>
      <c r="S454" s="5" t="str">
        <f>IF(ISBLANK(Лист1!S454),"",Лист1!S454)</f>
        <v/>
      </c>
      <c r="T454" s="5" t="str">
        <f>IF(ISBLANK(Лист1!T454),"",Лист1!T454)</f>
        <v/>
      </c>
      <c r="U454" s="5" t="str">
        <f>IF(ISBLANK(Лист1!U454),"",Лист1!U454)</f>
        <v/>
      </c>
      <c r="V454" s="5" t="str">
        <f>IF(ISBLANK(Лист1!V454),"",Лист1!V454)</f>
        <v/>
      </c>
      <c r="W454" s="5" t="str">
        <f>IF(ISBLANK(Лист1!W454),"",Лист1!W454)</f>
        <v/>
      </c>
      <c r="X454" s="5" t="str">
        <f>IF(ISBLANK(Лист1!X454),"",Лист1!X454)</f>
        <v/>
      </c>
      <c r="Y454" s="5" t="str">
        <f>IF(ISERROR(VLOOKUP($X454,Лист2!$A$2:$G$498,1,FALSE)),"",VLOOKUP($X454,Лист2!$A$2:$G$498,1,FALSE))</f>
        <v/>
      </c>
      <c r="Z454" s="5" t="str">
        <f>IF(ISERROR(VLOOKUP($X454,Лист2!$A$2:$G$498,5,FALSE)),"",VLOOKUP($X454,Лист2!$A$2:$G$498,5,FALSE))</f>
        <v/>
      </c>
      <c r="AA454" s="5" t="str">
        <f>IF(ISERROR(VLOOKUP($X454,Лист2!$A$2:$G$498,6,FALSE)),"",VLOOKUP($X454,Лист2!$A$2:$G$498,6,FALSE))</f>
        <v/>
      </c>
      <c r="AB454" s="5" t="str">
        <f>IF(ISERROR(VLOOKUP($X454,Лист2!$A$2:$G$498,7,FALSE)),"",VLOOKUP($X454,Лист2!$A$2:$G$498,7,FALSE))</f>
        <v/>
      </c>
    </row>
    <row r="455" spans="1:28" x14ac:dyDescent="0.25">
      <c r="A455" s="5" t="str">
        <f>IF(ISBLANK(Лист1!A455),"",Лист1!A455)</f>
        <v/>
      </c>
      <c r="B455" s="5" t="str">
        <f>IF(ISBLANK(Лист1!B455),"",Лист1!B455)</f>
        <v/>
      </c>
      <c r="C455" s="5" t="str">
        <f>IF(ISBLANK(Лист1!C455),"",Лист1!C455)</f>
        <v/>
      </c>
      <c r="D455" s="5" t="str">
        <f>IF(ISBLANK(Лист1!D455),"",Лист1!D455)</f>
        <v/>
      </c>
      <c r="E455" s="5" t="str">
        <f>IF(ISBLANK(Лист1!E455),"",Лист1!E455)</f>
        <v/>
      </c>
      <c r="F455" s="5" t="str">
        <f>IF(ISBLANK(Лист1!F455),"",Лист1!F455)</f>
        <v/>
      </c>
      <c r="G455" s="5" t="str">
        <f>IF(ISBLANK(Лист1!G455),"",Лист1!G455)</f>
        <v/>
      </c>
      <c r="H455" s="5" t="str">
        <f>IF(ISBLANK(Лист1!H455),"",Лист1!H455)</f>
        <v/>
      </c>
      <c r="I455" s="5" t="str">
        <f>IF(ISBLANK(Лист1!I455),"",Лист1!I455)</f>
        <v/>
      </c>
      <c r="J455" s="5" t="str">
        <f>IF(ISBLANK(Лист1!J455),"",Лист1!J455)</f>
        <v/>
      </c>
      <c r="K455" s="5" t="str">
        <f>IF(ISBLANK(Лист1!K455),"",Лист1!K455)</f>
        <v/>
      </c>
      <c r="L455" s="5" t="str">
        <f>IF(ISBLANK(Лист1!L455),"",Лист1!L455)</f>
        <v/>
      </c>
      <c r="M455" s="5" t="str">
        <f>IF(ISBLANK(Лист1!M455),"",Лист1!M455)</f>
        <v/>
      </c>
      <c r="N455" s="5" t="str">
        <f>IF(ISBLANK(Лист1!N455),"",Лист1!N455)</f>
        <v/>
      </c>
      <c r="O455" s="5" t="str">
        <f>IF(ISBLANK(Лист1!O455),"",Лист1!O455)</f>
        <v/>
      </c>
      <c r="P455" s="5" t="str">
        <f>IF(ISBLANK(Лист1!P455),"",Лист1!P455)</f>
        <v/>
      </c>
      <c r="Q455" s="5" t="str">
        <f>IF(ISBLANK(Лист1!Q455),"",Лист1!Q455)</f>
        <v/>
      </c>
      <c r="R455" s="5" t="str">
        <f>IF(ISBLANK(Лист1!R455),"",Лист1!R455)</f>
        <v/>
      </c>
      <c r="S455" s="5" t="str">
        <f>IF(ISBLANK(Лист1!S455),"",Лист1!S455)</f>
        <v/>
      </c>
      <c r="T455" s="5" t="str">
        <f>IF(ISBLANK(Лист1!T455),"",Лист1!T455)</f>
        <v/>
      </c>
      <c r="U455" s="5" t="str">
        <f>IF(ISBLANK(Лист1!U455),"",Лист1!U455)</f>
        <v/>
      </c>
      <c r="V455" s="5" t="str">
        <f>IF(ISBLANK(Лист1!V455),"",Лист1!V455)</f>
        <v/>
      </c>
      <c r="W455" s="5" t="str">
        <f>IF(ISBLANK(Лист1!W455),"",Лист1!W455)</f>
        <v/>
      </c>
      <c r="X455" s="5" t="str">
        <f>IF(ISBLANK(Лист1!X455),"",Лист1!X455)</f>
        <v/>
      </c>
      <c r="Y455" s="5" t="str">
        <f>IF(ISERROR(VLOOKUP($X455,Лист2!$A$2:$G$498,1,FALSE)),"",VLOOKUP($X455,Лист2!$A$2:$G$498,1,FALSE))</f>
        <v/>
      </c>
      <c r="Z455" s="5" t="str">
        <f>IF(ISERROR(VLOOKUP($X455,Лист2!$A$2:$G$498,5,FALSE)),"",VLOOKUP($X455,Лист2!$A$2:$G$498,5,FALSE))</f>
        <v/>
      </c>
      <c r="AA455" s="5" t="str">
        <f>IF(ISERROR(VLOOKUP($X455,Лист2!$A$2:$G$498,6,FALSE)),"",VLOOKUP($X455,Лист2!$A$2:$G$498,6,FALSE))</f>
        <v/>
      </c>
      <c r="AB455" s="5" t="str">
        <f>IF(ISERROR(VLOOKUP($X455,Лист2!$A$2:$G$498,7,FALSE)),"",VLOOKUP($X455,Лист2!$A$2:$G$498,7,FALSE))</f>
        <v/>
      </c>
    </row>
    <row r="456" spans="1:28" x14ac:dyDescent="0.25">
      <c r="A456" s="5" t="str">
        <f>IF(ISBLANK(Лист1!A456),"",Лист1!A456)</f>
        <v/>
      </c>
      <c r="B456" s="5" t="str">
        <f>IF(ISBLANK(Лист1!B456),"",Лист1!B456)</f>
        <v/>
      </c>
      <c r="C456" s="5" t="str">
        <f>IF(ISBLANK(Лист1!C456),"",Лист1!C456)</f>
        <v/>
      </c>
      <c r="D456" s="5" t="str">
        <f>IF(ISBLANK(Лист1!D456),"",Лист1!D456)</f>
        <v/>
      </c>
      <c r="E456" s="5" t="str">
        <f>IF(ISBLANK(Лист1!E456),"",Лист1!E456)</f>
        <v/>
      </c>
      <c r="F456" s="5" t="str">
        <f>IF(ISBLANK(Лист1!F456),"",Лист1!F456)</f>
        <v/>
      </c>
      <c r="G456" s="5" t="str">
        <f>IF(ISBLANK(Лист1!G456),"",Лист1!G456)</f>
        <v/>
      </c>
      <c r="H456" s="5" t="str">
        <f>IF(ISBLANK(Лист1!H456),"",Лист1!H456)</f>
        <v/>
      </c>
      <c r="I456" s="5" t="str">
        <f>IF(ISBLANK(Лист1!I456),"",Лист1!I456)</f>
        <v/>
      </c>
      <c r="J456" s="5" t="str">
        <f>IF(ISBLANK(Лист1!J456),"",Лист1!J456)</f>
        <v/>
      </c>
      <c r="K456" s="5" t="str">
        <f>IF(ISBLANK(Лист1!K456),"",Лист1!K456)</f>
        <v/>
      </c>
      <c r="L456" s="5" t="str">
        <f>IF(ISBLANK(Лист1!L456),"",Лист1!L456)</f>
        <v/>
      </c>
      <c r="M456" s="5" t="str">
        <f>IF(ISBLANK(Лист1!M456),"",Лист1!M456)</f>
        <v/>
      </c>
      <c r="N456" s="5" t="str">
        <f>IF(ISBLANK(Лист1!N456),"",Лист1!N456)</f>
        <v/>
      </c>
      <c r="O456" s="5" t="str">
        <f>IF(ISBLANK(Лист1!O456),"",Лист1!O456)</f>
        <v/>
      </c>
      <c r="P456" s="5" t="str">
        <f>IF(ISBLANK(Лист1!P456),"",Лист1!P456)</f>
        <v/>
      </c>
      <c r="Q456" s="5" t="str">
        <f>IF(ISBLANK(Лист1!Q456),"",Лист1!Q456)</f>
        <v/>
      </c>
      <c r="R456" s="5" t="str">
        <f>IF(ISBLANK(Лист1!R456),"",Лист1!R456)</f>
        <v/>
      </c>
      <c r="S456" s="5" t="str">
        <f>IF(ISBLANK(Лист1!S456),"",Лист1!S456)</f>
        <v/>
      </c>
      <c r="T456" s="5" t="str">
        <f>IF(ISBLANK(Лист1!T456),"",Лист1!T456)</f>
        <v/>
      </c>
      <c r="U456" s="5" t="str">
        <f>IF(ISBLANK(Лист1!U456),"",Лист1!U456)</f>
        <v/>
      </c>
      <c r="V456" s="5" t="str">
        <f>IF(ISBLANK(Лист1!V456),"",Лист1!V456)</f>
        <v/>
      </c>
      <c r="W456" s="5" t="str">
        <f>IF(ISBLANK(Лист1!W456),"",Лист1!W456)</f>
        <v/>
      </c>
      <c r="X456" s="5" t="str">
        <f>IF(ISBLANK(Лист1!X456),"",Лист1!X456)</f>
        <v/>
      </c>
      <c r="Y456" s="5" t="str">
        <f>IF(ISERROR(VLOOKUP($X456,Лист2!$A$2:$G$498,1,FALSE)),"",VLOOKUP($X456,Лист2!$A$2:$G$498,1,FALSE))</f>
        <v/>
      </c>
      <c r="Z456" s="5" t="str">
        <f>IF(ISERROR(VLOOKUP($X456,Лист2!$A$2:$G$498,5,FALSE)),"",VLOOKUP($X456,Лист2!$A$2:$G$498,5,FALSE))</f>
        <v/>
      </c>
      <c r="AA456" s="5" t="str">
        <f>IF(ISERROR(VLOOKUP($X456,Лист2!$A$2:$G$498,6,FALSE)),"",VLOOKUP($X456,Лист2!$A$2:$G$498,6,FALSE))</f>
        <v/>
      </c>
      <c r="AB456" s="5" t="str">
        <f>IF(ISERROR(VLOOKUP($X456,Лист2!$A$2:$G$498,7,FALSE)),"",VLOOKUP($X456,Лист2!$A$2:$G$498,7,FALSE))</f>
        <v/>
      </c>
    </row>
    <row r="457" spans="1:28" x14ac:dyDescent="0.25">
      <c r="A457" s="5" t="str">
        <f>IF(ISBLANK(Лист1!A457),"",Лист1!A457)</f>
        <v/>
      </c>
      <c r="B457" s="5" t="str">
        <f>IF(ISBLANK(Лист1!B457),"",Лист1!B457)</f>
        <v/>
      </c>
      <c r="C457" s="5" t="str">
        <f>IF(ISBLANK(Лист1!C457),"",Лист1!C457)</f>
        <v/>
      </c>
      <c r="D457" s="5" t="str">
        <f>IF(ISBLANK(Лист1!D457),"",Лист1!D457)</f>
        <v/>
      </c>
      <c r="E457" s="5" t="str">
        <f>IF(ISBLANK(Лист1!E457),"",Лист1!E457)</f>
        <v/>
      </c>
      <c r="F457" s="5" t="str">
        <f>IF(ISBLANK(Лист1!F457),"",Лист1!F457)</f>
        <v/>
      </c>
      <c r="G457" s="5" t="str">
        <f>IF(ISBLANK(Лист1!G457),"",Лист1!G457)</f>
        <v/>
      </c>
      <c r="H457" s="5" t="str">
        <f>IF(ISBLANK(Лист1!H457),"",Лист1!H457)</f>
        <v/>
      </c>
      <c r="I457" s="5" t="str">
        <f>IF(ISBLANK(Лист1!I457),"",Лист1!I457)</f>
        <v/>
      </c>
      <c r="J457" s="5" t="str">
        <f>IF(ISBLANK(Лист1!J457),"",Лист1!J457)</f>
        <v/>
      </c>
      <c r="K457" s="5" t="str">
        <f>IF(ISBLANK(Лист1!K457),"",Лист1!K457)</f>
        <v/>
      </c>
      <c r="L457" s="5" t="str">
        <f>IF(ISBLANK(Лист1!L457),"",Лист1!L457)</f>
        <v/>
      </c>
      <c r="M457" s="5" t="str">
        <f>IF(ISBLANK(Лист1!M457),"",Лист1!M457)</f>
        <v/>
      </c>
      <c r="N457" s="5" t="str">
        <f>IF(ISBLANK(Лист1!N457),"",Лист1!N457)</f>
        <v/>
      </c>
      <c r="O457" s="5" t="str">
        <f>IF(ISBLANK(Лист1!O457),"",Лист1!O457)</f>
        <v/>
      </c>
      <c r="P457" s="5" t="str">
        <f>IF(ISBLANK(Лист1!P457),"",Лист1!P457)</f>
        <v/>
      </c>
      <c r="Q457" s="5" t="str">
        <f>IF(ISBLANK(Лист1!Q457),"",Лист1!Q457)</f>
        <v/>
      </c>
      <c r="R457" s="5" t="str">
        <f>IF(ISBLANK(Лист1!R457),"",Лист1!R457)</f>
        <v/>
      </c>
      <c r="S457" s="5" t="str">
        <f>IF(ISBLANK(Лист1!S457),"",Лист1!S457)</f>
        <v/>
      </c>
      <c r="T457" s="5" t="str">
        <f>IF(ISBLANK(Лист1!T457),"",Лист1!T457)</f>
        <v/>
      </c>
      <c r="U457" s="5" t="str">
        <f>IF(ISBLANK(Лист1!U457),"",Лист1!U457)</f>
        <v/>
      </c>
      <c r="V457" s="5" t="str">
        <f>IF(ISBLANK(Лист1!V457),"",Лист1!V457)</f>
        <v/>
      </c>
      <c r="W457" s="5" t="str">
        <f>IF(ISBLANK(Лист1!W457),"",Лист1!W457)</f>
        <v/>
      </c>
      <c r="X457" s="5" t="str">
        <f>IF(ISBLANK(Лист1!X457),"",Лист1!X457)</f>
        <v/>
      </c>
      <c r="Y457" s="5" t="str">
        <f>IF(ISERROR(VLOOKUP($X457,Лист2!$A$2:$G$498,1,FALSE)),"",VLOOKUP($X457,Лист2!$A$2:$G$498,1,FALSE))</f>
        <v/>
      </c>
      <c r="Z457" s="5" t="str">
        <f>IF(ISERROR(VLOOKUP($X457,Лист2!$A$2:$G$498,5,FALSE)),"",VLOOKUP($X457,Лист2!$A$2:$G$498,5,FALSE))</f>
        <v/>
      </c>
      <c r="AA457" s="5" t="str">
        <f>IF(ISERROR(VLOOKUP($X457,Лист2!$A$2:$G$498,6,FALSE)),"",VLOOKUP($X457,Лист2!$A$2:$G$498,6,FALSE))</f>
        <v/>
      </c>
      <c r="AB457" s="5" t="str">
        <f>IF(ISERROR(VLOOKUP($X457,Лист2!$A$2:$G$498,7,FALSE)),"",VLOOKUP($X457,Лист2!$A$2:$G$498,7,FALSE))</f>
        <v/>
      </c>
    </row>
    <row r="458" spans="1:28" x14ac:dyDescent="0.25">
      <c r="A458" s="5" t="str">
        <f>IF(ISBLANK(Лист1!A458),"",Лист1!A458)</f>
        <v/>
      </c>
      <c r="B458" s="5" t="str">
        <f>IF(ISBLANK(Лист1!B458),"",Лист1!B458)</f>
        <v/>
      </c>
      <c r="C458" s="5" t="str">
        <f>IF(ISBLANK(Лист1!C458),"",Лист1!C458)</f>
        <v/>
      </c>
      <c r="D458" s="5" t="str">
        <f>IF(ISBLANK(Лист1!D458),"",Лист1!D458)</f>
        <v/>
      </c>
      <c r="E458" s="5" t="str">
        <f>IF(ISBLANK(Лист1!E458),"",Лист1!E458)</f>
        <v/>
      </c>
      <c r="F458" s="5" t="str">
        <f>IF(ISBLANK(Лист1!F458),"",Лист1!F458)</f>
        <v/>
      </c>
      <c r="G458" s="5" t="str">
        <f>IF(ISBLANK(Лист1!G458),"",Лист1!G458)</f>
        <v/>
      </c>
      <c r="H458" s="5" t="str">
        <f>IF(ISBLANK(Лист1!H458),"",Лист1!H458)</f>
        <v/>
      </c>
      <c r="I458" s="5" t="str">
        <f>IF(ISBLANK(Лист1!I458),"",Лист1!I458)</f>
        <v/>
      </c>
      <c r="J458" s="5" t="str">
        <f>IF(ISBLANK(Лист1!J458),"",Лист1!J458)</f>
        <v/>
      </c>
      <c r="K458" s="5" t="str">
        <f>IF(ISBLANK(Лист1!K458),"",Лист1!K458)</f>
        <v/>
      </c>
      <c r="L458" s="5" t="str">
        <f>IF(ISBLANK(Лист1!L458),"",Лист1!L458)</f>
        <v/>
      </c>
      <c r="M458" s="5" t="str">
        <f>IF(ISBLANK(Лист1!M458),"",Лист1!M458)</f>
        <v/>
      </c>
      <c r="N458" s="5" t="str">
        <f>IF(ISBLANK(Лист1!N458),"",Лист1!N458)</f>
        <v/>
      </c>
      <c r="O458" s="5" t="str">
        <f>IF(ISBLANK(Лист1!O458),"",Лист1!O458)</f>
        <v/>
      </c>
      <c r="P458" s="5" t="str">
        <f>IF(ISBLANK(Лист1!P458),"",Лист1!P458)</f>
        <v/>
      </c>
      <c r="Q458" s="5" t="str">
        <f>IF(ISBLANK(Лист1!Q458),"",Лист1!Q458)</f>
        <v/>
      </c>
      <c r="R458" s="5" t="str">
        <f>IF(ISBLANK(Лист1!R458),"",Лист1!R458)</f>
        <v/>
      </c>
      <c r="S458" s="5" t="str">
        <f>IF(ISBLANK(Лист1!S458),"",Лист1!S458)</f>
        <v/>
      </c>
      <c r="T458" s="5" t="str">
        <f>IF(ISBLANK(Лист1!T458),"",Лист1!T458)</f>
        <v/>
      </c>
      <c r="U458" s="5" t="str">
        <f>IF(ISBLANK(Лист1!U458),"",Лист1!U458)</f>
        <v/>
      </c>
      <c r="V458" s="5" t="str">
        <f>IF(ISBLANK(Лист1!V458),"",Лист1!V458)</f>
        <v/>
      </c>
      <c r="W458" s="5" t="str">
        <f>IF(ISBLANK(Лист1!W458),"",Лист1!W458)</f>
        <v/>
      </c>
      <c r="X458" s="5" t="str">
        <f>IF(ISBLANK(Лист1!X458),"",Лист1!X458)</f>
        <v/>
      </c>
      <c r="Y458" s="5" t="str">
        <f>IF(ISERROR(VLOOKUP($X458,Лист2!$A$2:$G$498,1,FALSE)),"",VLOOKUP($X458,Лист2!$A$2:$G$498,1,FALSE))</f>
        <v/>
      </c>
      <c r="Z458" s="5" t="str">
        <f>IF(ISERROR(VLOOKUP($X458,Лист2!$A$2:$G$498,5,FALSE)),"",VLOOKUP($X458,Лист2!$A$2:$G$498,5,FALSE))</f>
        <v/>
      </c>
      <c r="AA458" s="5" t="str">
        <f>IF(ISERROR(VLOOKUP($X458,Лист2!$A$2:$G$498,6,FALSE)),"",VLOOKUP($X458,Лист2!$A$2:$G$498,6,FALSE))</f>
        <v/>
      </c>
      <c r="AB458" s="5" t="str">
        <f>IF(ISERROR(VLOOKUP($X458,Лист2!$A$2:$G$498,7,FALSE)),"",VLOOKUP($X458,Лист2!$A$2:$G$498,7,FALSE))</f>
        <v/>
      </c>
    </row>
    <row r="459" spans="1:28" x14ac:dyDescent="0.25">
      <c r="A459" s="5" t="str">
        <f>IF(ISBLANK(Лист1!A459),"",Лист1!A459)</f>
        <v/>
      </c>
      <c r="B459" s="5" t="str">
        <f>IF(ISBLANK(Лист1!B459),"",Лист1!B459)</f>
        <v/>
      </c>
      <c r="C459" s="5" t="str">
        <f>IF(ISBLANK(Лист1!C459),"",Лист1!C459)</f>
        <v/>
      </c>
      <c r="D459" s="5" t="str">
        <f>IF(ISBLANK(Лист1!D459),"",Лист1!D459)</f>
        <v/>
      </c>
      <c r="E459" s="5" t="str">
        <f>IF(ISBLANK(Лист1!E459),"",Лист1!E459)</f>
        <v/>
      </c>
      <c r="F459" s="5" t="str">
        <f>IF(ISBLANK(Лист1!F459),"",Лист1!F459)</f>
        <v/>
      </c>
      <c r="G459" s="5" t="str">
        <f>IF(ISBLANK(Лист1!G459),"",Лист1!G459)</f>
        <v/>
      </c>
      <c r="H459" s="5" t="str">
        <f>IF(ISBLANK(Лист1!H459),"",Лист1!H459)</f>
        <v/>
      </c>
      <c r="I459" s="5" t="str">
        <f>IF(ISBLANK(Лист1!I459),"",Лист1!I459)</f>
        <v/>
      </c>
      <c r="J459" s="5" t="str">
        <f>IF(ISBLANK(Лист1!J459),"",Лист1!J459)</f>
        <v/>
      </c>
      <c r="K459" s="5" t="str">
        <f>IF(ISBLANK(Лист1!K459),"",Лист1!K459)</f>
        <v/>
      </c>
      <c r="L459" s="5" t="str">
        <f>IF(ISBLANK(Лист1!L459),"",Лист1!L459)</f>
        <v/>
      </c>
      <c r="M459" s="5" t="str">
        <f>IF(ISBLANK(Лист1!M459),"",Лист1!M459)</f>
        <v/>
      </c>
      <c r="N459" s="5" t="str">
        <f>IF(ISBLANK(Лист1!N459),"",Лист1!N459)</f>
        <v/>
      </c>
      <c r="O459" s="5" t="str">
        <f>IF(ISBLANK(Лист1!O459),"",Лист1!O459)</f>
        <v/>
      </c>
      <c r="P459" s="5" t="str">
        <f>IF(ISBLANK(Лист1!P459),"",Лист1!P459)</f>
        <v/>
      </c>
      <c r="Q459" s="5" t="str">
        <f>IF(ISBLANK(Лист1!Q459),"",Лист1!Q459)</f>
        <v/>
      </c>
      <c r="R459" s="5" t="str">
        <f>IF(ISBLANK(Лист1!R459),"",Лист1!R459)</f>
        <v/>
      </c>
      <c r="S459" s="5" t="str">
        <f>IF(ISBLANK(Лист1!S459),"",Лист1!S459)</f>
        <v/>
      </c>
      <c r="T459" s="5" t="str">
        <f>IF(ISBLANK(Лист1!T459),"",Лист1!T459)</f>
        <v/>
      </c>
      <c r="U459" s="5" t="str">
        <f>IF(ISBLANK(Лист1!U459),"",Лист1!U459)</f>
        <v/>
      </c>
      <c r="V459" s="5" t="str">
        <f>IF(ISBLANK(Лист1!V459),"",Лист1!V459)</f>
        <v/>
      </c>
      <c r="W459" s="5" t="str">
        <f>IF(ISBLANK(Лист1!W459),"",Лист1!W459)</f>
        <v/>
      </c>
      <c r="X459" s="5" t="str">
        <f>IF(ISBLANK(Лист1!X459),"",Лист1!X459)</f>
        <v/>
      </c>
      <c r="Y459" s="5" t="str">
        <f>IF(ISERROR(VLOOKUP($X459,Лист2!$A$2:$G$498,1,FALSE)),"",VLOOKUP($X459,Лист2!$A$2:$G$498,1,FALSE))</f>
        <v/>
      </c>
      <c r="Z459" s="5" t="str">
        <f>IF(ISERROR(VLOOKUP($X459,Лист2!$A$2:$G$498,5,FALSE)),"",VLOOKUP($X459,Лист2!$A$2:$G$498,5,FALSE))</f>
        <v/>
      </c>
      <c r="AA459" s="5" t="str">
        <f>IF(ISERROR(VLOOKUP($X459,Лист2!$A$2:$G$498,6,FALSE)),"",VLOOKUP($X459,Лист2!$A$2:$G$498,6,FALSE))</f>
        <v/>
      </c>
      <c r="AB459" s="5" t="str">
        <f>IF(ISERROR(VLOOKUP($X459,Лист2!$A$2:$G$498,7,FALSE)),"",VLOOKUP($X459,Лист2!$A$2:$G$498,7,FALSE))</f>
        <v/>
      </c>
    </row>
    <row r="460" spans="1:28" x14ac:dyDescent="0.25">
      <c r="A460" s="5" t="str">
        <f>IF(ISBLANK(Лист1!A460),"",Лист1!A460)</f>
        <v/>
      </c>
      <c r="B460" s="5" t="str">
        <f>IF(ISBLANK(Лист1!B460),"",Лист1!B460)</f>
        <v/>
      </c>
      <c r="C460" s="5" t="str">
        <f>IF(ISBLANK(Лист1!C460),"",Лист1!C460)</f>
        <v/>
      </c>
      <c r="D460" s="5" t="str">
        <f>IF(ISBLANK(Лист1!D460),"",Лист1!D460)</f>
        <v/>
      </c>
      <c r="E460" s="5" t="str">
        <f>IF(ISBLANK(Лист1!E460),"",Лист1!E460)</f>
        <v/>
      </c>
      <c r="F460" s="5" t="str">
        <f>IF(ISBLANK(Лист1!F460),"",Лист1!F460)</f>
        <v/>
      </c>
      <c r="G460" s="5" t="str">
        <f>IF(ISBLANK(Лист1!G460),"",Лист1!G460)</f>
        <v/>
      </c>
      <c r="H460" s="5" t="str">
        <f>IF(ISBLANK(Лист1!H460),"",Лист1!H460)</f>
        <v/>
      </c>
      <c r="I460" s="5" t="str">
        <f>IF(ISBLANK(Лист1!I460),"",Лист1!I460)</f>
        <v/>
      </c>
      <c r="J460" s="5" t="str">
        <f>IF(ISBLANK(Лист1!J460),"",Лист1!J460)</f>
        <v/>
      </c>
      <c r="K460" s="5" t="str">
        <f>IF(ISBLANK(Лист1!K460),"",Лист1!K460)</f>
        <v/>
      </c>
      <c r="L460" s="5" t="str">
        <f>IF(ISBLANK(Лист1!L460),"",Лист1!L460)</f>
        <v/>
      </c>
      <c r="M460" s="5" t="str">
        <f>IF(ISBLANK(Лист1!M460),"",Лист1!M460)</f>
        <v/>
      </c>
      <c r="N460" s="5" t="str">
        <f>IF(ISBLANK(Лист1!N460),"",Лист1!N460)</f>
        <v/>
      </c>
      <c r="O460" s="5" t="str">
        <f>IF(ISBLANK(Лист1!O460),"",Лист1!O460)</f>
        <v/>
      </c>
      <c r="P460" s="5" t="str">
        <f>IF(ISBLANK(Лист1!P460),"",Лист1!P460)</f>
        <v/>
      </c>
      <c r="Q460" s="5" t="str">
        <f>IF(ISBLANK(Лист1!Q460),"",Лист1!Q460)</f>
        <v/>
      </c>
      <c r="R460" s="5" t="str">
        <f>IF(ISBLANK(Лист1!R460),"",Лист1!R460)</f>
        <v/>
      </c>
      <c r="S460" s="5" t="str">
        <f>IF(ISBLANK(Лист1!S460),"",Лист1!S460)</f>
        <v/>
      </c>
      <c r="T460" s="5" t="str">
        <f>IF(ISBLANK(Лист1!T460),"",Лист1!T460)</f>
        <v/>
      </c>
      <c r="U460" s="5" t="str">
        <f>IF(ISBLANK(Лист1!U460),"",Лист1!U460)</f>
        <v/>
      </c>
      <c r="V460" s="5" t="str">
        <f>IF(ISBLANK(Лист1!V460),"",Лист1!V460)</f>
        <v/>
      </c>
      <c r="W460" s="5" t="str">
        <f>IF(ISBLANK(Лист1!W460),"",Лист1!W460)</f>
        <v/>
      </c>
      <c r="X460" s="5" t="str">
        <f>IF(ISBLANK(Лист1!X460),"",Лист1!X460)</f>
        <v/>
      </c>
      <c r="Y460" s="5" t="str">
        <f>IF(ISERROR(VLOOKUP($X460,Лист2!$A$2:$G$498,1,FALSE)),"",VLOOKUP($X460,Лист2!$A$2:$G$498,1,FALSE))</f>
        <v/>
      </c>
      <c r="Z460" s="5" t="str">
        <f>IF(ISERROR(VLOOKUP($X460,Лист2!$A$2:$G$498,5,FALSE)),"",VLOOKUP($X460,Лист2!$A$2:$G$498,5,FALSE))</f>
        <v/>
      </c>
      <c r="AA460" s="5" t="str">
        <f>IF(ISERROR(VLOOKUP($X460,Лист2!$A$2:$G$498,6,FALSE)),"",VLOOKUP($X460,Лист2!$A$2:$G$498,6,FALSE))</f>
        <v/>
      </c>
      <c r="AB460" s="5" t="str">
        <f>IF(ISERROR(VLOOKUP($X460,Лист2!$A$2:$G$498,7,FALSE)),"",VLOOKUP($X460,Лист2!$A$2:$G$498,7,FALSE))</f>
        <v/>
      </c>
    </row>
    <row r="461" spans="1:28" x14ac:dyDescent="0.25">
      <c r="A461" s="5" t="str">
        <f>IF(ISBLANK(Лист1!A461),"",Лист1!A461)</f>
        <v/>
      </c>
      <c r="B461" s="5" t="str">
        <f>IF(ISBLANK(Лист1!B461),"",Лист1!B461)</f>
        <v/>
      </c>
      <c r="C461" s="5" t="str">
        <f>IF(ISBLANK(Лист1!C461),"",Лист1!C461)</f>
        <v/>
      </c>
      <c r="D461" s="5" t="str">
        <f>IF(ISBLANK(Лист1!D461),"",Лист1!D461)</f>
        <v/>
      </c>
      <c r="E461" s="5" t="str">
        <f>IF(ISBLANK(Лист1!E461),"",Лист1!E461)</f>
        <v/>
      </c>
      <c r="F461" s="5" t="str">
        <f>IF(ISBLANK(Лист1!F461),"",Лист1!F461)</f>
        <v/>
      </c>
      <c r="G461" s="5" t="str">
        <f>IF(ISBLANK(Лист1!G461),"",Лист1!G461)</f>
        <v/>
      </c>
      <c r="H461" s="5" t="str">
        <f>IF(ISBLANK(Лист1!H461),"",Лист1!H461)</f>
        <v/>
      </c>
      <c r="I461" s="5" t="str">
        <f>IF(ISBLANK(Лист1!I461),"",Лист1!I461)</f>
        <v/>
      </c>
      <c r="J461" s="5" t="str">
        <f>IF(ISBLANK(Лист1!J461),"",Лист1!J461)</f>
        <v/>
      </c>
      <c r="K461" s="5" t="str">
        <f>IF(ISBLANK(Лист1!K461),"",Лист1!K461)</f>
        <v/>
      </c>
      <c r="L461" s="5" t="str">
        <f>IF(ISBLANK(Лист1!L461),"",Лист1!L461)</f>
        <v/>
      </c>
      <c r="M461" s="5" t="str">
        <f>IF(ISBLANK(Лист1!M461),"",Лист1!M461)</f>
        <v/>
      </c>
      <c r="N461" s="5" t="str">
        <f>IF(ISBLANK(Лист1!N461),"",Лист1!N461)</f>
        <v/>
      </c>
      <c r="O461" s="5" t="str">
        <f>IF(ISBLANK(Лист1!O461),"",Лист1!O461)</f>
        <v/>
      </c>
      <c r="P461" s="5" t="str">
        <f>IF(ISBLANK(Лист1!P461),"",Лист1!P461)</f>
        <v/>
      </c>
      <c r="Q461" s="5" t="str">
        <f>IF(ISBLANK(Лист1!Q461),"",Лист1!Q461)</f>
        <v/>
      </c>
      <c r="R461" s="5" t="str">
        <f>IF(ISBLANK(Лист1!R461),"",Лист1!R461)</f>
        <v/>
      </c>
      <c r="S461" s="5" t="str">
        <f>IF(ISBLANK(Лист1!S461),"",Лист1!S461)</f>
        <v/>
      </c>
      <c r="T461" s="5" t="str">
        <f>IF(ISBLANK(Лист1!T461),"",Лист1!T461)</f>
        <v/>
      </c>
      <c r="U461" s="5" t="str">
        <f>IF(ISBLANK(Лист1!U461),"",Лист1!U461)</f>
        <v/>
      </c>
      <c r="V461" s="5" t="str">
        <f>IF(ISBLANK(Лист1!V461),"",Лист1!V461)</f>
        <v/>
      </c>
      <c r="W461" s="5" t="str">
        <f>IF(ISBLANK(Лист1!W461),"",Лист1!W461)</f>
        <v/>
      </c>
      <c r="X461" s="5" t="str">
        <f>IF(ISBLANK(Лист1!X461),"",Лист1!X461)</f>
        <v/>
      </c>
      <c r="Y461" s="5" t="str">
        <f>IF(ISERROR(VLOOKUP($X461,Лист2!$A$2:$G$498,1,FALSE)),"",VLOOKUP($X461,Лист2!$A$2:$G$498,1,FALSE))</f>
        <v/>
      </c>
      <c r="Z461" s="5" t="str">
        <f>IF(ISERROR(VLOOKUP($X461,Лист2!$A$2:$G$498,5,FALSE)),"",VLOOKUP($X461,Лист2!$A$2:$G$498,5,FALSE))</f>
        <v/>
      </c>
      <c r="AA461" s="5" t="str">
        <f>IF(ISERROR(VLOOKUP($X461,Лист2!$A$2:$G$498,6,FALSE)),"",VLOOKUP($X461,Лист2!$A$2:$G$498,6,FALSE))</f>
        <v/>
      </c>
      <c r="AB461" s="5" t="str">
        <f>IF(ISERROR(VLOOKUP($X461,Лист2!$A$2:$G$498,7,FALSE)),"",VLOOKUP($X461,Лист2!$A$2:$G$498,7,FALSE))</f>
        <v/>
      </c>
    </row>
    <row r="462" spans="1:28" x14ac:dyDescent="0.25">
      <c r="A462" s="5" t="str">
        <f>IF(ISBLANK(Лист1!A462),"",Лист1!A462)</f>
        <v/>
      </c>
      <c r="B462" s="5" t="str">
        <f>IF(ISBLANK(Лист1!B462),"",Лист1!B462)</f>
        <v/>
      </c>
      <c r="C462" s="5" t="str">
        <f>IF(ISBLANK(Лист1!C462),"",Лист1!C462)</f>
        <v/>
      </c>
      <c r="D462" s="5" t="str">
        <f>IF(ISBLANK(Лист1!D462),"",Лист1!D462)</f>
        <v/>
      </c>
      <c r="E462" s="5" t="str">
        <f>IF(ISBLANK(Лист1!E462),"",Лист1!E462)</f>
        <v/>
      </c>
      <c r="F462" s="5" t="str">
        <f>IF(ISBLANK(Лист1!F462),"",Лист1!F462)</f>
        <v/>
      </c>
      <c r="G462" s="5" t="str">
        <f>IF(ISBLANK(Лист1!G462),"",Лист1!G462)</f>
        <v/>
      </c>
      <c r="H462" s="5" t="str">
        <f>IF(ISBLANK(Лист1!H462),"",Лист1!H462)</f>
        <v/>
      </c>
      <c r="I462" s="5" t="str">
        <f>IF(ISBLANK(Лист1!I462),"",Лист1!I462)</f>
        <v/>
      </c>
      <c r="J462" s="5" t="str">
        <f>IF(ISBLANK(Лист1!J462),"",Лист1!J462)</f>
        <v/>
      </c>
      <c r="K462" s="5" t="str">
        <f>IF(ISBLANK(Лист1!K462),"",Лист1!K462)</f>
        <v/>
      </c>
      <c r="L462" s="5" t="str">
        <f>IF(ISBLANK(Лист1!L462),"",Лист1!L462)</f>
        <v/>
      </c>
      <c r="M462" s="5" t="str">
        <f>IF(ISBLANK(Лист1!M462),"",Лист1!M462)</f>
        <v/>
      </c>
      <c r="N462" s="5" t="str">
        <f>IF(ISBLANK(Лист1!N462),"",Лист1!N462)</f>
        <v/>
      </c>
      <c r="O462" s="5" t="str">
        <f>IF(ISBLANK(Лист1!O462),"",Лист1!O462)</f>
        <v/>
      </c>
      <c r="P462" s="5" t="str">
        <f>IF(ISBLANK(Лист1!P462),"",Лист1!P462)</f>
        <v/>
      </c>
      <c r="Q462" s="5" t="str">
        <f>IF(ISBLANK(Лист1!Q462),"",Лист1!Q462)</f>
        <v/>
      </c>
      <c r="R462" s="5" t="str">
        <f>IF(ISBLANK(Лист1!R462),"",Лист1!R462)</f>
        <v/>
      </c>
      <c r="S462" s="5" t="str">
        <f>IF(ISBLANK(Лист1!S462),"",Лист1!S462)</f>
        <v/>
      </c>
      <c r="T462" s="5" t="str">
        <f>IF(ISBLANK(Лист1!T462),"",Лист1!T462)</f>
        <v/>
      </c>
      <c r="U462" s="5" t="str">
        <f>IF(ISBLANK(Лист1!U462),"",Лист1!U462)</f>
        <v/>
      </c>
      <c r="V462" s="5" t="str">
        <f>IF(ISBLANK(Лист1!V462),"",Лист1!V462)</f>
        <v/>
      </c>
      <c r="W462" s="5" t="str">
        <f>IF(ISBLANK(Лист1!W462),"",Лист1!W462)</f>
        <v/>
      </c>
      <c r="X462" s="5" t="str">
        <f>IF(ISBLANK(Лист1!X462),"",Лист1!X462)</f>
        <v/>
      </c>
      <c r="Y462" s="5" t="str">
        <f>IF(ISERROR(VLOOKUP($X462,Лист2!$A$2:$G$498,1,FALSE)),"",VLOOKUP($X462,Лист2!$A$2:$G$498,1,FALSE))</f>
        <v/>
      </c>
      <c r="Z462" s="5" t="str">
        <f>IF(ISERROR(VLOOKUP($X462,Лист2!$A$2:$G$498,5,FALSE)),"",VLOOKUP($X462,Лист2!$A$2:$G$498,5,FALSE))</f>
        <v/>
      </c>
      <c r="AA462" s="5" t="str">
        <f>IF(ISERROR(VLOOKUP($X462,Лист2!$A$2:$G$498,6,FALSE)),"",VLOOKUP($X462,Лист2!$A$2:$G$498,6,FALSE))</f>
        <v/>
      </c>
      <c r="AB462" s="5" t="str">
        <f>IF(ISERROR(VLOOKUP($X462,Лист2!$A$2:$G$498,7,FALSE)),"",VLOOKUP($X462,Лист2!$A$2:$G$498,7,FALSE))</f>
        <v/>
      </c>
    </row>
    <row r="463" spans="1:28" x14ac:dyDescent="0.25">
      <c r="A463" s="5" t="str">
        <f>IF(ISBLANK(Лист1!A463),"",Лист1!A463)</f>
        <v/>
      </c>
      <c r="B463" s="5" t="str">
        <f>IF(ISBLANK(Лист1!B463),"",Лист1!B463)</f>
        <v/>
      </c>
      <c r="C463" s="5" t="str">
        <f>IF(ISBLANK(Лист1!C463),"",Лист1!C463)</f>
        <v/>
      </c>
      <c r="D463" s="5" t="str">
        <f>IF(ISBLANK(Лист1!D463),"",Лист1!D463)</f>
        <v/>
      </c>
      <c r="E463" s="5" t="str">
        <f>IF(ISBLANK(Лист1!E463),"",Лист1!E463)</f>
        <v/>
      </c>
      <c r="F463" s="5" t="str">
        <f>IF(ISBLANK(Лист1!F463),"",Лист1!F463)</f>
        <v/>
      </c>
      <c r="G463" s="5" t="str">
        <f>IF(ISBLANK(Лист1!G463),"",Лист1!G463)</f>
        <v/>
      </c>
      <c r="H463" s="5" t="str">
        <f>IF(ISBLANK(Лист1!H463),"",Лист1!H463)</f>
        <v/>
      </c>
      <c r="I463" s="5" t="str">
        <f>IF(ISBLANK(Лист1!I463),"",Лист1!I463)</f>
        <v/>
      </c>
      <c r="J463" s="5" t="str">
        <f>IF(ISBLANK(Лист1!J463),"",Лист1!J463)</f>
        <v/>
      </c>
      <c r="K463" s="5" t="str">
        <f>IF(ISBLANK(Лист1!K463),"",Лист1!K463)</f>
        <v/>
      </c>
      <c r="L463" s="5" t="str">
        <f>IF(ISBLANK(Лист1!L463),"",Лист1!L463)</f>
        <v/>
      </c>
      <c r="M463" s="5" t="str">
        <f>IF(ISBLANK(Лист1!M463),"",Лист1!M463)</f>
        <v/>
      </c>
      <c r="N463" s="5" t="str">
        <f>IF(ISBLANK(Лист1!N463),"",Лист1!N463)</f>
        <v/>
      </c>
      <c r="O463" s="5" t="str">
        <f>IF(ISBLANK(Лист1!O463),"",Лист1!O463)</f>
        <v/>
      </c>
      <c r="P463" s="5" t="str">
        <f>IF(ISBLANK(Лист1!P463),"",Лист1!P463)</f>
        <v/>
      </c>
      <c r="Q463" s="5" t="str">
        <f>IF(ISBLANK(Лист1!Q463),"",Лист1!Q463)</f>
        <v/>
      </c>
      <c r="R463" s="5" t="str">
        <f>IF(ISBLANK(Лист1!R463),"",Лист1!R463)</f>
        <v/>
      </c>
      <c r="S463" s="5" t="str">
        <f>IF(ISBLANK(Лист1!S463),"",Лист1!S463)</f>
        <v/>
      </c>
      <c r="T463" s="5" t="str">
        <f>IF(ISBLANK(Лист1!T463),"",Лист1!T463)</f>
        <v/>
      </c>
      <c r="U463" s="5" t="str">
        <f>IF(ISBLANK(Лист1!U463),"",Лист1!U463)</f>
        <v/>
      </c>
      <c r="V463" s="5" t="str">
        <f>IF(ISBLANK(Лист1!V463),"",Лист1!V463)</f>
        <v/>
      </c>
      <c r="W463" s="5" t="str">
        <f>IF(ISBLANK(Лист1!W463),"",Лист1!W463)</f>
        <v/>
      </c>
      <c r="X463" s="5" t="str">
        <f>IF(ISBLANK(Лист1!X463),"",Лист1!X463)</f>
        <v/>
      </c>
      <c r="Y463" s="5" t="str">
        <f>IF(ISERROR(VLOOKUP($X463,Лист2!$A$2:$G$498,1,FALSE)),"",VLOOKUP($X463,Лист2!$A$2:$G$498,1,FALSE))</f>
        <v/>
      </c>
      <c r="Z463" s="5" t="str">
        <f>IF(ISERROR(VLOOKUP($X463,Лист2!$A$2:$G$498,5,FALSE)),"",VLOOKUP($X463,Лист2!$A$2:$G$498,5,FALSE))</f>
        <v/>
      </c>
      <c r="AA463" s="5" t="str">
        <f>IF(ISERROR(VLOOKUP($X463,Лист2!$A$2:$G$498,6,FALSE)),"",VLOOKUP($X463,Лист2!$A$2:$G$498,6,FALSE))</f>
        <v/>
      </c>
      <c r="AB463" s="5" t="str">
        <f>IF(ISERROR(VLOOKUP($X463,Лист2!$A$2:$G$498,7,FALSE)),"",VLOOKUP($X463,Лист2!$A$2:$G$498,7,FALSE))</f>
        <v/>
      </c>
    </row>
    <row r="464" spans="1:28" x14ac:dyDescent="0.25">
      <c r="A464" s="5" t="str">
        <f>IF(ISBLANK(Лист1!A464),"",Лист1!A464)</f>
        <v/>
      </c>
      <c r="B464" s="5" t="str">
        <f>IF(ISBLANK(Лист1!B464),"",Лист1!B464)</f>
        <v/>
      </c>
      <c r="C464" s="5" t="str">
        <f>IF(ISBLANK(Лист1!C464),"",Лист1!C464)</f>
        <v/>
      </c>
      <c r="D464" s="5" t="str">
        <f>IF(ISBLANK(Лист1!D464),"",Лист1!D464)</f>
        <v/>
      </c>
      <c r="E464" s="5" t="str">
        <f>IF(ISBLANK(Лист1!E464),"",Лист1!E464)</f>
        <v/>
      </c>
      <c r="F464" s="5" t="str">
        <f>IF(ISBLANK(Лист1!F464),"",Лист1!F464)</f>
        <v/>
      </c>
      <c r="G464" s="5" t="str">
        <f>IF(ISBLANK(Лист1!G464),"",Лист1!G464)</f>
        <v/>
      </c>
      <c r="H464" s="5" t="str">
        <f>IF(ISBLANK(Лист1!H464),"",Лист1!H464)</f>
        <v/>
      </c>
      <c r="I464" s="5" t="str">
        <f>IF(ISBLANK(Лист1!I464),"",Лист1!I464)</f>
        <v/>
      </c>
      <c r="J464" s="5" t="str">
        <f>IF(ISBLANK(Лист1!J464),"",Лист1!J464)</f>
        <v/>
      </c>
      <c r="K464" s="5" t="str">
        <f>IF(ISBLANK(Лист1!K464),"",Лист1!K464)</f>
        <v/>
      </c>
      <c r="L464" s="5" t="str">
        <f>IF(ISBLANK(Лист1!L464),"",Лист1!L464)</f>
        <v/>
      </c>
      <c r="M464" s="5" t="str">
        <f>IF(ISBLANK(Лист1!M464),"",Лист1!M464)</f>
        <v/>
      </c>
      <c r="N464" s="5" t="str">
        <f>IF(ISBLANK(Лист1!N464),"",Лист1!N464)</f>
        <v/>
      </c>
      <c r="O464" s="5" t="str">
        <f>IF(ISBLANK(Лист1!O464),"",Лист1!O464)</f>
        <v/>
      </c>
      <c r="P464" s="5" t="str">
        <f>IF(ISBLANK(Лист1!P464),"",Лист1!P464)</f>
        <v/>
      </c>
      <c r="Q464" s="5" t="str">
        <f>IF(ISBLANK(Лист1!Q464),"",Лист1!Q464)</f>
        <v/>
      </c>
      <c r="R464" s="5" t="str">
        <f>IF(ISBLANK(Лист1!R464),"",Лист1!R464)</f>
        <v/>
      </c>
      <c r="S464" s="5" t="str">
        <f>IF(ISBLANK(Лист1!S464),"",Лист1!S464)</f>
        <v/>
      </c>
      <c r="T464" s="5" t="str">
        <f>IF(ISBLANK(Лист1!T464),"",Лист1!T464)</f>
        <v/>
      </c>
      <c r="U464" s="5" t="str">
        <f>IF(ISBLANK(Лист1!U464),"",Лист1!U464)</f>
        <v/>
      </c>
      <c r="V464" s="5" t="str">
        <f>IF(ISBLANK(Лист1!V464),"",Лист1!V464)</f>
        <v/>
      </c>
      <c r="W464" s="5" t="str">
        <f>IF(ISBLANK(Лист1!W464),"",Лист1!W464)</f>
        <v/>
      </c>
      <c r="X464" s="5" t="str">
        <f>IF(ISBLANK(Лист1!X464),"",Лист1!X464)</f>
        <v/>
      </c>
      <c r="Y464" s="5" t="str">
        <f>IF(ISERROR(VLOOKUP($X464,Лист2!$A$2:$G$498,1,FALSE)),"",VLOOKUP($X464,Лист2!$A$2:$G$498,1,FALSE))</f>
        <v/>
      </c>
      <c r="Z464" s="5" t="str">
        <f>IF(ISERROR(VLOOKUP($X464,Лист2!$A$2:$G$498,5,FALSE)),"",VLOOKUP($X464,Лист2!$A$2:$G$498,5,FALSE))</f>
        <v/>
      </c>
      <c r="AA464" s="5" t="str">
        <f>IF(ISERROR(VLOOKUP($X464,Лист2!$A$2:$G$498,6,FALSE)),"",VLOOKUP($X464,Лист2!$A$2:$G$498,6,FALSE))</f>
        <v/>
      </c>
      <c r="AB464" s="5" t="str">
        <f>IF(ISERROR(VLOOKUP($X464,Лист2!$A$2:$G$498,7,FALSE)),"",VLOOKUP($X464,Лист2!$A$2:$G$498,7,FALSE))</f>
        <v/>
      </c>
    </row>
    <row r="465" spans="1:28" x14ac:dyDescent="0.25">
      <c r="A465" s="5" t="str">
        <f>IF(ISBLANK(Лист1!A465),"",Лист1!A465)</f>
        <v/>
      </c>
      <c r="B465" s="5" t="str">
        <f>IF(ISBLANK(Лист1!B465),"",Лист1!B465)</f>
        <v/>
      </c>
      <c r="C465" s="5" t="str">
        <f>IF(ISBLANK(Лист1!C465),"",Лист1!C465)</f>
        <v/>
      </c>
      <c r="D465" s="5" t="str">
        <f>IF(ISBLANK(Лист1!D465),"",Лист1!D465)</f>
        <v/>
      </c>
      <c r="E465" s="5" t="str">
        <f>IF(ISBLANK(Лист1!E465),"",Лист1!E465)</f>
        <v/>
      </c>
      <c r="F465" s="5" t="str">
        <f>IF(ISBLANK(Лист1!F465),"",Лист1!F465)</f>
        <v/>
      </c>
      <c r="G465" s="5" t="str">
        <f>IF(ISBLANK(Лист1!G465),"",Лист1!G465)</f>
        <v/>
      </c>
      <c r="H465" s="5" t="str">
        <f>IF(ISBLANK(Лист1!H465),"",Лист1!H465)</f>
        <v/>
      </c>
      <c r="I465" s="5" t="str">
        <f>IF(ISBLANK(Лист1!I465),"",Лист1!I465)</f>
        <v/>
      </c>
      <c r="J465" s="5" t="str">
        <f>IF(ISBLANK(Лист1!J465),"",Лист1!J465)</f>
        <v/>
      </c>
      <c r="K465" s="5" t="str">
        <f>IF(ISBLANK(Лист1!K465),"",Лист1!K465)</f>
        <v/>
      </c>
      <c r="L465" s="5" t="str">
        <f>IF(ISBLANK(Лист1!L465),"",Лист1!L465)</f>
        <v/>
      </c>
      <c r="M465" s="5" t="str">
        <f>IF(ISBLANK(Лист1!M465),"",Лист1!M465)</f>
        <v/>
      </c>
      <c r="N465" s="5" t="str">
        <f>IF(ISBLANK(Лист1!N465),"",Лист1!N465)</f>
        <v/>
      </c>
      <c r="O465" s="5" t="str">
        <f>IF(ISBLANK(Лист1!O465),"",Лист1!O465)</f>
        <v/>
      </c>
      <c r="P465" s="5" t="str">
        <f>IF(ISBLANK(Лист1!P465),"",Лист1!P465)</f>
        <v/>
      </c>
      <c r="Q465" s="5" t="str">
        <f>IF(ISBLANK(Лист1!Q465),"",Лист1!Q465)</f>
        <v/>
      </c>
      <c r="R465" s="5" t="str">
        <f>IF(ISBLANK(Лист1!R465),"",Лист1!R465)</f>
        <v/>
      </c>
      <c r="S465" s="5" t="str">
        <f>IF(ISBLANK(Лист1!S465),"",Лист1!S465)</f>
        <v/>
      </c>
      <c r="T465" s="5" t="str">
        <f>IF(ISBLANK(Лист1!T465),"",Лист1!T465)</f>
        <v/>
      </c>
      <c r="U465" s="5" t="str">
        <f>IF(ISBLANK(Лист1!U465),"",Лист1!U465)</f>
        <v/>
      </c>
      <c r="V465" s="5" t="str">
        <f>IF(ISBLANK(Лист1!V465),"",Лист1!V465)</f>
        <v/>
      </c>
      <c r="W465" s="5" t="str">
        <f>IF(ISBLANK(Лист1!W465),"",Лист1!W465)</f>
        <v/>
      </c>
      <c r="X465" s="5" t="str">
        <f>IF(ISBLANK(Лист1!X465),"",Лист1!X465)</f>
        <v/>
      </c>
      <c r="Y465" s="5" t="str">
        <f>IF(ISERROR(VLOOKUP($X465,Лист2!$A$2:$G$498,1,FALSE)),"",VLOOKUP($X465,Лист2!$A$2:$G$498,1,FALSE))</f>
        <v/>
      </c>
      <c r="Z465" s="5" t="str">
        <f>IF(ISERROR(VLOOKUP($X465,Лист2!$A$2:$G$498,5,FALSE)),"",VLOOKUP($X465,Лист2!$A$2:$G$498,5,FALSE))</f>
        <v/>
      </c>
      <c r="AA465" s="5" t="str">
        <f>IF(ISERROR(VLOOKUP($X465,Лист2!$A$2:$G$498,6,FALSE)),"",VLOOKUP($X465,Лист2!$A$2:$G$498,6,FALSE))</f>
        <v/>
      </c>
      <c r="AB465" s="5" t="str">
        <f>IF(ISERROR(VLOOKUP($X465,Лист2!$A$2:$G$498,7,FALSE)),"",VLOOKUP($X465,Лист2!$A$2:$G$498,7,FALSE))</f>
        <v/>
      </c>
    </row>
    <row r="466" spans="1:28" x14ac:dyDescent="0.25">
      <c r="A466" s="5" t="str">
        <f>IF(ISBLANK(Лист1!A466),"",Лист1!A466)</f>
        <v/>
      </c>
      <c r="B466" s="5" t="str">
        <f>IF(ISBLANK(Лист1!B466),"",Лист1!B466)</f>
        <v/>
      </c>
      <c r="C466" s="5" t="str">
        <f>IF(ISBLANK(Лист1!C466),"",Лист1!C466)</f>
        <v/>
      </c>
      <c r="D466" s="5" t="str">
        <f>IF(ISBLANK(Лист1!D466),"",Лист1!D466)</f>
        <v/>
      </c>
      <c r="E466" s="5" t="str">
        <f>IF(ISBLANK(Лист1!E466),"",Лист1!E466)</f>
        <v/>
      </c>
      <c r="F466" s="5" t="str">
        <f>IF(ISBLANK(Лист1!F466),"",Лист1!F466)</f>
        <v/>
      </c>
      <c r="G466" s="5" t="str">
        <f>IF(ISBLANK(Лист1!G466),"",Лист1!G466)</f>
        <v/>
      </c>
      <c r="H466" s="5" t="str">
        <f>IF(ISBLANK(Лист1!H466),"",Лист1!H466)</f>
        <v/>
      </c>
      <c r="I466" s="5" t="str">
        <f>IF(ISBLANK(Лист1!I466),"",Лист1!I466)</f>
        <v/>
      </c>
      <c r="J466" s="5" t="str">
        <f>IF(ISBLANK(Лист1!J466),"",Лист1!J466)</f>
        <v/>
      </c>
      <c r="K466" s="5" t="str">
        <f>IF(ISBLANK(Лист1!K466),"",Лист1!K466)</f>
        <v/>
      </c>
      <c r="L466" s="5" t="str">
        <f>IF(ISBLANK(Лист1!L466),"",Лист1!L466)</f>
        <v/>
      </c>
      <c r="M466" s="5" t="str">
        <f>IF(ISBLANK(Лист1!M466),"",Лист1!M466)</f>
        <v/>
      </c>
      <c r="N466" s="5" t="str">
        <f>IF(ISBLANK(Лист1!N466),"",Лист1!N466)</f>
        <v/>
      </c>
      <c r="O466" s="5" t="str">
        <f>IF(ISBLANK(Лист1!O466),"",Лист1!O466)</f>
        <v/>
      </c>
      <c r="P466" s="5" t="str">
        <f>IF(ISBLANK(Лист1!P466),"",Лист1!P466)</f>
        <v/>
      </c>
      <c r="Q466" s="5" t="str">
        <f>IF(ISBLANK(Лист1!Q466),"",Лист1!Q466)</f>
        <v/>
      </c>
      <c r="R466" s="5" t="str">
        <f>IF(ISBLANK(Лист1!R466),"",Лист1!R466)</f>
        <v/>
      </c>
      <c r="S466" s="5" t="str">
        <f>IF(ISBLANK(Лист1!S466),"",Лист1!S466)</f>
        <v/>
      </c>
      <c r="T466" s="5" t="str">
        <f>IF(ISBLANK(Лист1!T466),"",Лист1!T466)</f>
        <v/>
      </c>
      <c r="U466" s="5" t="str">
        <f>IF(ISBLANK(Лист1!U466),"",Лист1!U466)</f>
        <v/>
      </c>
      <c r="V466" s="5" t="str">
        <f>IF(ISBLANK(Лист1!V466),"",Лист1!V466)</f>
        <v/>
      </c>
      <c r="W466" s="5" t="str">
        <f>IF(ISBLANK(Лист1!W466),"",Лист1!W466)</f>
        <v/>
      </c>
      <c r="X466" s="5" t="str">
        <f>IF(ISBLANK(Лист1!X466),"",Лист1!X466)</f>
        <v/>
      </c>
      <c r="Y466" s="5" t="str">
        <f>IF(ISERROR(VLOOKUP($X466,Лист2!$A$2:$G$498,1,FALSE)),"",VLOOKUP($X466,Лист2!$A$2:$G$498,1,FALSE))</f>
        <v/>
      </c>
      <c r="Z466" s="5" t="str">
        <f>IF(ISERROR(VLOOKUP($X466,Лист2!$A$2:$G$498,5,FALSE)),"",VLOOKUP($X466,Лист2!$A$2:$G$498,5,FALSE))</f>
        <v/>
      </c>
      <c r="AA466" s="5" t="str">
        <f>IF(ISERROR(VLOOKUP($X466,Лист2!$A$2:$G$498,6,FALSE)),"",VLOOKUP($X466,Лист2!$A$2:$G$498,6,FALSE))</f>
        <v/>
      </c>
      <c r="AB466" s="5" t="str">
        <f>IF(ISERROR(VLOOKUP($X466,Лист2!$A$2:$G$498,7,FALSE)),"",VLOOKUP($X466,Лист2!$A$2:$G$498,7,FALSE))</f>
        <v/>
      </c>
    </row>
    <row r="467" spans="1:28" x14ac:dyDescent="0.25">
      <c r="A467" s="5" t="str">
        <f>IF(ISBLANK(Лист1!A467),"",Лист1!A467)</f>
        <v/>
      </c>
      <c r="B467" s="5" t="str">
        <f>IF(ISBLANK(Лист1!B467),"",Лист1!B467)</f>
        <v/>
      </c>
      <c r="C467" s="5" t="str">
        <f>IF(ISBLANK(Лист1!C467),"",Лист1!C467)</f>
        <v/>
      </c>
      <c r="D467" s="5" t="str">
        <f>IF(ISBLANK(Лист1!D467),"",Лист1!D467)</f>
        <v/>
      </c>
      <c r="E467" s="5" t="str">
        <f>IF(ISBLANK(Лист1!E467),"",Лист1!E467)</f>
        <v/>
      </c>
      <c r="F467" s="5" t="str">
        <f>IF(ISBLANK(Лист1!F467),"",Лист1!F467)</f>
        <v/>
      </c>
      <c r="G467" s="5" t="str">
        <f>IF(ISBLANK(Лист1!G467),"",Лист1!G467)</f>
        <v/>
      </c>
      <c r="H467" s="5" t="str">
        <f>IF(ISBLANK(Лист1!H467),"",Лист1!H467)</f>
        <v/>
      </c>
      <c r="I467" s="5" t="str">
        <f>IF(ISBLANK(Лист1!I467),"",Лист1!I467)</f>
        <v/>
      </c>
      <c r="J467" s="5" t="str">
        <f>IF(ISBLANK(Лист1!J467),"",Лист1!J467)</f>
        <v/>
      </c>
      <c r="K467" s="5" t="str">
        <f>IF(ISBLANK(Лист1!K467),"",Лист1!K467)</f>
        <v/>
      </c>
      <c r="L467" s="5" t="str">
        <f>IF(ISBLANK(Лист1!L467),"",Лист1!L467)</f>
        <v/>
      </c>
      <c r="M467" s="5" t="str">
        <f>IF(ISBLANK(Лист1!M467),"",Лист1!M467)</f>
        <v/>
      </c>
      <c r="N467" s="5" t="str">
        <f>IF(ISBLANK(Лист1!N467),"",Лист1!N467)</f>
        <v/>
      </c>
      <c r="O467" s="5" t="str">
        <f>IF(ISBLANK(Лист1!O467),"",Лист1!O467)</f>
        <v/>
      </c>
      <c r="P467" s="5" t="str">
        <f>IF(ISBLANK(Лист1!P467),"",Лист1!P467)</f>
        <v/>
      </c>
      <c r="Q467" s="5" t="str">
        <f>IF(ISBLANK(Лист1!Q467),"",Лист1!Q467)</f>
        <v/>
      </c>
      <c r="R467" s="5" t="str">
        <f>IF(ISBLANK(Лист1!R467),"",Лист1!R467)</f>
        <v/>
      </c>
      <c r="S467" s="5" t="str">
        <f>IF(ISBLANK(Лист1!S467),"",Лист1!S467)</f>
        <v/>
      </c>
      <c r="T467" s="5" t="str">
        <f>IF(ISBLANK(Лист1!T467),"",Лист1!T467)</f>
        <v/>
      </c>
      <c r="U467" s="5" t="str">
        <f>IF(ISBLANK(Лист1!U467),"",Лист1!U467)</f>
        <v/>
      </c>
      <c r="V467" s="5" t="str">
        <f>IF(ISBLANK(Лист1!V467),"",Лист1!V467)</f>
        <v/>
      </c>
      <c r="W467" s="5" t="str">
        <f>IF(ISBLANK(Лист1!W467),"",Лист1!W467)</f>
        <v/>
      </c>
      <c r="X467" s="5" t="str">
        <f>IF(ISBLANK(Лист1!X467),"",Лист1!X467)</f>
        <v/>
      </c>
      <c r="Y467" s="5" t="str">
        <f>IF(ISERROR(VLOOKUP($X467,Лист2!$A$2:$G$498,1,FALSE)),"",VLOOKUP($X467,Лист2!$A$2:$G$498,1,FALSE))</f>
        <v/>
      </c>
      <c r="Z467" s="5" t="str">
        <f>IF(ISERROR(VLOOKUP($X467,Лист2!$A$2:$G$498,5,FALSE)),"",VLOOKUP($X467,Лист2!$A$2:$G$498,5,FALSE))</f>
        <v/>
      </c>
      <c r="AA467" s="5" t="str">
        <f>IF(ISERROR(VLOOKUP($X467,Лист2!$A$2:$G$498,6,FALSE)),"",VLOOKUP($X467,Лист2!$A$2:$G$498,6,FALSE))</f>
        <v/>
      </c>
      <c r="AB467" s="5" t="str">
        <f>IF(ISERROR(VLOOKUP($X467,Лист2!$A$2:$G$498,7,FALSE)),"",VLOOKUP($X467,Лист2!$A$2:$G$498,7,FALSE))</f>
        <v/>
      </c>
    </row>
    <row r="468" spans="1:28" x14ac:dyDescent="0.25">
      <c r="A468" s="5" t="str">
        <f>IF(ISBLANK(Лист1!A468),"",Лист1!A468)</f>
        <v/>
      </c>
      <c r="B468" s="5" t="str">
        <f>IF(ISBLANK(Лист1!B468),"",Лист1!B468)</f>
        <v/>
      </c>
      <c r="C468" s="5" t="str">
        <f>IF(ISBLANK(Лист1!C468),"",Лист1!C468)</f>
        <v/>
      </c>
      <c r="D468" s="5" t="str">
        <f>IF(ISBLANK(Лист1!D468),"",Лист1!D468)</f>
        <v/>
      </c>
      <c r="E468" s="5" t="str">
        <f>IF(ISBLANK(Лист1!E468),"",Лист1!E468)</f>
        <v/>
      </c>
      <c r="F468" s="5" t="str">
        <f>IF(ISBLANK(Лист1!F468),"",Лист1!F468)</f>
        <v/>
      </c>
      <c r="G468" s="5" t="str">
        <f>IF(ISBLANK(Лист1!G468),"",Лист1!G468)</f>
        <v/>
      </c>
      <c r="H468" s="5" t="str">
        <f>IF(ISBLANK(Лист1!H468),"",Лист1!H468)</f>
        <v/>
      </c>
      <c r="I468" s="5" t="str">
        <f>IF(ISBLANK(Лист1!I468),"",Лист1!I468)</f>
        <v/>
      </c>
      <c r="J468" s="5" t="str">
        <f>IF(ISBLANK(Лист1!J468),"",Лист1!J468)</f>
        <v/>
      </c>
      <c r="K468" s="5" t="str">
        <f>IF(ISBLANK(Лист1!K468),"",Лист1!K468)</f>
        <v/>
      </c>
      <c r="L468" s="5" t="str">
        <f>IF(ISBLANK(Лист1!L468),"",Лист1!L468)</f>
        <v/>
      </c>
      <c r="M468" s="5" t="str">
        <f>IF(ISBLANK(Лист1!M468),"",Лист1!M468)</f>
        <v/>
      </c>
      <c r="N468" s="5" t="str">
        <f>IF(ISBLANK(Лист1!N468),"",Лист1!N468)</f>
        <v/>
      </c>
      <c r="O468" s="5" t="str">
        <f>IF(ISBLANK(Лист1!O468),"",Лист1!O468)</f>
        <v/>
      </c>
      <c r="P468" s="5" t="str">
        <f>IF(ISBLANK(Лист1!P468),"",Лист1!P468)</f>
        <v/>
      </c>
      <c r="Q468" s="5" t="str">
        <f>IF(ISBLANK(Лист1!Q468),"",Лист1!Q468)</f>
        <v/>
      </c>
      <c r="R468" s="5" t="str">
        <f>IF(ISBLANK(Лист1!R468),"",Лист1!R468)</f>
        <v/>
      </c>
      <c r="S468" s="5" t="str">
        <f>IF(ISBLANK(Лист1!S468),"",Лист1!S468)</f>
        <v/>
      </c>
      <c r="T468" s="5" t="str">
        <f>IF(ISBLANK(Лист1!T468),"",Лист1!T468)</f>
        <v/>
      </c>
      <c r="U468" s="5" t="str">
        <f>IF(ISBLANK(Лист1!U468),"",Лист1!U468)</f>
        <v/>
      </c>
      <c r="V468" s="5" t="str">
        <f>IF(ISBLANK(Лист1!V468),"",Лист1!V468)</f>
        <v/>
      </c>
      <c r="W468" s="5" t="str">
        <f>IF(ISBLANK(Лист1!W468),"",Лист1!W468)</f>
        <v/>
      </c>
      <c r="X468" s="5" t="str">
        <f>IF(ISBLANK(Лист1!X468),"",Лист1!X468)</f>
        <v/>
      </c>
      <c r="Y468" s="5" t="str">
        <f>IF(ISERROR(VLOOKUP($X468,Лист2!$A$2:$G$498,1,FALSE)),"",VLOOKUP($X468,Лист2!$A$2:$G$498,1,FALSE))</f>
        <v/>
      </c>
      <c r="Z468" s="5" t="str">
        <f>IF(ISERROR(VLOOKUP($X468,Лист2!$A$2:$G$498,5,FALSE)),"",VLOOKUP($X468,Лист2!$A$2:$G$498,5,FALSE))</f>
        <v/>
      </c>
      <c r="AA468" s="5" t="str">
        <f>IF(ISERROR(VLOOKUP($X468,Лист2!$A$2:$G$498,6,FALSE)),"",VLOOKUP($X468,Лист2!$A$2:$G$498,6,FALSE))</f>
        <v/>
      </c>
      <c r="AB468" s="5" t="str">
        <f>IF(ISERROR(VLOOKUP($X468,Лист2!$A$2:$G$498,7,FALSE)),"",VLOOKUP($X468,Лист2!$A$2:$G$498,7,FALSE))</f>
        <v/>
      </c>
    </row>
    <row r="469" spans="1:28" x14ac:dyDescent="0.25">
      <c r="A469" s="5" t="str">
        <f>IF(ISBLANK(Лист1!A469),"",Лист1!A469)</f>
        <v/>
      </c>
      <c r="B469" s="5" t="str">
        <f>IF(ISBLANK(Лист1!B469),"",Лист1!B469)</f>
        <v/>
      </c>
      <c r="C469" s="5" t="str">
        <f>IF(ISBLANK(Лист1!C469),"",Лист1!C469)</f>
        <v/>
      </c>
      <c r="D469" s="5" t="str">
        <f>IF(ISBLANK(Лист1!D469),"",Лист1!D469)</f>
        <v/>
      </c>
      <c r="E469" s="5" t="str">
        <f>IF(ISBLANK(Лист1!E469),"",Лист1!E469)</f>
        <v/>
      </c>
      <c r="F469" s="5" t="str">
        <f>IF(ISBLANK(Лист1!F469),"",Лист1!F469)</f>
        <v/>
      </c>
      <c r="G469" s="5" t="str">
        <f>IF(ISBLANK(Лист1!G469),"",Лист1!G469)</f>
        <v/>
      </c>
      <c r="H469" s="5" t="str">
        <f>IF(ISBLANK(Лист1!H469),"",Лист1!H469)</f>
        <v/>
      </c>
      <c r="I469" s="5" t="str">
        <f>IF(ISBLANK(Лист1!I469),"",Лист1!I469)</f>
        <v/>
      </c>
      <c r="J469" s="5" t="str">
        <f>IF(ISBLANK(Лист1!J469),"",Лист1!J469)</f>
        <v/>
      </c>
      <c r="K469" s="5" t="str">
        <f>IF(ISBLANK(Лист1!K469),"",Лист1!K469)</f>
        <v/>
      </c>
      <c r="L469" s="5" t="str">
        <f>IF(ISBLANK(Лист1!L469),"",Лист1!L469)</f>
        <v/>
      </c>
      <c r="M469" s="5" t="str">
        <f>IF(ISBLANK(Лист1!M469),"",Лист1!M469)</f>
        <v/>
      </c>
      <c r="N469" s="5" t="str">
        <f>IF(ISBLANK(Лист1!N469),"",Лист1!N469)</f>
        <v/>
      </c>
      <c r="O469" s="5" t="str">
        <f>IF(ISBLANK(Лист1!O469),"",Лист1!O469)</f>
        <v/>
      </c>
      <c r="P469" s="5" t="str">
        <f>IF(ISBLANK(Лист1!P469),"",Лист1!P469)</f>
        <v/>
      </c>
      <c r="Q469" s="5" t="str">
        <f>IF(ISBLANK(Лист1!Q469),"",Лист1!Q469)</f>
        <v/>
      </c>
      <c r="R469" s="5" t="str">
        <f>IF(ISBLANK(Лист1!R469),"",Лист1!R469)</f>
        <v/>
      </c>
      <c r="S469" s="5" t="str">
        <f>IF(ISBLANK(Лист1!S469),"",Лист1!S469)</f>
        <v/>
      </c>
      <c r="T469" s="5" t="str">
        <f>IF(ISBLANK(Лист1!T469),"",Лист1!T469)</f>
        <v/>
      </c>
      <c r="U469" s="5" t="str">
        <f>IF(ISBLANK(Лист1!U469),"",Лист1!U469)</f>
        <v/>
      </c>
      <c r="V469" s="5" t="str">
        <f>IF(ISBLANK(Лист1!V469),"",Лист1!V469)</f>
        <v/>
      </c>
      <c r="W469" s="5" t="str">
        <f>IF(ISBLANK(Лист1!W469),"",Лист1!W469)</f>
        <v/>
      </c>
      <c r="X469" s="5" t="str">
        <f>IF(ISBLANK(Лист1!X469),"",Лист1!X469)</f>
        <v/>
      </c>
      <c r="Y469" s="5" t="str">
        <f>IF(ISERROR(VLOOKUP($X469,Лист2!$A$2:$G$498,1,FALSE)),"",VLOOKUP($X469,Лист2!$A$2:$G$498,1,FALSE))</f>
        <v/>
      </c>
      <c r="Z469" s="5" t="str">
        <f>IF(ISERROR(VLOOKUP($X469,Лист2!$A$2:$G$498,5,FALSE)),"",VLOOKUP($X469,Лист2!$A$2:$G$498,5,FALSE))</f>
        <v/>
      </c>
      <c r="AA469" s="5" t="str">
        <f>IF(ISERROR(VLOOKUP($X469,Лист2!$A$2:$G$498,6,FALSE)),"",VLOOKUP($X469,Лист2!$A$2:$G$498,6,FALSE))</f>
        <v/>
      </c>
      <c r="AB469" s="5" t="str">
        <f>IF(ISERROR(VLOOKUP($X469,Лист2!$A$2:$G$498,7,FALSE)),"",VLOOKUP($X469,Лист2!$A$2:$G$498,7,FALSE))</f>
        <v/>
      </c>
    </row>
    <row r="470" spans="1:28" x14ac:dyDescent="0.25">
      <c r="A470" s="5" t="str">
        <f>IF(ISBLANK(Лист1!A470),"",Лист1!A470)</f>
        <v/>
      </c>
      <c r="B470" s="5" t="str">
        <f>IF(ISBLANK(Лист1!B470),"",Лист1!B470)</f>
        <v/>
      </c>
      <c r="C470" s="5" t="str">
        <f>IF(ISBLANK(Лист1!C470),"",Лист1!C470)</f>
        <v/>
      </c>
      <c r="D470" s="5" t="str">
        <f>IF(ISBLANK(Лист1!D470),"",Лист1!D470)</f>
        <v/>
      </c>
      <c r="E470" s="5" t="str">
        <f>IF(ISBLANK(Лист1!E470),"",Лист1!E470)</f>
        <v/>
      </c>
      <c r="F470" s="5" t="str">
        <f>IF(ISBLANK(Лист1!F470),"",Лист1!F470)</f>
        <v/>
      </c>
      <c r="G470" s="5" t="str">
        <f>IF(ISBLANK(Лист1!G470),"",Лист1!G470)</f>
        <v/>
      </c>
      <c r="H470" s="5" t="str">
        <f>IF(ISBLANK(Лист1!H470),"",Лист1!H470)</f>
        <v/>
      </c>
      <c r="I470" s="5" t="str">
        <f>IF(ISBLANK(Лист1!I470),"",Лист1!I470)</f>
        <v/>
      </c>
      <c r="J470" s="5" t="str">
        <f>IF(ISBLANK(Лист1!J470),"",Лист1!J470)</f>
        <v/>
      </c>
      <c r="K470" s="5" t="str">
        <f>IF(ISBLANK(Лист1!K470),"",Лист1!K470)</f>
        <v/>
      </c>
      <c r="L470" s="5" t="str">
        <f>IF(ISBLANK(Лист1!L470),"",Лист1!L470)</f>
        <v/>
      </c>
      <c r="M470" s="5" t="str">
        <f>IF(ISBLANK(Лист1!M470),"",Лист1!M470)</f>
        <v/>
      </c>
      <c r="N470" s="5" t="str">
        <f>IF(ISBLANK(Лист1!N470),"",Лист1!N470)</f>
        <v/>
      </c>
      <c r="O470" s="5" t="str">
        <f>IF(ISBLANK(Лист1!O470),"",Лист1!O470)</f>
        <v/>
      </c>
      <c r="P470" s="5" t="str">
        <f>IF(ISBLANK(Лист1!P470),"",Лист1!P470)</f>
        <v/>
      </c>
      <c r="Q470" s="5" t="str">
        <f>IF(ISBLANK(Лист1!Q470),"",Лист1!Q470)</f>
        <v/>
      </c>
      <c r="R470" s="5" t="str">
        <f>IF(ISBLANK(Лист1!R470),"",Лист1!R470)</f>
        <v/>
      </c>
      <c r="S470" s="5" t="str">
        <f>IF(ISBLANK(Лист1!S470),"",Лист1!S470)</f>
        <v/>
      </c>
      <c r="T470" s="5" t="str">
        <f>IF(ISBLANK(Лист1!T470),"",Лист1!T470)</f>
        <v/>
      </c>
      <c r="U470" s="5" t="str">
        <f>IF(ISBLANK(Лист1!U470),"",Лист1!U470)</f>
        <v/>
      </c>
      <c r="V470" s="5" t="str">
        <f>IF(ISBLANK(Лист1!V470),"",Лист1!V470)</f>
        <v/>
      </c>
      <c r="W470" s="5" t="str">
        <f>IF(ISBLANK(Лист1!W470),"",Лист1!W470)</f>
        <v/>
      </c>
      <c r="X470" s="5" t="str">
        <f>IF(ISBLANK(Лист1!X470),"",Лист1!X470)</f>
        <v/>
      </c>
      <c r="Y470" s="5" t="str">
        <f>IF(ISERROR(VLOOKUP($X470,Лист2!$A$2:$G$498,1,FALSE)),"",VLOOKUP($X470,Лист2!$A$2:$G$498,1,FALSE))</f>
        <v/>
      </c>
      <c r="Z470" s="5" t="str">
        <f>IF(ISERROR(VLOOKUP($X470,Лист2!$A$2:$G$498,5,FALSE)),"",VLOOKUP($X470,Лист2!$A$2:$G$498,5,FALSE))</f>
        <v/>
      </c>
      <c r="AA470" s="5" t="str">
        <f>IF(ISERROR(VLOOKUP($X470,Лист2!$A$2:$G$498,6,FALSE)),"",VLOOKUP($X470,Лист2!$A$2:$G$498,6,FALSE))</f>
        <v/>
      </c>
      <c r="AB470" s="5" t="str">
        <f>IF(ISERROR(VLOOKUP($X470,Лист2!$A$2:$G$498,7,FALSE)),"",VLOOKUP($X470,Лист2!$A$2:$G$498,7,FALSE))</f>
        <v/>
      </c>
    </row>
    <row r="471" spans="1:28" x14ac:dyDescent="0.25">
      <c r="A471" s="5" t="str">
        <f>IF(ISBLANK(Лист1!A471),"",Лист1!A471)</f>
        <v/>
      </c>
      <c r="B471" s="5" t="str">
        <f>IF(ISBLANK(Лист1!B471),"",Лист1!B471)</f>
        <v/>
      </c>
      <c r="C471" s="5" t="str">
        <f>IF(ISBLANK(Лист1!C471),"",Лист1!C471)</f>
        <v/>
      </c>
      <c r="D471" s="5" t="str">
        <f>IF(ISBLANK(Лист1!D471),"",Лист1!D471)</f>
        <v/>
      </c>
      <c r="E471" s="5" t="str">
        <f>IF(ISBLANK(Лист1!E471),"",Лист1!E471)</f>
        <v/>
      </c>
      <c r="F471" s="5" t="str">
        <f>IF(ISBLANK(Лист1!F471),"",Лист1!F471)</f>
        <v/>
      </c>
      <c r="G471" s="5" t="str">
        <f>IF(ISBLANK(Лист1!G471),"",Лист1!G471)</f>
        <v/>
      </c>
      <c r="H471" s="5" t="str">
        <f>IF(ISBLANK(Лист1!H471),"",Лист1!H471)</f>
        <v/>
      </c>
      <c r="I471" s="5" t="str">
        <f>IF(ISBLANK(Лист1!I471),"",Лист1!I471)</f>
        <v/>
      </c>
      <c r="J471" s="5" t="str">
        <f>IF(ISBLANK(Лист1!J471),"",Лист1!J471)</f>
        <v/>
      </c>
      <c r="K471" s="5" t="str">
        <f>IF(ISBLANK(Лист1!K471),"",Лист1!K471)</f>
        <v/>
      </c>
      <c r="L471" s="5" t="str">
        <f>IF(ISBLANK(Лист1!L471),"",Лист1!L471)</f>
        <v/>
      </c>
      <c r="M471" s="5" t="str">
        <f>IF(ISBLANK(Лист1!M471),"",Лист1!M471)</f>
        <v/>
      </c>
      <c r="N471" s="5" t="str">
        <f>IF(ISBLANK(Лист1!N471),"",Лист1!N471)</f>
        <v/>
      </c>
      <c r="O471" s="5" t="str">
        <f>IF(ISBLANK(Лист1!O471),"",Лист1!O471)</f>
        <v/>
      </c>
      <c r="P471" s="5" t="str">
        <f>IF(ISBLANK(Лист1!P471),"",Лист1!P471)</f>
        <v/>
      </c>
      <c r="Q471" s="5" t="str">
        <f>IF(ISBLANK(Лист1!Q471),"",Лист1!Q471)</f>
        <v/>
      </c>
      <c r="R471" s="5" t="str">
        <f>IF(ISBLANK(Лист1!R471),"",Лист1!R471)</f>
        <v/>
      </c>
      <c r="S471" s="5" t="str">
        <f>IF(ISBLANK(Лист1!S471),"",Лист1!S471)</f>
        <v/>
      </c>
      <c r="T471" s="5" t="str">
        <f>IF(ISBLANK(Лист1!T471),"",Лист1!T471)</f>
        <v/>
      </c>
      <c r="U471" s="5" t="str">
        <f>IF(ISBLANK(Лист1!U471),"",Лист1!U471)</f>
        <v/>
      </c>
      <c r="V471" s="5" t="str">
        <f>IF(ISBLANK(Лист1!V471),"",Лист1!V471)</f>
        <v/>
      </c>
      <c r="W471" s="5" t="str">
        <f>IF(ISBLANK(Лист1!W471),"",Лист1!W471)</f>
        <v/>
      </c>
      <c r="X471" s="5" t="str">
        <f>IF(ISBLANK(Лист1!X471),"",Лист1!X471)</f>
        <v/>
      </c>
      <c r="Y471" s="5" t="str">
        <f>IF(ISERROR(VLOOKUP($X471,Лист2!$A$2:$G$498,1,FALSE)),"",VLOOKUP($X471,Лист2!$A$2:$G$498,1,FALSE))</f>
        <v/>
      </c>
      <c r="Z471" s="5" t="str">
        <f>IF(ISERROR(VLOOKUP($X471,Лист2!$A$2:$G$498,5,FALSE)),"",VLOOKUP($X471,Лист2!$A$2:$G$498,5,FALSE))</f>
        <v/>
      </c>
      <c r="AA471" s="5" t="str">
        <f>IF(ISERROR(VLOOKUP($X471,Лист2!$A$2:$G$498,6,FALSE)),"",VLOOKUP($X471,Лист2!$A$2:$G$498,6,FALSE))</f>
        <v/>
      </c>
      <c r="AB471" s="5" t="str">
        <f>IF(ISERROR(VLOOKUP($X471,Лист2!$A$2:$G$498,7,FALSE)),"",VLOOKUP($X471,Лист2!$A$2:$G$498,7,FALSE))</f>
        <v/>
      </c>
    </row>
    <row r="472" spans="1:28" x14ac:dyDescent="0.25">
      <c r="A472" s="5" t="str">
        <f>IF(ISBLANK(Лист1!A472),"",Лист1!A472)</f>
        <v/>
      </c>
      <c r="B472" s="5" t="str">
        <f>IF(ISBLANK(Лист1!B472),"",Лист1!B472)</f>
        <v/>
      </c>
      <c r="C472" s="5" t="str">
        <f>IF(ISBLANK(Лист1!C472),"",Лист1!C472)</f>
        <v/>
      </c>
      <c r="D472" s="5" t="str">
        <f>IF(ISBLANK(Лист1!D472),"",Лист1!D472)</f>
        <v/>
      </c>
      <c r="E472" s="5" t="str">
        <f>IF(ISBLANK(Лист1!E472),"",Лист1!E472)</f>
        <v/>
      </c>
      <c r="F472" s="5" t="str">
        <f>IF(ISBLANK(Лист1!F472),"",Лист1!F472)</f>
        <v/>
      </c>
      <c r="G472" s="5" t="str">
        <f>IF(ISBLANK(Лист1!G472),"",Лист1!G472)</f>
        <v/>
      </c>
      <c r="H472" s="5" t="str">
        <f>IF(ISBLANK(Лист1!H472),"",Лист1!H472)</f>
        <v/>
      </c>
      <c r="I472" s="5" t="str">
        <f>IF(ISBLANK(Лист1!I472),"",Лист1!I472)</f>
        <v/>
      </c>
      <c r="J472" s="5" t="str">
        <f>IF(ISBLANK(Лист1!J472),"",Лист1!J472)</f>
        <v/>
      </c>
      <c r="K472" s="5" t="str">
        <f>IF(ISBLANK(Лист1!K472),"",Лист1!K472)</f>
        <v/>
      </c>
      <c r="L472" s="5" t="str">
        <f>IF(ISBLANK(Лист1!L472),"",Лист1!L472)</f>
        <v/>
      </c>
      <c r="M472" s="5" t="str">
        <f>IF(ISBLANK(Лист1!M472),"",Лист1!M472)</f>
        <v/>
      </c>
      <c r="N472" s="5" t="str">
        <f>IF(ISBLANK(Лист1!N472),"",Лист1!N472)</f>
        <v/>
      </c>
      <c r="O472" s="5" t="str">
        <f>IF(ISBLANK(Лист1!O472),"",Лист1!O472)</f>
        <v/>
      </c>
      <c r="P472" s="5" t="str">
        <f>IF(ISBLANK(Лист1!P472),"",Лист1!P472)</f>
        <v/>
      </c>
      <c r="Q472" s="5" t="str">
        <f>IF(ISBLANK(Лист1!Q472),"",Лист1!Q472)</f>
        <v/>
      </c>
      <c r="R472" s="5" t="str">
        <f>IF(ISBLANK(Лист1!R472),"",Лист1!R472)</f>
        <v/>
      </c>
      <c r="S472" s="5" t="str">
        <f>IF(ISBLANK(Лист1!S472),"",Лист1!S472)</f>
        <v/>
      </c>
      <c r="T472" s="5" t="str">
        <f>IF(ISBLANK(Лист1!T472),"",Лист1!T472)</f>
        <v/>
      </c>
      <c r="U472" s="5" t="str">
        <f>IF(ISBLANK(Лист1!U472),"",Лист1!U472)</f>
        <v/>
      </c>
      <c r="V472" s="5" t="str">
        <f>IF(ISBLANK(Лист1!V472),"",Лист1!V472)</f>
        <v/>
      </c>
      <c r="W472" s="5" t="str">
        <f>IF(ISBLANK(Лист1!W472),"",Лист1!W472)</f>
        <v/>
      </c>
      <c r="X472" s="5" t="str">
        <f>IF(ISBLANK(Лист1!X472),"",Лист1!X472)</f>
        <v/>
      </c>
      <c r="Y472" s="5" t="str">
        <f>IF(ISERROR(VLOOKUP($X472,Лист2!$A$2:$G$498,1,FALSE)),"",VLOOKUP($X472,Лист2!$A$2:$G$498,1,FALSE))</f>
        <v/>
      </c>
      <c r="Z472" s="5" t="str">
        <f>IF(ISERROR(VLOOKUP($X472,Лист2!$A$2:$G$498,5,FALSE)),"",VLOOKUP($X472,Лист2!$A$2:$G$498,5,FALSE))</f>
        <v/>
      </c>
      <c r="AA472" s="5" t="str">
        <f>IF(ISERROR(VLOOKUP($X472,Лист2!$A$2:$G$498,6,FALSE)),"",VLOOKUP($X472,Лист2!$A$2:$G$498,6,FALSE))</f>
        <v/>
      </c>
      <c r="AB472" s="5" t="str">
        <f>IF(ISERROR(VLOOKUP($X472,Лист2!$A$2:$G$498,7,FALSE)),"",VLOOKUP($X472,Лист2!$A$2:$G$498,7,FALSE))</f>
        <v/>
      </c>
    </row>
    <row r="473" spans="1:28" x14ac:dyDescent="0.25">
      <c r="A473" s="5" t="str">
        <f>IF(ISBLANK(Лист1!A473),"",Лист1!A473)</f>
        <v/>
      </c>
      <c r="B473" s="5" t="str">
        <f>IF(ISBLANK(Лист1!B473),"",Лист1!B473)</f>
        <v/>
      </c>
      <c r="C473" s="5" t="str">
        <f>IF(ISBLANK(Лист1!C473),"",Лист1!C473)</f>
        <v/>
      </c>
      <c r="D473" s="5" t="str">
        <f>IF(ISBLANK(Лист1!D473),"",Лист1!D473)</f>
        <v/>
      </c>
      <c r="E473" s="5" t="str">
        <f>IF(ISBLANK(Лист1!E473),"",Лист1!E473)</f>
        <v/>
      </c>
      <c r="F473" s="5" t="str">
        <f>IF(ISBLANK(Лист1!F473),"",Лист1!F473)</f>
        <v/>
      </c>
      <c r="G473" s="5" t="str">
        <f>IF(ISBLANK(Лист1!G473),"",Лист1!G473)</f>
        <v/>
      </c>
      <c r="H473" s="5" t="str">
        <f>IF(ISBLANK(Лист1!H473),"",Лист1!H473)</f>
        <v/>
      </c>
      <c r="I473" s="5" t="str">
        <f>IF(ISBLANK(Лист1!I473),"",Лист1!I473)</f>
        <v/>
      </c>
      <c r="J473" s="5" t="str">
        <f>IF(ISBLANK(Лист1!J473),"",Лист1!J473)</f>
        <v/>
      </c>
      <c r="K473" s="5" t="str">
        <f>IF(ISBLANK(Лист1!K473),"",Лист1!K473)</f>
        <v/>
      </c>
      <c r="L473" s="5" t="str">
        <f>IF(ISBLANK(Лист1!L473),"",Лист1!L473)</f>
        <v/>
      </c>
      <c r="M473" s="5" t="str">
        <f>IF(ISBLANK(Лист1!M473),"",Лист1!M473)</f>
        <v/>
      </c>
      <c r="N473" s="5" t="str">
        <f>IF(ISBLANK(Лист1!N473),"",Лист1!N473)</f>
        <v/>
      </c>
      <c r="O473" s="5" t="str">
        <f>IF(ISBLANK(Лист1!O473),"",Лист1!O473)</f>
        <v/>
      </c>
      <c r="P473" s="5" t="str">
        <f>IF(ISBLANK(Лист1!P473),"",Лист1!P473)</f>
        <v/>
      </c>
      <c r="Q473" s="5" t="str">
        <f>IF(ISBLANK(Лист1!Q473),"",Лист1!Q473)</f>
        <v/>
      </c>
      <c r="R473" s="5" t="str">
        <f>IF(ISBLANK(Лист1!R473),"",Лист1!R473)</f>
        <v/>
      </c>
      <c r="S473" s="5" t="str">
        <f>IF(ISBLANK(Лист1!S473),"",Лист1!S473)</f>
        <v/>
      </c>
      <c r="T473" s="5" t="str">
        <f>IF(ISBLANK(Лист1!T473),"",Лист1!T473)</f>
        <v/>
      </c>
      <c r="U473" s="5" t="str">
        <f>IF(ISBLANK(Лист1!U473),"",Лист1!U473)</f>
        <v/>
      </c>
      <c r="V473" s="5" t="str">
        <f>IF(ISBLANK(Лист1!V473),"",Лист1!V473)</f>
        <v/>
      </c>
      <c r="W473" s="5" t="str">
        <f>IF(ISBLANK(Лист1!W473),"",Лист1!W473)</f>
        <v/>
      </c>
      <c r="X473" s="5" t="str">
        <f>IF(ISBLANK(Лист1!X473),"",Лист1!X473)</f>
        <v/>
      </c>
      <c r="Y473" s="5" t="str">
        <f>IF(ISERROR(VLOOKUP($X473,Лист2!$A$2:$G$498,1,FALSE)),"",VLOOKUP($X473,Лист2!$A$2:$G$498,1,FALSE))</f>
        <v/>
      </c>
      <c r="Z473" s="5" t="str">
        <f>IF(ISERROR(VLOOKUP($X473,Лист2!$A$2:$G$498,5,FALSE)),"",VLOOKUP($X473,Лист2!$A$2:$G$498,5,FALSE))</f>
        <v/>
      </c>
      <c r="AA473" s="5" t="str">
        <f>IF(ISERROR(VLOOKUP($X473,Лист2!$A$2:$G$498,6,FALSE)),"",VLOOKUP($X473,Лист2!$A$2:$G$498,6,FALSE))</f>
        <v/>
      </c>
      <c r="AB473" s="5" t="str">
        <f>IF(ISERROR(VLOOKUP($X473,Лист2!$A$2:$G$498,7,FALSE)),"",VLOOKUP($X473,Лист2!$A$2:$G$498,7,FALSE))</f>
        <v/>
      </c>
    </row>
    <row r="474" spans="1:28" x14ac:dyDescent="0.25">
      <c r="A474" s="5" t="str">
        <f>IF(ISBLANK(Лист1!A474),"",Лист1!A474)</f>
        <v/>
      </c>
      <c r="B474" s="5" t="str">
        <f>IF(ISBLANK(Лист1!B474),"",Лист1!B474)</f>
        <v/>
      </c>
      <c r="C474" s="5" t="str">
        <f>IF(ISBLANK(Лист1!C474),"",Лист1!C474)</f>
        <v/>
      </c>
      <c r="D474" s="5" t="str">
        <f>IF(ISBLANK(Лист1!D474),"",Лист1!D474)</f>
        <v/>
      </c>
      <c r="E474" s="5" t="str">
        <f>IF(ISBLANK(Лист1!E474),"",Лист1!E474)</f>
        <v/>
      </c>
      <c r="F474" s="5" t="str">
        <f>IF(ISBLANK(Лист1!F474),"",Лист1!F474)</f>
        <v/>
      </c>
      <c r="G474" s="5" t="str">
        <f>IF(ISBLANK(Лист1!G474),"",Лист1!G474)</f>
        <v/>
      </c>
      <c r="H474" s="5" t="str">
        <f>IF(ISBLANK(Лист1!H474),"",Лист1!H474)</f>
        <v/>
      </c>
      <c r="I474" s="5" t="str">
        <f>IF(ISBLANK(Лист1!I474),"",Лист1!I474)</f>
        <v/>
      </c>
      <c r="J474" s="5" t="str">
        <f>IF(ISBLANK(Лист1!J474),"",Лист1!J474)</f>
        <v/>
      </c>
      <c r="K474" s="5" t="str">
        <f>IF(ISBLANK(Лист1!K474),"",Лист1!K474)</f>
        <v/>
      </c>
      <c r="L474" s="5" t="str">
        <f>IF(ISBLANK(Лист1!L474),"",Лист1!L474)</f>
        <v/>
      </c>
      <c r="M474" s="5" t="str">
        <f>IF(ISBLANK(Лист1!M474),"",Лист1!M474)</f>
        <v/>
      </c>
      <c r="N474" s="5" t="str">
        <f>IF(ISBLANK(Лист1!N474),"",Лист1!N474)</f>
        <v/>
      </c>
      <c r="O474" s="5" t="str">
        <f>IF(ISBLANK(Лист1!O474),"",Лист1!O474)</f>
        <v/>
      </c>
      <c r="P474" s="5" t="str">
        <f>IF(ISBLANK(Лист1!P474),"",Лист1!P474)</f>
        <v/>
      </c>
      <c r="Q474" s="5" t="str">
        <f>IF(ISBLANK(Лист1!Q474),"",Лист1!Q474)</f>
        <v/>
      </c>
      <c r="R474" s="5" t="str">
        <f>IF(ISBLANK(Лист1!R474),"",Лист1!R474)</f>
        <v/>
      </c>
      <c r="S474" s="5" t="str">
        <f>IF(ISBLANK(Лист1!S474),"",Лист1!S474)</f>
        <v/>
      </c>
      <c r="T474" s="5" t="str">
        <f>IF(ISBLANK(Лист1!T474),"",Лист1!T474)</f>
        <v/>
      </c>
      <c r="U474" s="5" t="str">
        <f>IF(ISBLANK(Лист1!U474),"",Лист1!U474)</f>
        <v/>
      </c>
      <c r="V474" s="5" t="str">
        <f>IF(ISBLANK(Лист1!V474),"",Лист1!V474)</f>
        <v/>
      </c>
      <c r="W474" s="5" t="str">
        <f>IF(ISBLANK(Лист1!W474),"",Лист1!W474)</f>
        <v/>
      </c>
      <c r="X474" s="5" t="str">
        <f>IF(ISBLANK(Лист1!X474),"",Лист1!X474)</f>
        <v/>
      </c>
      <c r="Y474" s="5" t="str">
        <f>IF(ISERROR(VLOOKUP($X474,Лист2!$A$2:$G$498,1,FALSE)),"",VLOOKUP($X474,Лист2!$A$2:$G$498,1,FALSE))</f>
        <v/>
      </c>
      <c r="Z474" s="5" t="str">
        <f>IF(ISERROR(VLOOKUP($X474,Лист2!$A$2:$G$498,5,FALSE)),"",VLOOKUP($X474,Лист2!$A$2:$G$498,5,FALSE))</f>
        <v/>
      </c>
      <c r="AA474" s="5" t="str">
        <f>IF(ISERROR(VLOOKUP($X474,Лист2!$A$2:$G$498,6,FALSE)),"",VLOOKUP($X474,Лист2!$A$2:$G$498,6,FALSE))</f>
        <v/>
      </c>
      <c r="AB474" s="5" t="str">
        <f>IF(ISERROR(VLOOKUP($X474,Лист2!$A$2:$G$498,7,FALSE)),"",VLOOKUP($X474,Лист2!$A$2:$G$498,7,FALSE))</f>
        <v/>
      </c>
    </row>
    <row r="475" spans="1:28" x14ac:dyDescent="0.25">
      <c r="A475" s="5" t="str">
        <f>IF(ISBLANK(Лист1!A475),"",Лист1!A475)</f>
        <v/>
      </c>
      <c r="B475" s="5" t="str">
        <f>IF(ISBLANK(Лист1!B475),"",Лист1!B475)</f>
        <v/>
      </c>
      <c r="C475" s="5" t="str">
        <f>IF(ISBLANK(Лист1!C475),"",Лист1!C475)</f>
        <v/>
      </c>
      <c r="D475" s="5" t="str">
        <f>IF(ISBLANK(Лист1!D475),"",Лист1!D475)</f>
        <v/>
      </c>
      <c r="E475" s="5" t="str">
        <f>IF(ISBLANK(Лист1!E475),"",Лист1!E475)</f>
        <v/>
      </c>
      <c r="F475" s="5" t="str">
        <f>IF(ISBLANK(Лист1!F475),"",Лист1!F475)</f>
        <v/>
      </c>
      <c r="G475" s="5" t="str">
        <f>IF(ISBLANK(Лист1!G475),"",Лист1!G475)</f>
        <v/>
      </c>
      <c r="H475" s="5" t="str">
        <f>IF(ISBLANK(Лист1!H475),"",Лист1!H475)</f>
        <v/>
      </c>
      <c r="I475" s="5" t="str">
        <f>IF(ISBLANK(Лист1!I475),"",Лист1!I475)</f>
        <v/>
      </c>
      <c r="J475" s="5" t="str">
        <f>IF(ISBLANK(Лист1!J475),"",Лист1!J475)</f>
        <v/>
      </c>
      <c r="K475" s="5" t="str">
        <f>IF(ISBLANK(Лист1!K475),"",Лист1!K475)</f>
        <v/>
      </c>
      <c r="L475" s="5" t="str">
        <f>IF(ISBLANK(Лист1!L475),"",Лист1!L475)</f>
        <v/>
      </c>
      <c r="M475" s="5" t="str">
        <f>IF(ISBLANK(Лист1!M475),"",Лист1!M475)</f>
        <v/>
      </c>
      <c r="N475" s="5" t="str">
        <f>IF(ISBLANK(Лист1!N475),"",Лист1!N475)</f>
        <v/>
      </c>
      <c r="O475" s="5" t="str">
        <f>IF(ISBLANK(Лист1!O475),"",Лист1!O475)</f>
        <v/>
      </c>
      <c r="P475" s="5" t="str">
        <f>IF(ISBLANK(Лист1!P475),"",Лист1!P475)</f>
        <v/>
      </c>
      <c r="Q475" s="5" t="str">
        <f>IF(ISBLANK(Лист1!Q475),"",Лист1!Q475)</f>
        <v/>
      </c>
      <c r="R475" s="5" t="str">
        <f>IF(ISBLANK(Лист1!R475),"",Лист1!R475)</f>
        <v/>
      </c>
      <c r="S475" s="5" t="str">
        <f>IF(ISBLANK(Лист1!S475),"",Лист1!S475)</f>
        <v/>
      </c>
      <c r="T475" s="5" t="str">
        <f>IF(ISBLANK(Лист1!T475),"",Лист1!T475)</f>
        <v/>
      </c>
      <c r="U475" s="5" t="str">
        <f>IF(ISBLANK(Лист1!U475),"",Лист1!U475)</f>
        <v/>
      </c>
      <c r="V475" s="5" t="str">
        <f>IF(ISBLANK(Лист1!V475),"",Лист1!V475)</f>
        <v/>
      </c>
      <c r="W475" s="5" t="str">
        <f>IF(ISBLANK(Лист1!W475),"",Лист1!W475)</f>
        <v/>
      </c>
      <c r="X475" s="5" t="str">
        <f>IF(ISBLANK(Лист1!X475),"",Лист1!X475)</f>
        <v/>
      </c>
      <c r="Y475" s="5" t="str">
        <f>IF(ISERROR(VLOOKUP($X475,Лист2!$A$2:$G$498,1,FALSE)),"",VLOOKUP($X475,Лист2!$A$2:$G$498,1,FALSE))</f>
        <v/>
      </c>
      <c r="Z475" s="5" t="str">
        <f>IF(ISERROR(VLOOKUP($X475,Лист2!$A$2:$G$498,5,FALSE)),"",VLOOKUP($X475,Лист2!$A$2:$G$498,5,FALSE))</f>
        <v/>
      </c>
      <c r="AA475" s="5" t="str">
        <f>IF(ISERROR(VLOOKUP($X475,Лист2!$A$2:$G$498,6,FALSE)),"",VLOOKUP($X475,Лист2!$A$2:$G$498,6,FALSE))</f>
        <v/>
      </c>
      <c r="AB475" s="5" t="str">
        <f>IF(ISERROR(VLOOKUP($X475,Лист2!$A$2:$G$498,7,FALSE)),"",VLOOKUP($X475,Лист2!$A$2:$G$498,7,FALSE))</f>
        <v/>
      </c>
    </row>
    <row r="476" spans="1:28" x14ac:dyDescent="0.25">
      <c r="A476" s="5" t="str">
        <f>IF(ISBLANK(Лист1!A476),"",Лист1!A476)</f>
        <v/>
      </c>
      <c r="B476" s="5" t="str">
        <f>IF(ISBLANK(Лист1!B476),"",Лист1!B476)</f>
        <v/>
      </c>
      <c r="C476" s="5" t="str">
        <f>IF(ISBLANK(Лист1!C476),"",Лист1!C476)</f>
        <v/>
      </c>
      <c r="D476" s="5" t="str">
        <f>IF(ISBLANK(Лист1!D476),"",Лист1!D476)</f>
        <v/>
      </c>
      <c r="E476" s="5" t="str">
        <f>IF(ISBLANK(Лист1!E476),"",Лист1!E476)</f>
        <v/>
      </c>
      <c r="F476" s="5" t="str">
        <f>IF(ISBLANK(Лист1!F476),"",Лист1!F476)</f>
        <v/>
      </c>
      <c r="G476" s="5" t="str">
        <f>IF(ISBLANK(Лист1!G476),"",Лист1!G476)</f>
        <v/>
      </c>
      <c r="H476" s="5" t="str">
        <f>IF(ISBLANK(Лист1!H476),"",Лист1!H476)</f>
        <v/>
      </c>
      <c r="I476" s="5" t="str">
        <f>IF(ISBLANK(Лист1!I476),"",Лист1!I476)</f>
        <v/>
      </c>
      <c r="J476" s="5" t="str">
        <f>IF(ISBLANK(Лист1!J476),"",Лист1!J476)</f>
        <v/>
      </c>
      <c r="K476" s="5" t="str">
        <f>IF(ISBLANK(Лист1!K476),"",Лист1!K476)</f>
        <v/>
      </c>
      <c r="L476" s="5" t="str">
        <f>IF(ISBLANK(Лист1!L476),"",Лист1!L476)</f>
        <v/>
      </c>
      <c r="M476" s="5" t="str">
        <f>IF(ISBLANK(Лист1!M476),"",Лист1!M476)</f>
        <v/>
      </c>
      <c r="N476" s="5" t="str">
        <f>IF(ISBLANK(Лист1!N476),"",Лист1!N476)</f>
        <v/>
      </c>
      <c r="O476" s="5" t="str">
        <f>IF(ISBLANK(Лист1!O476),"",Лист1!O476)</f>
        <v/>
      </c>
      <c r="P476" s="5" t="str">
        <f>IF(ISBLANK(Лист1!P476),"",Лист1!P476)</f>
        <v/>
      </c>
      <c r="Q476" s="5" t="str">
        <f>IF(ISBLANK(Лист1!Q476),"",Лист1!Q476)</f>
        <v/>
      </c>
      <c r="R476" s="5" t="str">
        <f>IF(ISBLANK(Лист1!R476),"",Лист1!R476)</f>
        <v/>
      </c>
      <c r="S476" s="5" t="str">
        <f>IF(ISBLANK(Лист1!S476),"",Лист1!S476)</f>
        <v/>
      </c>
      <c r="T476" s="5" t="str">
        <f>IF(ISBLANK(Лист1!T476),"",Лист1!T476)</f>
        <v/>
      </c>
      <c r="U476" s="5" t="str">
        <f>IF(ISBLANK(Лист1!U476),"",Лист1!U476)</f>
        <v/>
      </c>
      <c r="V476" s="5" t="str">
        <f>IF(ISBLANK(Лист1!V476),"",Лист1!V476)</f>
        <v/>
      </c>
      <c r="W476" s="5" t="str">
        <f>IF(ISBLANK(Лист1!W476),"",Лист1!W476)</f>
        <v/>
      </c>
      <c r="X476" s="5" t="str">
        <f>IF(ISBLANK(Лист1!X476),"",Лист1!X476)</f>
        <v/>
      </c>
      <c r="Y476" s="5" t="str">
        <f>IF(ISERROR(VLOOKUP($X476,Лист2!$A$2:$G$498,1,FALSE)),"",VLOOKUP($X476,Лист2!$A$2:$G$498,1,FALSE))</f>
        <v/>
      </c>
      <c r="Z476" s="5" t="str">
        <f>IF(ISERROR(VLOOKUP($X476,Лист2!$A$2:$G$498,5,FALSE)),"",VLOOKUP($X476,Лист2!$A$2:$G$498,5,FALSE))</f>
        <v/>
      </c>
      <c r="AA476" s="5" t="str">
        <f>IF(ISERROR(VLOOKUP($X476,Лист2!$A$2:$G$498,6,FALSE)),"",VLOOKUP($X476,Лист2!$A$2:$G$498,6,FALSE))</f>
        <v/>
      </c>
      <c r="AB476" s="5" t="str">
        <f>IF(ISERROR(VLOOKUP($X476,Лист2!$A$2:$G$498,7,FALSE)),"",VLOOKUP($X476,Лист2!$A$2:$G$498,7,FALSE))</f>
        <v/>
      </c>
    </row>
    <row r="477" spans="1:28" x14ac:dyDescent="0.25">
      <c r="A477" s="5" t="str">
        <f>IF(ISBLANK(Лист1!A477),"",Лист1!A477)</f>
        <v/>
      </c>
      <c r="B477" s="5" t="str">
        <f>IF(ISBLANK(Лист1!B477),"",Лист1!B477)</f>
        <v/>
      </c>
      <c r="C477" s="5" t="str">
        <f>IF(ISBLANK(Лист1!C477),"",Лист1!C477)</f>
        <v/>
      </c>
      <c r="D477" s="5" t="str">
        <f>IF(ISBLANK(Лист1!D477),"",Лист1!D477)</f>
        <v/>
      </c>
      <c r="E477" s="5" t="str">
        <f>IF(ISBLANK(Лист1!E477),"",Лист1!E477)</f>
        <v/>
      </c>
      <c r="F477" s="5" t="str">
        <f>IF(ISBLANK(Лист1!F477),"",Лист1!F477)</f>
        <v/>
      </c>
      <c r="G477" s="5" t="str">
        <f>IF(ISBLANK(Лист1!G477),"",Лист1!G477)</f>
        <v/>
      </c>
      <c r="H477" s="5" t="str">
        <f>IF(ISBLANK(Лист1!H477),"",Лист1!H477)</f>
        <v/>
      </c>
      <c r="I477" s="5" t="str">
        <f>IF(ISBLANK(Лист1!I477),"",Лист1!I477)</f>
        <v/>
      </c>
      <c r="J477" s="5" t="str">
        <f>IF(ISBLANK(Лист1!J477),"",Лист1!J477)</f>
        <v/>
      </c>
      <c r="K477" s="5" t="str">
        <f>IF(ISBLANK(Лист1!K477),"",Лист1!K477)</f>
        <v/>
      </c>
      <c r="L477" s="5" t="str">
        <f>IF(ISBLANK(Лист1!L477),"",Лист1!L477)</f>
        <v/>
      </c>
      <c r="M477" s="5" t="str">
        <f>IF(ISBLANK(Лист1!M477),"",Лист1!M477)</f>
        <v/>
      </c>
      <c r="N477" s="5" t="str">
        <f>IF(ISBLANK(Лист1!N477),"",Лист1!N477)</f>
        <v/>
      </c>
      <c r="O477" s="5" t="str">
        <f>IF(ISBLANK(Лист1!O477),"",Лист1!O477)</f>
        <v/>
      </c>
      <c r="P477" s="5" t="str">
        <f>IF(ISBLANK(Лист1!P477),"",Лист1!P477)</f>
        <v/>
      </c>
      <c r="Q477" s="5" t="str">
        <f>IF(ISBLANK(Лист1!Q477),"",Лист1!Q477)</f>
        <v/>
      </c>
      <c r="R477" s="5" t="str">
        <f>IF(ISBLANK(Лист1!R477),"",Лист1!R477)</f>
        <v/>
      </c>
      <c r="S477" s="5" t="str">
        <f>IF(ISBLANK(Лист1!S477),"",Лист1!S477)</f>
        <v/>
      </c>
      <c r="T477" s="5" t="str">
        <f>IF(ISBLANK(Лист1!T477),"",Лист1!T477)</f>
        <v/>
      </c>
      <c r="U477" s="5" t="str">
        <f>IF(ISBLANK(Лист1!U477),"",Лист1!U477)</f>
        <v/>
      </c>
      <c r="V477" s="5" t="str">
        <f>IF(ISBLANK(Лист1!V477),"",Лист1!V477)</f>
        <v/>
      </c>
      <c r="W477" s="5" t="str">
        <f>IF(ISBLANK(Лист1!W477),"",Лист1!W477)</f>
        <v/>
      </c>
      <c r="X477" s="5" t="str">
        <f>IF(ISBLANK(Лист1!X477),"",Лист1!X477)</f>
        <v/>
      </c>
      <c r="Y477" s="5" t="str">
        <f>IF(ISERROR(VLOOKUP($X477,Лист2!$A$2:$G$498,1,FALSE)),"",VLOOKUP($X477,Лист2!$A$2:$G$498,1,FALSE))</f>
        <v/>
      </c>
      <c r="Z477" s="5" t="str">
        <f>IF(ISERROR(VLOOKUP($X477,Лист2!$A$2:$G$498,5,FALSE)),"",VLOOKUP($X477,Лист2!$A$2:$G$498,5,FALSE))</f>
        <v/>
      </c>
      <c r="AA477" s="5" t="str">
        <f>IF(ISERROR(VLOOKUP($X477,Лист2!$A$2:$G$498,6,FALSE)),"",VLOOKUP($X477,Лист2!$A$2:$G$498,6,FALSE))</f>
        <v/>
      </c>
      <c r="AB477" s="5" t="str">
        <f>IF(ISERROR(VLOOKUP($X477,Лист2!$A$2:$G$498,7,FALSE)),"",VLOOKUP($X477,Лист2!$A$2:$G$498,7,FALSE))</f>
        <v/>
      </c>
    </row>
    <row r="478" spans="1:28" x14ac:dyDescent="0.25">
      <c r="A478" s="5" t="str">
        <f>IF(ISBLANK(Лист1!A478),"",Лист1!A478)</f>
        <v/>
      </c>
      <c r="B478" s="5" t="str">
        <f>IF(ISBLANK(Лист1!B478),"",Лист1!B478)</f>
        <v/>
      </c>
      <c r="C478" s="5" t="str">
        <f>IF(ISBLANK(Лист1!C478),"",Лист1!C478)</f>
        <v/>
      </c>
      <c r="D478" s="5" t="str">
        <f>IF(ISBLANK(Лист1!D478),"",Лист1!D478)</f>
        <v/>
      </c>
      <c r="E478" s="5" t="str">
        <f>IF(ISBLANK(Лист1!E478),"",Лист1!E478)</f>
        <v/>
      </c>
      <c r="F478" s="5" t="str">
        <f>IF(ISBLANK(Лист1!F478),"",Лист1!F478)</f>
        <v/>
      </c>
      <c r="G478" s="5" t="str">
        <f>IF(ISBLANK(Лист1!G478),"",Лист1!G478)</f>
        <v/>
      </c>
      <c r="H478" s="5" t="str">
        <f>IF(ISBLANK(Лист1!H478),"",Лист1!H478)</f>
        <v/>
      </c>
      <c r="I478" s="5" t="str">
        <f>IF(ISBLANK(Лист1!I478),"",Лист1!I478)</f>
        <v/>
      </c>
      <c r="J478" s="5" t="str">
        <f>IF(ISBLANK(Лист1!J478),"",Лист1!J478)</f>
        <v/>
      </c>
      <c r="K478" s="5" t="str">
        <f>IF(ISBLANK(Лист1!K478),"",Лист1!K478)</f>
        <v/>
      </c>
      <c r="L478" s="5" t="str">
        <f>IF(ISBLANK(Лист1!L478),"",Лист1!L478)</f>
        <v/>
      </c>
      <c r="M478" s="5" t="str">
        <f>IF(ISBLANK(Лист1!M478),"",Лист1!M478)</f>
        <v/>
      </c>
      <c r="N478" s="5" t="str">
        <f>IF(ISBLANK(Лист1!N478),"",Лист1!N478)</f>
        <v/>
      </c>
      <c r="O478" s="5" t="str">
        <f>IF(ISBLANK(Лист1!O478),"",Лист1!O478)</f>
        <v/>
      </c>
      <c r="P478" s="5" t="str">
        <f>IF(ISBLANK(Лист1!P478),"",Лист1!P478)</f>
        <v/>
      </c>
      <c r="Q478" s="5" t="str">
        <f>IF(ISBLANK(Лист1!Q478),"",Лист1!Q478)</f>
        <v/>
      </c>
      <c r="R478" s="5" t="str">
        <f>IF(ISBLANK(Лист1!R478),"",Лист1!R478)</f>
        <v/>
      </c>
      <c r="S478" s="5" t="str">
        <f>IF(ISBLANK(Лист1!S478),"",Лист1!S478)</f>
        <v/>
      </c>
      <c r="T478" s="5" t="str">
        <f>IF(ISBLANK(Лист1!T478),"",Лист1!T478)</f>
        <v/>
      </c>
      <c r="U478" s="5" t="str">
        <f>IF(ISBLANK(Лист1!U478),"",Лист1!U478)</f>
        <v/>
      </c>
      <c r="V478" s="5" t="str">
        <f>IF(ISBLANK(Лист1!V478),"",Лист1!V478)</f>
        <v/>
      </c>
      <c r="W478" s="5" t="str">
        <f>IF(ISBLANK(Лист1!W478),"",Лист1!W478)</f>
        <v/>
      </c>
      <c r="X478" s="5" t="str">
        <f>IF(ISBLANK(Лист1!X478),"",Лист1!X478)</f>
        <v/>
      </c>
      <c r="Y478" s="5" t="str">
        <f>IF(ISERROR(VLOOKUP($X478,Лист2!$A$2:$G$498,1,FALSE)),"",VLOOKUP($X478,Лист2!$A$2:$G$498,1,FALSE))</f>
        <v/>
      </c>
      <c r="Z478" s="5" t="str">
        <f>IF(ISERROR(VLOOKUP($X478,Лист2!$A$2:$G$498,5,FALSE)),"",VLOOKUP($X478,Лист2!$A$2:$G$498,5,FALSE))</f>
        <v/>
      </c>
      <c r="AA478" s="5" t="str">
        <f>IF(ISERROR(VLOOKUP($X478,Лист2!$A$2:$G$498,6,FALSE)),"",VLOOKUP($X478,Лист2!$A$2:$G$498,6,FALSE))</f>
        <v/>
      </c>
      <c r="AB478" s="5" t="str">
        <f>IF(ISERROR(VLOOKUP($X478,Лист2!$A$2:$G$498,7,FALSE)),"",VLOOKUP($X478,Лист2!$A$2:$G$498,7,FALSE))</f>
        <v/>
      </c>
    </row>
    <row r="479" spans="1:28" x14ac:dyDescent="0.25">
      <c r="A479" s="5" t="str">
        <f>IF(ISBLANK(Лист1!A479),"",Лист1!A479)</f>
        <v/>
      </c>
      <c r="B479" s="5" t="str">
        <f>IF(ISBLANK(Лист1!B479),"",Лист1!B479)</f>
        <v/>
      </c>
      <c r="C479" s="5" t="str">
        <f>IF(ISBLANK(Лист1!C479),"",Лист1!C479)</f>
        <v/>
      </c>
      <c r="D479" s="5" t="str">
        <f>IF(ISBLANK(Лист1!D479),"",Лист1!D479)</f>
        <v/>
      </c>
      <c r="E479" s="5" t="str">
        <f>IF(ISBLANK(Лист1!E479),"",Лист1!E479)</f>
        <v/>
      </c>
      <c r="F479" s="5" t="str">
        <f>IF(ISBLANK(Лист1!F479),"",Лист1!F479)</f>
        <v/>
      </c>
      <c r="G479" s="5" t="str">
        <f>IF(ISBLANK(Лист1!G479),"",Лист1!G479)</f>
        <v/>
      </c>
      <c r="H479" s="5" t="str">
        <f>IF(ISBLANK(Лист1!H479),"",Лист1!H479)</f>
        <v/>
      </c>
      <c r="I479" s="5" t="str">
        <f>IF(ISBLANK(Лист1!I479),"",Лист1!I479)</f>
        <v/>
      </c>
      <c r="J479" s="5" t="str">
        <f>IF(ISBLANK(Лист1!J479),"",Лист1!J479)</f>
        <v/>
      </c>
      <c r="K479" s="5" t="str">
        <f>IF(ISBLANK(Лист1!K479),"",Лист1!K479)</f>
        <v/>
      </c>
      <c r="L479" s="5" t="str">
        <f>IF(ISBLANK(Лист1!L479),"",Лист1!L479)</f>
        <v/>
      </c>
      <c r="M479" s="5" t="str">
        <f>IF(ISBLANK(Лист1!M479),"",Лист1!M479)</f>
        <v/>
      </c>
      <c r="N479" s="5" t="str">
        <f>IF(ISBLANK(Лист1!N479),"",Лист1!N479)</f>
        <v/>
      </c>
      <c r="O479" s="5" t="str">
        <f>IF(ISBLANK(Лист1!O479),"",Лист1!O479)</f>
        <v/>
      </c>
      <c r="P479" s="5" t="str">
        <f>IF(ISBLANK(Лист1!P479),"",Лист1!P479)</f>
        <v/>
      </c>
      <c r="Q479" s="5" t="str">
        <f>IF(ISBLANK(Лист1!Q479),"",Лист1!Q479)</f>
        <v/>
      </c>
      <c r="R479" s="5" t="str">
        <f>IF(ISBLANK(Лист1!R479),"",Лист1!R479)</f>
        <v/>
      </c>
      <c r="S479" s="5" t="str">
        <f>IF(ISBLANK(Лист1!S479),"",Лист1!S479)</f>
        <v/>
      </c>
      <c r="T479" s="5" t="str">
        <f>IF(ISBLANK(Лист1!T479),"",Лист1!T479)</f>
        <v/>
      </c>
      <c r="U479" s="5" t="str">
        <f>IF(ISBLANK(Лист1!U479),"",Лист1!U479)</f>
        <v/>
      </c>
      <c r="V479" s="5" t="str">
        <f>IF(ISBLANK(Лист1!V479),"",Лист1!V479)</f>
        <v/>
      </c>
      <c r="W479" s="5" t="str">
        <f>IF(ISBLANK(Лист1!W479),"",Лист1!W479)</f>
        <v/>
      </c>
      <c r="X479" s="5" t="str">
        <f>IF(ISBLANK(Лист1!X479),"",Лист1!X479)</f>
        <v/>
      </c>
      <c r="Y479" s="5" t="str">
        <f>IF(ISERROR(VLOOKUP($X479,Лист2!$A$2:$G$498,1,FALSE)),"",VLOOKUP($X479,Лист2!$A$2:$G$498,1,FALSE))</f>
        <v/>
      </c>
      <c r="Z479" s="5" t="str">
        <f>IF(ISERROR(VLOOKUP($X479,Лист2!$A$2:$G$498,5,FALSE)),"",VLOOKUP($X479,Лист2!$A$2:$G$498,5,FALSE))</f>
        <v/>
      </c>
      <c r="AA479" s="5" t="str">
        <f>IF(ISERROR(VLOOKUP($X479,Лист2!$A$2:$G$498,6,FALSE)),"",VLOOKUP($X479,Лист2!$A$2:$G$498,6,FALSE))</f>
        <v/>
      </c>
      <c r="AB479" s="5" t="str">
        <f>IF(ISERROR(VLOOKUP($X479,Лист2!$A$2:$G$498,7,FALSE)),"",VLOOKUP($X479,Лист2!$A$2:$G$498,7,FALSE))</f>
        <v/>
      </c>
    </row>
    <row r="480" spans="1:28" x14ac:dyDescent="0.25">
      <c r="A480" s="5" t="str">
        <f>IF(ISBLANK(Лист1!A480),"",Лист1!A480)</f>
        <v/>
      </c>
      <c r="B480" s="5" t="str">
        <f>IF(ISBLANK(Лист1!B480),"",Лист1!B480)</f>
        <v/>
      </c>
      <c r="C480" s="5" t="str">
        <f>IF(ISBLANK(Лист1!C480),"",Лист1!C480)</f>
        <v/>
      </c>
      <c r="D480" s="5" t="str">
        <f>IF(ISBLANK(Лист1!D480),"",Лист1!D480)</f>
        <v/>
      </c>
      <c r="E480" s="5" t="str">
        <f>IF(ISBLANK(Лист1!E480),"",Лист1!E480)</f>
        <v/>
      </c>
      <c r="F480" s="5" t="str">
        <f>IF(ISBLANK(Лист1!F480),"",Лист1!F480)</f>
        <v/>
      </c>
      <c r="G480" s="5" t="str">
        <f>IF(ISBLANK(Лист1!G480),"",Лист1!G480)</f>
        <v/>
      </c>
      <c r="H480" s="5" t="str">
        <f>IF(ISBLANK(Лист1!H480),"",Лист1!H480)</f>
        <v/>
      </c>
      <c r="I480" s="5" t="str">
        <f>IF(ISBLANK(Лист1!I480),"",Лист1!I480)</f>
        <v/>
      </c>
      <c r="J480" s="5" t="str">
        <f>IF(ISBLANK(Лист1!J480),"",Лист1!J480)</f>
        <v/>
      </c>
      <c r="K480" s="5" t="str">
        <f>IF(ISBLANK(Лист1!K480),"",Лист1!K480)</f>
        <v/>
      </c>
      <c r="L480" s="5" t="str">
        <f>IF(ISBLANK(Лист1!L480),"",Лист1!L480)</f>
        <v/>
      </c>
      <c r="M480" s="5" t="str">
        <f>IF(ISBLANK(Лист1!M480),"",Лист1!M480)</f>
        <v/>
      </c>
      <c r="N480" s="5" t="str">
        <f>IF(ISBLANK(Лист1!N480),"",Лист1!N480)</f>
        <v/>
      </c>
      <c r="O480" s="5" t="str">
        <f>IF(ISBLANK(Лист1!O480),"",Лист1!O480)</f>
        <v/>
      </c>
      <c r="P480" s="5" t="str">
        <f>IF(ISBLANK(Лист1!P480),"",Лист1!P480)</f>
        <v/>
      </c>
      <c r="Q480" s="5" t="str">
        <f>IF(ISBLANK(Лист1!Q480),"",Лист1!Q480)</f>
        <v/>
      </c>
      <c r="R480" s="5" t="str">
        <f>IF(ISBLANK(Лист1!R480),"",Лист1!R480)</f>
        <v/>
      </c>
      <c r="S480" s="5" t="str">
        <f>IF(ISBLANK(Лист1!S480),"",Лист1!S480)</f>
        <v/>
      </c>
      <c r="T480" s="5" t="str">
        <f>IF(ISBLANK(Лист1!T480),"",Лист1!T480)</f>
        <v/>
      </c>
      <c r="U480" s="5" t="str">
        <f>IF(ISBLANK(Лист1!U480),"",Лист1!U480)</f>
        <v/>
      </c>
      <c r="V480" s="5" t="str">
        <f>IF(ISBLANK(Лист1!V480),"",Лист1!V480)</f>
        <v/>
      </c>
      <c r="W480" s="5" t="str">
        <f>IF(ISBLANK(Лист1!W480),"",Лист1!W480)</f>
        <v/>
      </c>
      <c r="X480" s="5" t="str">
        <f>IF(ISBLANK(Лист1!X480),"",Лист1!X480)</f>
        <v/>
      </c>
      <c r="Y480" s="5" t="str">
        <f>IF(ISERROR(VLOOKUP($X480,Лист2!$A$2:$G$498,1,FALSE)),"",VLOOKUP($X480,Лист2!$A$2:$G$498,1,FALSE))</f>
        <v/>
      </c>
      <c r="Z480" s="5" t="str">
        <f>IF(ISERROR(VLOOKUP($X480,Лист2!$A$2:$G$498,5,FALSE)),"",VLOOKUP($X480,Лист2!$A$2:$G$498,5,FALSE))</f>
        <v/>
      </c>
      <c r="AA480" s="5" t="str">
        <f>IF(ISERROR(VLOOKUP($X480,Лист2!$A$2:$G$498,6,FALSE)),"",VLOOKUP($X480,Лист2!$A$2:$G$498,6,FALSE))</f>
        <v/>
      </c>
      <c r="AB480" s="5" t="str">
        <f>IF(ISERROR(VLOOKUP($X480,Лист2!$A$2:$G$498,7,FALSE)),"",VLOOKUP($X480,Лист2!$A$2:$G$498,7,FALSE))</f>
        <v/>
      </c>
    </row>
    <row r="481" spans="1:28" x14ac:dyDescent="0.25">
      <c r="A481" s="5" t="str">
        <f>IF(ISBLANK(Лист1!A481),"",Лист1!A481)</f>
        <v/>
      </c>
      <c r="B481" s="5" t="str">
        <f>IF(ISBLANK(Лист1!B481),"",Лист1!B481)</f>
        <v/>
      </c>
      <c r="C481" s="5" t="str">
        <f>IF(ISBLANK(Лист1!C481),"",Лист1!C481)</f>
        <v/>
      </c>
      <c r="D481" s="5" t="str">
        <f>IF(ISBLANK(Лист1!D481),"",Лист1!D481)</f>
        <v/>
      </c>
      <c r="E481" s="5" t="str">
        <f>IF(ISBLANK(Лист1!E481),"",Лист1!E481)</f>
        <v/>
      </c>
      <c r="F481" s="5" t="str">
        <f>IF(ISBLANK(Лист1!F481),"",Лист1!F481)</f>
        <v/>
      </c>
      <c r="G481" s="5" t="str">
        <f>IF(ISBLANK(Лист1!G481),"",Лист1!G481)</f>
        <v/>
      </c>
      <c r="H481" s="5" t="str">
        <f>IF(ISBLANK(Лист1!H481),"",Лист1!H481)</f>
        <v/>
      </c>
      <c r="I481" s="5" t="str">
        <f>IF(ISBLANK(Лист1!I481),"",Лист1!I481)</f>
        <v/>
      </c>
      <c r="J481" s="5" t="str">
        <f>IF(ISBLANK(Лист1!J481),"",Лист1!J481)</f>
        <v/>
      </c>
      <c r="K481" s="5" t="str">
        <f>IF(ISBLANK(Лист1!K481),"",Лист1!K481)</f>
        <v/>
      </c>
      <c r="L481" s="5" t="str">
        <f>IF(ISBLANK(Лист1!L481),"",Лист1!L481)</f>
        <v/>
      </c>
      <c r="M481" s="5" t="str">
        <f>IF(ISBLANK(Лист1!M481),"",Лист1!M481)</f>
        <v/>
      </c>
      <c r="N481" s="5" t="str">
        <f>IF(ISBLANK(Лист1!N481),"",Лист1!N481)</f>
        <v/>
      </c>
      <c r="O481" s="5" t="str">
        <f>IF(ISBLANK(Лист1!O481),"",Лист1!O481)</f>
        <v/>
      </c>
      <c r="P481" s="5" t="str">
        <f>IF(ISBLANK(Лист1!P481),"",Лист1!P481)</f>
        <v/>
      </c>
      <c r="Q481" s="5" t="str">
        <f>IF(ISBLANK(Лист1!Q481),"",Лист1!Q481)</f>
        <v/>
      </c>
      <c r="R481" s="5" t="str">
        <f>IF(ISBLANK(Лист1!R481),"",Лист1!R481)</f>
        <v/>
      </c>
      <c r="S481" s="5" t="str">
        <f>IF(ISBLANK(Лист1!S481),"",Лист1!S481)</f>
        <v/>
      </c>
      <c r="T481" s="5" t="str">
        <f>IF(ISBLANK(Лист1!T481),"",Лист1!T481)</f>
        <v/>
      </c>
      <c r="U481" s="5" t="str">
        <f>IF(ISBLANK(Лист1!U481),"",Лист1!U481)</f>
        <v/>
      </c>
      <c r="V481" s="5" t="str">
        <f>IF(ISBLANK(Лист1!V481),"",Лист1!V481)</f>
        <v/>
      </c>
      <c r="W481" s="5" t="str">
        <f>IF(ISBLANK(Лист1!W481),"",Лист1!W481)</f>
        <v/>
      </c>
      <c r="X481" s="5" t="str">
        <f>IF(ISBLANK(Лист1!X481),"",Лист1!X481)</f>
        <v/>
      </c>
      <c r="Y481" s="5" t="str">
        <f>IF(ISERROR(VLOOKUP($X481,Лист2!$A$2:$G$498,1,FALSE)),"",VLOOKUP($X481,Лист2!$A$2:$G$498,1,FALSE))</f>
        <v/>
      </c>
      <c r="Z481" s="5" t="str">
        <f>IF(ISERROR(VLOOKUP($X481,Лист2!$A$2:$G$498,5,FALSE)),"",VLOOKUP($X481,Лист2!$A$2:$G$498,5,FALSE))</f>
        <v/>
      </c>
      <c r="AA481" s="5" t="str">
        <f>IF(ISERROR(VLOOKUP($X481,Лист2!$A$2:$G$498,6,FALSE)),"",VLOOKUP($X481,Лист2!$A$2:$G$498,6,FALSE))</f>
        <v/>
      </c>
      <c r="AB481" s="5" t="str">
        <f>IF(ISERROR(VLOOKUP($X481,Лист2!$A$2:$G$498,7,FALSE)),"",VLOOKUP($X481,Лист2!$A$2:$G$498,7,FALSE))</f>
        <v/>
      </c>
    </row>
    <row r="482" spans="1:28" x14ac:dyDescent="0.25">
      <c r="A482" s="5" t="str">
        <f>IF(ISBLANK(Лист1!A482),"",Лист1!A482)</f>
        <v/>
      </c>
      <c r="B482" s="5" t="str">
        <f>IF(ISBLANK(Лист1!B482),"",Лист1!B482)</f>
        <v/>
      </c>
      <c r="C482" s="5" t="str">
        <f>IF(ISBLANK(Лист1!C482),"",Лист1!C482)</f>
        <v/>
      </c>
      <c r="D482" s="5" t="str">
        <f>IF(ISBLANK(Лист1!D482),"",Лист1!D482)</f>
        <v/>
      </c>
      <c r="E482" s="5" t="str">
        <f>IF(ISBLANK(Лист1!E482),"",Лист1!E482)</f>
        <v/>
      </c>
      <c r="F482" s="5" t="str">
        <f>IF(ISBLANK(Лист1!F482),"",Лист1!F482)</f>
        <v/>
      </c>
      <c r="G482" s="5" t="str">
        <f>IF(ISBLANK(Лист1!G482),"",Лист1!G482)</f>
        <v/>
      </c>
      <c r="H482" s="5" t="str">
        <f>IF(ISBLANK(Лист1!H482),"",Лист1!H482)</f>
        <v/>
      </c>
      <c r="I482" s="5" t="str">
        <f>IF(ISBLANK(Лист1!I482),"",Лист1!I482)</f>
        <v/>
      </c>
      <c r="J482" s="5" t="str">
        <f>IF(ISBLANK(Лист1!J482),"",Лист1!J482)</f>
        <v/>
      </c>
      <c r="K482" s="5" t="str">
        <f>IF(ISBLANK(Лист1!K482),"",Лист1!K482)</f>
        <v/>
      </c>
      <c r="L482" s="5" t="str">
        <f>IF(ISBLANK(Лист1!L482),"",Лист1!L482)</f>
        <v/>
      </c>
      <c r="M482" s="5" t="str">
        <f>IF(ISBLANK(Лист1!M482),"",Лист1!M482)</f>
        <v/>
      </c>
      <c r="N482" s="5" t="str">
        <f>IF(ISBLANK(Лист1!N482),"",Лист1!N482)</f>
        <v/>
      </c>
      <c r="O482" s="5" t="str">
        <f>IF(ISBLANK(Лист1!O482),"",Лист1!O482)</f>
        <v/>
      </c>
      <c r="P482" s="5" t="str">
        <f>IF(ISBLANK(Лист1!P482),"",Лист1!P482)</f>
        <v/>
      </c>
      <c r="Q482" s="5" t="str">
        <f>IF(ISBLANK(Лист1!Q482),"",Лист1!Q482)</f>
        <v/>
      </c>
      <c r="R482" s="5" t="str">
        <f>IF(ISBLANK(Лист1!R482),"",Лист1!R482)</f>
        <v/>
      </c>
      <c r="S482" s="5" t="str">
        <f>IF(ISBLANK(Лист1!S482),"",Лист1!S482)</f>
        <v/>
      </c>
      <c r="T482" s="5" t="str">
        <f>IF(ISBLANK(Лист1!T482),"",Лист1!T482)</f>
        <v/>
      </c>
      <c r="U482" s="5" t="str">
        <f>IF(ISBLANK(Лист1!U482),"",Лист1!U482)</f>
        <v/>
      </c>
      <c r="V482" s="5" t="str">
        <f>IF(ISBLANK(Лист1!V482),"",Лист1!V482)</f>
        <v/>
      </c>
      <c r="W482" s="5" t="str">
        <f>IF(ISBLANK(Лист1!W482),"",Лист1!W482)</f>
        <v/>
      </c>
      <c r="X482" s="5" t="str">
        <f>IF(ISBLANK(Лист1!X482),"",Лист1!X482)</f>
        <v/>
      </c>
      <c r="Y482" s="5" t="str">
        <f>IF(ISERROR(VLOOKUP($X482,Лист2!$A$2:$G$498,1,FALSE)),"",VLOOKUP($X482,Лист2!$A$2:$G$498,1,FALSE))</f>
        <v/>
      </c>
      <c r="Z482" s="5" t="str">
        <f>IF(ISERROR(VLOOKUP($X482,Лист2!$A$2:$G$498,5,FALSE)),"",VLOOKUP($X482,Лист2!$A$2:$G$498,5,FALSE))</f>
        <v/>
      </c>
      <c r="AA482" s="5" t="str">
        <f>IF(ISERROR(VLOOKUP($X482,Лист2!$A$2:$G$498,6,FALSE)),"",VLOOKUP($X482,Лист2!$A$2:$G$498,6,FALSE))</f>
        <v/>
      </c>
      <c r="AB482" s="5" t="str">
        <f>IF(ISERROR(VLOOKUP($X482,Лист2!$A$2:$G$498,7,FALSE)),"",VLOOKUP($X482,Лист2!$A$2:$G$498,7,FALSE))</f>
        <v/>
      </c>
    </row>
    <row r="483" spans="1:28" x14ac:dyDescent="0.25">
      <c r="A483" s="5" t="str">
        <f>IF(ISBLANK(Лист1!A483),"",Лист1!A483)</f>
        <v/>
      </c>
      <c r="B483" s="5" t="str">
        <f>IF(ISBLANK(Лист1!B483),"",Лист1!B483)</f>
        <v/>
      </c>
      <c r="C483" s="5" t="str">
        <f>IF(ISBLANK(Лист1!C483),"",Лист1!C483)</f>
        <v/>
      </c>
      <c r="D483" s="5" t="str">
        <f>IF(ISBLANK(Лист1!D483),"",Лист1!D483)</f>
        <v/>
      </c>
      <c r="E483" s="5" t="str">
        <f>IF(ISBLANK(Лист1!E483),"",Лист1!E483)</f>
        <v/>
      </c>
      <c r="F483" s="5" t="str">
        <f>IF(ISBLANK(Лист1!F483),"",Лист1!F483)</f>
        <v/>
      </c>
      <c r="G483" s="5" t="str">
        <f>IF(ISBLANK(Лист1!G483),"",Лист1!G483)</f>
        <v/>
      </c>
      <c r="H483" s="5" t="str">
        <f>IF(ISBLANK(Лист1!H483),"",Лист1!H483)</f>
        <v/>
      </c>
      <c r="I483" s="5" t="str">
        <f>IF(ISBLANK(Лист1!I483),"",Лист1!I483)</f>
        <v/>
      </c>
      <c r="J483" s="5" t="str">
        <f>IF(ISBLANK(Лист1!J483),"",Лист1!J483)</f>
        <v/>
      </c>
      <c r="K483" s="5" t="str">
        <f>IF(ISBLANK(Лист1!K483),"",Лист1!K483)</f>
        <v/>
      </c>
      <c r="L483" s="5" t="str">
        <f>IF(ISBLANK(Лист1!L483),"",Лист1!L483)</f>
        <v/>
      </c>
      <c r="M483" s="5" t="str">
        <f>IF(ISBLANK(Лист1!M483),"",Лист1!M483)</f>
        <v/>
      </c>
      <c r="N483" s="5" t="str">
        <f>IF(ISBLANK(Лист1!N483),"",Лист1!N483)</f>
        <v/>
      </c>
      <c r="O483" s="5" t="str">
        <f>IF(ISBLANK(Лист1!O483),"",Лист1!O483)</f>
        <v/>
      </c>
      <c r="P483" s="5" t="str">
        <f>IF(ISBLANK(Лист1!P483),"",Лист1!P483)</f>
        <v/>
      </c>
      <c r="Q483" s="5" t="str">
        <f>IF(ISBLANK(Лист1!Q483),"",Лист1!Q483)</f>
        <v/>
      </c>
      <c r="R483" s="5" t="str">
        <f>IF(ISBLANK(Лист1!R483),"",Лист1!R483)</f>
        <v/>
      </c>
      <c r="S483" s="5" t="str">
        <f>IF(ISBLANK(Лист1!S483),"",Лист1!S483)</f>
        <v/>
      </c>
      <c r="T483" s="5" t="str">
        <f>IF(ISBLANK(Лист1!T483),"",Лист1!T483)</f>
        <v/>
      </c>
      <c r="U483" s="5" t="str">
        <f>IF(ISBLANK(Лист1!U483),"",Лист1!U483)</f>
        <v/>
      </c>
      <c r="V483" s="5" t="str">
        <f>IF(ISBLANK(Лист1!V483),"",Лист1!V483)</f>
        <v/>
      </c>
      <c r="W483" s="5" t="str">
        <f>IF(ISBLANK(Лист1!W483),"",Лист1!W483)</f>
        <v/>
      </c>
      <c r="X483" s="5" t="str">
        <f>IF(ISBLANK(Лист1!X483),"",Лист1!X483)</f>
        <v/>
      </c>
      <c r="Y483" s="5" t="str">
        <f>IF(ISERROR(VLOOKUP($X483,Лист2!$A$2:$G$498,1,FALSE)),"",VLOOKUP($X483,Лист2!$A$2:$G$498,1,FALSE))</f>
        <v/>
      </c>
      <c r="Z483" s="5" t="str">
        <f>IF(ISERROR(VLOOKUP($X483,Лист2!$A$2:$G$498,5,FALSE)),"",VLOOKUP($X483,Лист2!$A$2:$G$498,5,FALSE))</f>
        <v/>
      </c>
      <c r="AA483" s="5" t="str">
        <f>IF(ISERROR(VLOOKUP($X483,Лист2!$A$2:$G$498,6,FALSE)),"",VLOOKUP($X483,Лист2!$A$2:$G$498,6,FALSE))</f>
        <v/>
      </c>
      <c r="AB483" s="5" t="str">
        <f>IF(ISERROR(VLOOKUP($X483,Лист2!$A$2:$G$498,7,FALSE)),"",VLOOKUP($X483,Лист2!$A$2:$G$498,7,FALSE))</f>
        <v/>
      </c>
    </row>
    <row r="484" spans="1:28" x14ac:dyDescent="0.25">
      <c r="A484" s="5" t="str">
        <f>IF(ISBLANK(Лист1!A484),"",Лист1!A484)</f>
        <v/>
      </c>
      <c r="B484" s="5" t="str">
        <f>IF(ISBLANK(Лист1!B484),"",Лист1!B484)</f>
        <v/>
      </c>
      <c r="C484" s="5" t="str">
        <f>IF(ISBLANK(Лист1!C484),"",Лист1!C484)</f>
        <v/>
      </c>
      <c r="D484" s="5" t="str">
        <f>IF(ISBLANK(Лист1!D484),"",Лист1!D484)</f>
        <v/>
      </c>
      <c r="E484" s="5" t="str">
        <f>IF(ISBLANK(Лист1!E484),"",Лист1!E484)</f>
        <v/>
      </c>
      <c r="F484" s="5" t="str">
        <f>IF(ISBLANK(Лист1!F484),"",Лист1!F484)</f>
        <v/>
      </c>
      <c r="G484" s="5" t="str">
        <f>IF(ISBLANK(Лист1!G484),"",Лист1!G484)</f>
        <v/>
      </c>
      <c r="H484" s="5" t="str">
        <f>IF(ISBLANK(Лист1!H484),"",Лист1!H484)</f>
        <v/>
      </c>
      <c r="I484" s="5" t="str">
        <f>IF(ISBLANK(Лист1!I484),"",Лист1!I484)</f>
        <v/>
      </c>
      <c r="J484" s="5" t="str">
        <f>IF(ISBLANK(Лист1!J484),"",Лист1!J484)</f>
        <v/>
      </c>
      <c r="K484" s="5" t="str">
        <f>IF(ISBLANK(Лист1!K484),"",Лист1!K484)</f>
        <v/>
      </c>
      <c r="L484" s="5" t="str">
        <f>IF(ISBLANK(Лист1!L484),"",Лист1!L484)</f>
        <v/>
      </c>
      <c r="M484" s="5" t="str">
        <f>IF(ISBLANK(Лист1!M484),"",Лист1!M484)</f>
        <v/>
      </c>
      <c r="N484" s="5" t="str">
        <f>IF(ISBLANK(Лист1!N484),"",Лист1!N484)</f>
        <v/>
      </c>
      <c r="O484" s="5" t="str">
        <f>IF(ISBLANK(Лист1!O484),"",Лист1!O484)</f>
        <v/>
      </c>
      <c r="P484" s="5" t="str">
        <f>IF(ISBLANK(Лист1!P484),"",Лист1!P484)</f>
        <v/>
      </c>
      <c r="Q484" s="5" t="str">
        <f>IF(ISBLANK(Лист1!Q484),"",Лист1!Q484)</f>
        <v/>
      </c>
      <c r="R484" s="5" t="str">
        <f>IF(ISBLANK(Лист1!R484),"",Лист1!R484)</f>
        <v/>
      </c>
      <c r="S484" s="5" t="str">
        <f>IF(ISBLANK(Лист1!S484),"",Лист1!S484)</f>
        <v/>
      </c>
      <c r="T484" s="5" t="str">
        <f>IF(ISBLANK(Лист1!T484),"",Лист1!T484)</f>
        <v/>
      </c>
      <c r="U484" s="5" t="str">
        <f>IF(ISBLANK(Лист1!U484),"",Лист1!U484)</f>
        <v/>
      </c>
      <c r="V484" s="5" t="str">
        <f>IF(ISBLANK(Лист1!V484),"",Лист1!V484)</f>
        <v/>
      </c>
      <c r="W484" s="5" t="str">
        <f>IF(ISBLANK(Лист1!W484),"",Лист1!W484)</f>
        <v/>
      </c>
      <c r="X484" s="5" t="str">
        <f>IF(ISBLANK(Лист1!X484),"",Лист1!X484)</f>
        <v/>
      </c>
      <c r="Y484" s="5" t="str">
        <f>IF(ISERROR(VLOOKUP($X484,Лист2!$A$2:$G$498,1,FALSE)),"",VLOOKUP($X484,Лист2!$A$2:$G$498,1,FALSE))</f>
        <v/>
      </c>
      <c r="Z484" s="5" t="str">
        <f>IF(ISERROR(VLOOKUP($X484,Лист2!$A$2:$G$498,5,FALSE)),"",VLOOKUP($X484,Лист2!$A$2:$G$498,5,FALSE))</f>
        <v/>
      </c>
      <c r="AA484" s="5" t="str">
        <f>IF(ISERROR(VLOOKUP($X484,Лист2!$A$2:$G$498,6,FALSE)),"",VLOOKUP($X484,Лист2!$A$2:$G$498,6,FALSE))</f>
        <v/>
      </c>
      <c r="AB484" s="5" t="str">
        <f>IF(ISERROR(VLOOKUP($X484,Лист2!$A$2:$G$498,7,FALSE)),"",VLOOKUP($X484,Лист2!$A$2:$G$498,7,FALSE))</f>
        <v/>
      </c>
    </row>
    <row r="485" spans="1:28" x14ac:dyDescent="0.25">
      <c r="A485" s="5" t="str">
        <f>IF(ISBLANK(Лист1!A485),"",Лист1!A485)</f>
        <v/>
      </c>
      <c r="B485" s="5" t="str">
        <f>IF(ISBLANK(Лист1!B485),"",Лист1!B485)</f>
        <v/>
      </c>
      <c r="C485" s="5" t="str">
        <f>IF(ISBLANK(Лист1!C485),"",Лист1!C485)</f>
        <v/>
      </c>
      <c r="D485" s="5" t="str">
        <f>IF(ISBLANK(Лист1!D485),"",Лист1!D485)</f>
        <v/>
      </c>
      <c r="E485" s="5" t="str">
        <f>IF(ISBLANK(Лист1!E485),"",Лист1!E485)</f>
        <v/>
      </c>
      <c r="F485" s="5" t="str">
        <f>IF(ISBLANK(Лист1!F485),"",Лист1!F485)</f>
        <v/>
      </c>
      <c r="G485" s="5" t="str">
        <f>IF(ISBLANK(Лист1!G485),"",Лист1!G485)</f>
        <v/>
      </c>
      <c r="H485" s="5" t="str">
        <f>IF(ISBLANK(Лист1!H485),"",Лист1!H485)</f>
        <v/>
      </c>
      <c r="I485" s="5" t="str">
        <f>IF(ISBLANK(Лист1!I485),"",Лист1!I485)</f>
        <v/>
      </c>
      <c r="J485" s="5" t="str">
        <f>IF(ISBLANK(Лист1!J485),"",Лист1!J485)</f>
        <v/>
      </c>
      <c r="K485" s="5" t="str">
        <f>IF(ISBLANK(Лист1!K485),"",Лист1!K485)</f>
        <v/>
      </c>
      <c r="L485" s="5" t="str">
        <f>IF(ISBLANK(Лист1!L485),"",Лист1!L485)</f>
        <v/>
      </c>
      <c r="M485" s="5" t="str">
        <f>IF(ISBLANK(Лист1!M485),"",Лист1!M485)</f>
        <v/>
      </c>
      <c r="N485" s="5" t="str">
        <f>IF(ISBLANK(Лист1!N485),"",Лист1!N485)</f>
        <v/>
      </c>
      <c r="O485" s="5" t="str">
        <f>IF(ISBLANK(Лист1!O485),"",Лист1!O485)</f>
        <v/>
      </c>
      <c r="P485" s="5" t="str">
        <f>IF(ISBLANK(Лист1!P485),"",Лист1!P485)</f>
        <v/>
      </c>
      <c r="Q485" s="5" t="str">
        <f>IF(ISBLANK(Лист1!Q485),"",Лист1!Q485)</f>
        <v/>
      </c>
      <c r="R485" s="5" t="str">
        <f>IF(ISBLANK(Лист1!R485),"",Лист1!R485)</f>
        <v/>
      </c>
      <c r="S485" s="5" t="str">
        <f>IF(ISBLANK(Лист1!S485),"",Лист1!S485)</f>
        <v/>
      </c>
      <c r="T485" s="5" t="str">
        <f>IF(ISBLANK(Лист1!T485),"",Лист1!T485)</f>
        <v/>
      </c>
      <c r="U485" s="5" t="str">
        <f>IF(ISBLANK(Лист1!U485),"",Лист1!U485)</f>
        <v/>
      </c>
      <c r="V485" s="5" t="str">
        <f>IF(ISBLANK(Лист1!V485),"",Лист1!V485)</f>
        <v/>
      </c>
      <c r="W485" s="5" t="str">
        <f>IF(ISBLANK(Лист1!W485),"",Лист1!W485)</f>
        <v/>
      </c>
      <c r="X485" s="5" t="str">
        <f>IF(ISBLANK(Лист1!X485),"",Лист1!X485)</f>
        <v/>
      </c>
      <c r="Y485" s="5" t="str">
        <f>IF(ISERROR(VLOOKUP($X485,Лист2!$A$2:$G$498,1,FALSE)),"",VLOOKUP($X485,Лист2!$A$2:$G$498,1,FALSE))</f>
        <v/>
      </c>
      <c r="Z485" s="5" t="str">
        <f>IF(ISERROR(VLOOKUP($X485,Лист2!$A$2:$G$498,5,FALSE)),"",VLOOKUP($X485,Лист2!$A$2:$G$498,5,FALSE))</f>
        <v/>
      </c>
      <c r="AA485" s="5" t="str">
        <f>IF(ISERROR(VLOOKUP($X485,Лист2!$A$2:$G$498,6,FALSE)),"",VLOOKUP($X485,Лист2!$A$2:$G$498,6,FALSE))</f>
        <v/>
      </c>
      <c r="AB485" s="5" t="str">
        <f>IF(ISERROR(VLOOKUP($X485,Лист2!$A$2:$G$498,7,FALSE)),"",VLOOKUP($X485,Лист2!$A$2:$G$498,7,FALSE))</f>
        <v/>
      </c>
    </row>
    <row r="486" spans="1:28" x14ac:dyDescent="0.25">
      <c r="A486" s="5" t="str">
        <f>IF(ISBLANK(Лист1!A486),"",Лист1!A486)</f>
        <v/>
      </c>
      <c r="B486" s="5" t="str">
        <f>IF(ISBLANK(Лист1!B486),"",Лист1!B486)</f>
        <v/>
      </c>
      <c r="C486" s="5" t="str">
        <f>IF(ISBLANK(Лист1!C486),"",Лист1!C486)</f>
        <v/>
      </c>
      <c r="D486" s="5" t="str">
        <f>IF(ISBLANK(Лист1!D486),"",Лист1!D486)</f>
        <v/>
      </c>
      <c r="E486" s="5" t="str">
        <f>IF(ISBLANK(Лист1!E486),"",Лист1!E486)</f>
        <v/>
      </c>
      <c r="F486" s="5" t="str">
        <f>IF(ISBLANK(Лист1!F486),"",Лист1!F486)</f>
        <v/>
      </c>
      <c r="G486" s="5" t="str">
        <f>IF(ISBLANK(Лист1!G486),"",Лист1!G486)</f>
        <v/>
      </c>
      <c r="H486" s="5" t="str">
        <f>IF(ISBLANK(Лист1!H486),"",Лист1!H486)</f>
        <v/>
      </c>
      <c r="I486" s="5" t="str">
        <f>IF(ISBLANK(Лист1!I486),"",Лист1!I486)</f>
        <v/>
      </c>
      <c r="J486" s="5" t="str">
        <f>IF(ISBLANK(Лист1!J486),"",Лист1!J486)</f>
        <v/>
      </c>
      <c r="K486" s="5" t="str">
        <f>IF(ISBLANK(Лист1!K486),"",Лист1!K486)</f>
        <v/>
      </c>
      <c r="L486" s="5" t="str">
        <f>IF(ISBLANK(Лист1!L486),"",Лист1!L486)</f>
        <v/>
      </c>
      <c r="M486" s="5" t="str">
        <f>IF(ISBLANK(Лист1!M486),"",Лист1!M486)</f>
        <v/>
      </c>
      <c r="N486" s="5" t="str">
        <f>IF(ISBLANK(Лист1!N486),"",Лист1!N486)</f>
        <v/>
      </c>
      <c r="O486" s="5" t="str">
        <f>IF(ISBLANK(Лист1!O486),"",Лист1!O486)</f>
        <v/>
      </c>
      <c r="P486" s="5" t="str">
        <f>IF(ISBLANK(Лист1!P486),"",Лист1!P486)</f>
        <v/>
      </c>
      <c r="Q486" s="5" t="str">
        <f>IF(ISBLANK(Лист1!Q486),"",Лист1!Q486)</f>
        <v/>
      </c>
      <c r="R486" s="5" t="str">
        <f>IF(ISBLANK(Лист1!R486),"",Лист1!R486)</f>
        <v/>
      </c>
      <c r="S486" s="5" t="str">
        <f>IF(ISBLANK(Лист1!S486),"",Лист1!S486)</f>
        <v/>
      </c>
      <c r="T486" s="5" t="str">
        <f>IF(ISBLANK(Лист1!T486),"",Лист1!T486)</f>
        <v/>
      </c>
      <c r="U486" s="5" t="str">
        <f>IF(ISBLANK(Лист1!U486),"",Лист1!U486)</f>
        <v/>
      </c>
      <c r="V486" s="5" t="str">
        <f>IF(ISBLANK(Лист1!V486),"",Лист1!V486)</f>
        <v/>
      </c>
      <c r="W486" s="5" t="str">
        <f>IF(ISBLANK(Лист1!W486),"",Лист1!W486)</f>
        <v/>
      </c>
      <c r="X486" s="5" t="str">
        <f>IF(ISBLANK(Лист1!X486),"",Лист1!X486)</f>
        <v/>
      </c>
      <c r="Y486" s="5" t="str">
        <f>IF(ISERROR(VLOOKUP($X486,Лист2!$A$2:$G$498,1,FALSE)),"",VLOOKUP($X486,Лист2!$A$2:$G$498,1,FALSE))</f>
        <v/>
      </c>
      <c r="Z486" s="5" t="str">
        <f>IF(ISERROR(VLOOKUP($X486,Лист2!$A$2:$G$498,5,FALSE)),"",VLOOKUP($X486,Лист2!$A$2:$G$498,5,FALSE))</f>
        <v/>
      </c>
      <c r="AA486" s="5" t="str">
        <f>IF(ISERROR(VLOOKUP($X486,Лист2!$A$2:$G$498,6,FALSE)),"",VLOOKUP($X486,Лист2!$A$2:$G$498,6,FALSE))</f>
        <v/>
      </c>
      <c r="AB486" s="5" t="str">
        <f>IF(ISERROR(VLOOKUP($X486,Лист2!$A$2:$G$498,7,FALSE)),"",VLOOKUP($X486,Лист2!$A$2:$G$498,7,FALSE))</f>
        <v/>
      </c>
    </row>
    <row r="487" spans="1:28" x14ac:dyDescent="0.25">
      <c r="A487" s="5" t="str">
        <f>IF(ISBLANK(Лист1!A487),"",Лист1!A487)</f>
        <v/>
      </c>
      <c r="B487" s="5" t="str">
        <f>IF(ISBLANK(Лист1!B487),"",Лист1!B487)</f>
        <v/>
      </c>
      <c r="C487" s="5" t="str">
        <f>IF(ISBLANK(Лист1!C487),"",Лист1!C487)</f>
        <v/>
      </c>
      <c r="D487" s="5" t="str">
        <f>IF(ISBLANK(Лист1!D487),"",Лист1!D487)</f>
        <v/>
      </c>
      <c r="E487" s="5" t="str">
        <f>IF(ISBLANK(Лист1!E487),"",Лист1!E487)</f>
        <v/>
      </c>
      <c r="F487" s="5" t="str">
        <f>IF(ISBLANK(Лист1!F487),"",Лист1!F487)</f>
        <v/>
      </c>
      <c r="G487" s="5" t="str">
        <f>IF(ISBLANK(Лист1!G487),"",Лист1!G487)</f>
        <v/>
      </c>
      <c r="H487" s="5" t="str">
        <f>IF(ISBLANK(Лист1!H487),"",Лист1!H487)</f>
        <v/>
      </c>
      <c r="I487" s="5" t="str">
        <f>IF(ISBLANK(Лист1!I487),"",Лист1!I487)</f>
        <v/>
      </c>
      <c r="J487" s="5" t="str">
        <f>IF(ISBLANK(Лист1!J487),"",Лист1!J487)</f>
        <v/>
      </c>
      <c r="K487" s="5" t="str">
        <f>IF(ISBLANK(Лист1!K487),"",Лист1!K487)</f>
        <v/>
      </c>
      <c r="L487" s="5" t="str">
        <f>IF(ISBLANK(Лист1!L487),"",Лист1!L487)</f>
        <v/>
      </c>
      <c r="M487" s="5" t="str">
        <f>IF(ISBLANK(Лист1!M487),"",Лист1!M487)</f>
        <v/>
      </c>
      <c r="N487" s="5" t="str">
        <f>IF(ISBLANK(Лист1!N487),"",Лист1!N487)</f>
        <v/>
      </c>
      <c r="O487" s="5" t="str">
        <f>IF(ISBLANK(Лист1!O487),"",Лист1!O487)</f>
        <v/>
      </c>
      <c r="P487" s="5" t="str">
        <f>IF(ISBLANK(Лист1!P487),"",Лист1!P487)</f>
        <v/>
      </c>
      <c r="Q487" s="5" t="str">
        <f>IF(ISBLANK(Лист1!Q487),"",Лист1!Q487)</f>
        <v/>
      </c>
      <c r="R487" s="5" t="str">
        <f>IF(ISBLANK(Лист1!R487),"",Лист1!R487)</f>
        <v/>
      </c>
      <c r="S487" s="5" t="str">
        <f>IF(ISBLANK(Лист1!S487),"",Лист1!S487)</f>
        <v/>
      </c>
      <c r="T487" s="5" t="str">
        <f>IF(ISBLANK(Лист1!T487),"",Лист1!T487)</f>
        <v/>
      </c>
      <c r="U487" s="5" t="str">
        <f>IF(ISBLANK(Лист1!U487),"",Лист1!U487)</f>
        <v/>
      </c>
      <c r="V487" s="5" t="str">
        <f>IF(ISBLANK(Лист1!V487),"",Лист1!V487)</f>
        <v/>
      </c>
      <c r="W487" s="5" t="str">
        <f>IF(ISBLANK(Лист1!W487),"",Лист1!W487)</f>
        <v/>
      </c>
      <c r="X487" s="5" t="str">
        <f>IF(ISBLANK(Лист1!X487),"",Лист1!X487)</f>
        <v/>
      </c>
      <c r="Y487" s="5" t="str">
        <f>IF(ISERROR(VLOOKUP($X487,Лист2!$A$2:$G$498,1,FALSE)),"",VLOOKUP($X487,Лист2!$A$2:$G$498,1,FALSE))</f>
        <v/>
      </c>
      <c r="Z487" s="5" t="str">
        <f>IF(ISERROR(VLOOKUP($X487,Лист2!$A$2:$G$498,5,FALSE)),"",VLOOKUP($X487,Лист2!$A$2:$G$498,5,FALSE))</f>
        <v/>
      </c>
      <c r="AA487" s="5" t="str">
        <f>IF(ISERROR(VLOOKUP($X487,Лист2!$A$2:$G$498,6,FALSE)),"",VLOOKUP($X487,Лист2!$A$2:$G$498,6,FALSE))</f>
        <v/>
      </c>
      <c r="AB487" s="5" t="str">
        <f>IF(ISERROR(VLOOKUP($X487,Лист2!$A$2:$G$498,7,FALSE)),"",VLOOKUP($X487,Лист2!$A$2:$G$498,7,FALSE))</f>
        <v/>
      </c>
    </row>
    <row r="488" spans="1:28" x14ac:dyDescent="0.25">
      <c r="A488" s="5" t="str">
        <f>IF(ISBLANK(Лист1!A488),"",Лист1!A488)</f>
        <v/>
      </c>
      <c r="B488" s="5" t="str">
        <f>IF(ISBLANK(Лист1!B488),"",Лист1!B488)</f>
        <v/>
      </c>
      <c r="C488" s="5" t="str">
        <f>IF(ISBLANK(Лист1!C488),"",Лист1!C488)</f>
        <v/>
      </c>
      <c r="D488" s="5" t="str">
        <f>IF(ISBLANK(Лист1!D488),"",Лист1!D488)</f>
        <v/>
      </c>
      <c r="E488" s="5" t="str">
        <f>IF(ISBLANK(Лист1!E488),"",Лист1!E488)</f>
        <v/>
      </c>
      <c r="F488" s="5" t="str">
        <f>IF(ISBLANK(Лист1!F488),"",Лист1!F488)</f>
        <v/>
      </c>
      <c r="G488" s="5" t="str">
        <f>IF(ISBLANK(Лист1!G488),"",Лист1!G488)</f>
        <v/>
      </c>
      <c r="H488" s="5" t="str">
        <f>IF(ISBLANK(Лист1!H488),"",Лист1!H488)</f>
        <v/>
      </c>
      <c r="I488" s="5" t="str">
        <f>IF(ISBLANK(Лист1!I488),"",Лист1!I488)</f>
        <v/>
      </c>
      <c r="J488" s="5" t="str">
        <f>IF(ISBLANK(Лист1!J488),"",Лист1!J488)</f>
        <v/>
      </c>
      <c r="K488" s="5" t="str">
        <f>IF(ISBLANK(Лист1!K488),"",Лист1!K488)</f>
        <v/>
      </c>
      <c r="L488" s="5" t="str">
        <f>IF(ISBLANK(Лист1!L488),"",Лист1!L488)</f>
        <v/>
      </c>
      <c r="M488" s="5" t="str">
        <f>IF(ISBLANK(Лист1!M488),"",Лист1!M488)</f>
        <v/>
      </c>
      <c r="N488" s="5" t="str">
        <f>IF(ISBLANK(Лист1!N488),"",Лист1!N488)</f>
        <v/>
      </c>
      <c r="O488" s="5" t="str">
        <f>IF(ISBLANK(Лист1!O488),"",Лист1!O488)</f>
        <v/>
      </c>
      <c r="P488" s="5" t="str">
        <f>IF(ISBLANK(Лист1!P488),"",Лист1!P488)</f>
        <v/>
      </c>
      <c r="Q488" s="5" t="str">
        <f>IF(ISBLANK(Лист1!Q488),"",Лист1!Q488)</f>
        <v/>
      </c>
      <c r="R488" s="5" t="str">
        <f>IF(ISBLANK(Лист1!R488),"",Лист1!R488)</f>
        <v/>
      </c>
      <c r="S488" s="5" t="str">
        <f>IF(ISBLANK(Лист1!S488),"",Лист1!S488)</f>
        <v/>
      </c>
      <c r="T488" s="5" t="str">
        <f>IF(ISBLANK(Лист1!T488),"",Лист1!T488)</f>
        <v/>
      </c>
      <c r="U488" s="5" t="str">
        <f>IF(ISBLANK(Лист1!U488),"",Лист1!U488)</f>
        <v/>
      </c>
      <c r="V488" s="5" t="str">
        <f>IF(ISBLANK(Лист1!V488),"",Лист1!V488)</f>
        <v/>
      </c>
      <c r="W488" s="5" t="str">
        <f>IF(ISBLANK(Лист1!W488),"",Лист1!W488)</f>
        <v/>
      </c>
      <c r="X488" s="5" t="str">
        <f>IF(ISBLANK(Лист1!X488),"",Лист1!X488)</f>
        <v/>
      </c>
      <c r="Y488" s="5" t="str">
        <f>IF(ISERROR(VLOOKUP($X488,Лист2!$A$2:$G$498,1,FALSE)),"",VLOOKUP($X488,Лист2!$A$2:$G$498,1,FALSE))</f>
        <v/>
      </c>
      <c r="Z488" s="5" t="str">
        <f>IF(ISERROR(VLOOKUP($X488,Лист2!$A$2:$G$498,5,FALSE)),"",VLOOKUP($X488,Лист2!$A$2:$G$498,5,FALSE))</f>
        <v/>
      </c>
      <c r="AA488" s="5" t="str">
        <f>IF(ISERROR(VLOOKUP($X488,Лист2!$A$2:$G$498,6,FALSE)),"",VLOOKUP($X488,Лист2!$A$2:$G$498,6,FALSE))</f>
        <v/>
      </c>
      <c r="AB488" s="5" t="str">
        <f>IF(ISERROR(VLOOKUP($X488,Лист2!$A$2:$G$498,7,FALSE)),"",VLOOKUP($X488,Лист2!$A$2:$G$498,7,FALSE))</f>
        <v/>
      </c>
    </row>
    <row r="489" spans="1:28" x14ac:dyDescent="0.25">
      <c r="A489" s="5" t="str">
        <f>IF(ISBLANK(Лист1!A489),"",Лист1!A489)</f>
        <v/>
      </c>
      <c r="B489" s="5" t="str">
        <f>IF(ISBLANK(Лист1!B489),"",Лист1!B489)</f>
        <v/>
      </c>
      <c r="C489" s="5" t="str">
        <f>IF(ISBLANK(Лист1!C489),"",Лист1!C489)</f>
        <v/>
      </c>
      <c r="D489" s="5" t="str">
        <f>IF(ISBLANK(Лист1!D489),"",Лист1!D489)</f>
        <v/>
      </c>
      <c r="E489" s="5" t="str">
        <f>IF(ISBLANK(Лист1!E489),"",Лист1!E489)</f>
        <v/>
      </c>
      <c r="F489" s="5" t="str">
        <f>IF(ISBLANK(Лист1!F489),"",Лист1!F489)</f>
        <v/>
      </c>
      <c r="G489" s="5" t="str">
        <f>IF(ISBLANK(Лист1!G489),"",Лист1!G489)</f>
        <v/>
      </c>
      <c r="H489" s="5" t="str">
        <f>IF(ISBLANK(Лист1!H489),"",Лист1!H489)</f>
        <v/>
      </c>
      <c r="I489" s="5" t="str">
        <f>IF(ISBLANK(Лист1!I489),"",Лист1!I489)</f>
        <v/>
      </c>
      <c r="J489" s="5" t="str">
        <f>IF(ISBLANK(Лист1!J489),"",Лист1!J489)</f>
        <v/>
      </c>
      <c r="K489" s="5" t="str">
        <f>IF(ISBLANK(Лист1!K489),"",Лист1!K489)</f>
        <v/>
      </c>
      <c r="L489" s="5" t="str">
        <f>IF(ISBLANK(Лист1!L489),"",Лист1!L489)</f>
        <v/>
      </c>
      <c r="M489" s="5" t="str">
        <f>IF(ISBLANK(Лист1!M489),"",Лист1!M489)</f>
        <v/>
      </c>
      <c r="N489" s="5" t="str">
        <f>IF(ISBLANK(Лист1!N489),"",Лист1!N489)</f>
        <v/>
      </c>
      <c r="O489" s="5" t="str">
        <f>IF(ISBLANK(Лист1!O489),"",Лист1!O489)</f>
        <v/>
      </c>
      <c r="P489" s="5" t="str">
        <f>IF(ISBLANK(Лист1!P489),"",Лист1!P489)</f>
        <v/>
      </c>
      <c r="Q489" s="5" t="str">
        <f>IF(ISBLANK(Лист1!Q489),"",Лист1!Q489)</f>
        <v/>
      </c>
      <c r="R489" s="5" t="str">
        <f>IF(ISBLANK(Лист1!R489),"",Лист1!R489)</f>
        <v/>
      </c>
      <c r="S489" s="5" t="str">
        <f>IF(ISBLANK(Лист1!S489),"",Лист1!S489)</f>
        <v/>
      </c>
      <c r="T489" s="5" t="str">
        <f>IF(ISBLANK(Лист1!T489),"",Лист1!T489)</f>
        <v/>
      </c>
      <c r="U489" s="5" t="str">
        <f>IF(ISBLANK(Лист1!U489),"",Лист1!U489)</f>
        <v/>
      </c>
      <c r="V489" s="5" t="str">
        <f>IF(ISBLANK(Лист1!V489),"",Лист1!V489)</f>
        <v/>
      </c>
      <c r="W489" s="5" t="str">
        <f>IF(ISBLANK(Лист1!W489),"",Лист1!W489)</f>
        <v/>
      </c>
      <c r="X489" s="5" t="str">
        <f>IF(ISBLANK(Лист1!X489),"",Лист1!X489)</f>
        <v/>
      </c>
      <c r="Y489" s="5" t="str">
        <f>IF(ISERROR(VLOOKUP($X489,Лист2!$A$2:$G$498,1,FALSE)),"",VLOOKUP($X489,Лист2!$A$2:$G$498,1,FALSE))</f>
        <v/>
      </c>
      <c r="Z489" s="5" t="str">
        <f>IF(ISERROR(VLOOKUP($X489,Лист2!$A$2:$G$498,5,FALSE)),"",VLOOKUP($X489,Лист2!$A$2:$G$498,5,FALSE))</f>
        <v/>
      </c>
      <c r="AA489" s="5" t="str">
        <f>IF(ISERROR(VLOOKUP($X489,Лист2!$A$2:$G$498,6,FALSE)),"",VLOOKUP($X489,Лист2!$A$2:$G$498,6,FALSE))</f>
        <v/>
      </c>
      <c r="AB489" s="5" t="str">
        <f>IF(ISERROR(VLOOKUP($X489,Лист2!$A$2:$G$498,7,FALSE)),"",VLOOKUP($X489,Лист2!$A$2:$G$498,7,FALSE))</f>
        <v/>
      </c>
    </row>
    <row r="490" spans="1:28" x14ac:dyDescent="0.25">
      <c r="A490" s="5" t="str">
        <f>IF(ISBLANK(Лист1!A490),"",Лист1!A490)</f>
        <v/>
      </c>
      <c r="B490" s="5" t="str">
        <f>IF(ISBLANK(Лист1!B490),"",Лист1!B490)</f>
        <v/>
      </c>
      <c r="C490" s="5" t="str">
        <f>IF(ISBLANK(Лист1!C490),"",Лист1!C490)</f>
        <v/>
      </c>
      <c r="D490" s="5" t="str">
        <f>IF(ISBLANK(Лист1!D490),"",Лист1!D490)</f>
        <v/>
      </c>
      <c r="E490" s="5" t="str">
        <f>IF(ISBLANK(Лист1!E490),"",Лист1!E490)</f>
        <v/>
      </c>
      <c r="F490" s="5" t="str">
        <f>IF(ISBLANK(Лист1!F490),"",Лист1!F490)</f>
        <v/>
      </c>
      <c r="G490" s="5" t="str">
        <f>IF(ISBLANK(Лист1!G490),"",Лист1!G490)</f>
        <v/>
      </c>
      <c r="H490" s="5" t="str">
        <f>IF(ISBLANK(Лист1!H490),"",Лист1!H490)</f>
        <v/>
      </c>
      <c r="I490" s="5" t="str">
        <f>IF(ISBLANK(Лист1!I490),"",Лист1!I490)</f>
        <v/>
      </c>
      <c r="J490" s="5" t="str">
        <f>IF(ISBLANK(Лист1!J490),"",Лист1!J490)</f>
        <v/>
      </c>
      <c r="K490" s="5" t="str">
        <f>IF(ISBLANK(Лист1!K490),"",Лист1!K490)</f>
        <v/>
      </c>
      <c r="L490" s="5" t="str">
        <f>IF(ISBLANK(Лист1!L490),"",Лист1!L490)</f>
        <v/>
      </c>
      <c r="M490" s="5" t="str">
        <f>IF(ISBLANK(Лист1!M490),"",Лист1!M490)</f>
        <v/>
      </c>
      <c r="N490" s="5" t="str">
        <f>IF(ISBLANK(Лист1!N490),"",Лист1!N490)</f>
        <v/>
      </c>
      <c r="O490" s="5" t="str">
        <f>IF(ISBLANK(Лист1!O490),"",Лист1!O490)</f>
        <v/>
      </c>
      <c r="P490" s="5" t="str">
        <f>IF(ISBLANK(Лист1!P490),"",Лист1!P490)</f>
        <v/>
      </c>
      <c r="Q490" s="5" t="str">
        <f>IF(ISBLANK(Лист1!Q490),"",Лист1!Q490)</f>
        <v/>
      </c>
      <c r="R490" s="5" t="str">
        <f>IF(ISBLANK(Лист1!R490),"",Лист1!R490)</f>
        <v/>
      </c>
      <c r="S490" s="5" t="str">
        <f>IF(ISBLANK(Лист1!S490),"",Лист1!S490)</f>
        <v/>
      </c>
      <c r="T490" s="5" t="str">
        <f>IF(ISBLANK(Лист1!T490),"",Лист1!T490)</f>
        <v/>
      </c>
      <c r="U490" s="5" t="str">
        <f>IF(ISBLANK(Лист1!U490),"",Лист1!U490)</f>
        <v/>
      </c>
      <c r="V490" s="5" t="str">
        <f>IF(ISBLANK(Лист1!V490),"",Лист1!V490)</f>
        <v/>
      </c>
      <c r="W490" s="5" t="str">
        <f>IF(ISBLANK(Лист1!W490),"",Лист1!W490)</f>
        <v/>
      </c>
      <c r="X490" s="5" t="str">
        <f>IF(ISBLANK(Лист1!X490),"",Лист1!X490)</f>
        <v/>
      </c>
      <c r="Y490" s="5" t="str">
        <f>IF(ISERROR(VLOOKUP($X490,Лист2!$A$2:$G$498,1,FALSE)),"",VLOOKUP($X490,Лист2!$A$2:$G$498,1,FALSE))</f>
        <v/>
      </c>
      <c r="Z490" s="5" t="str">
        <f>IF(ISERROR(VLOOKUP($X490,Лист2!$A$2:$G$498,5,FALSE)),"",VLOOKUP($X490,Лист2!$A$2:$G$498,5,FALSE))</f>
        <v/>
      </c>
      <c r="AA490" s="5" t="str">
        <f>IF(ISERROR(VLOOKUP($X490,Лист2!$A$2:$G$498,6,FALSE)),"",VLOOKUP($X490,Лист2!$A$2:$G$498,6,FALSE))</f>
        <v/>
      </c>
      <c r="AB490" s="5" t="str">
        <f>IF(ISERROR(VLOOKUP($X490,Лист2!$A$2:$G$498,7,FALSE)),"",VLOOKUP($X490,Лист2!$A$2:$G$498,7,FALSE))</f>
        <v/>
      </c>
    </row>
    <row r="491" spans="1:28" x14ac:dyDescent="0.25">
      <c r="A491" s="5" t="str">
        <f>IF(ISBLANK(Лист1!A491),"",Лист1!A491)</f>
        <v/>
      </c>
      <c r="B491" s="5" t="str">
        <f>IF(ISBLANK(Лист1!B491),"",Лист1!B491)</f>
        <v/>
      </c>
      <c r="C491" s="5" t="str">
        <f>IF(ISBLANK(Лист1!C491),"",Лист1!C491)</f>
        <v/>
      </c>
      <c r="D491" s="5" t="str">
        <f>IF(ISBLANK(Лист1!D491),"",Лист1!D491)</f>
        <v/>
      </c>
      <c r="E491" s="5" t="str">
        <f>IF(ISBLANK(Лист1!E491),"",Лист1!E491)</f>
        <v/>
      </c>
      <c r="F491" s="5" t="str">
        <f>IF(ISBLANK(Лист1!F491),"",Лист1!F491)</f>
        <v/>
      </c>
      <c r="G491" s="5" t="str">
        <f>IF(ISBLANK(Лист1!G491),"",Лист1!G491)</f>
        <v/>
      </c>
      <c r="H491" s="5" t="str">
        <f>IF(ISBLANK(Лист1!H491),"",Лист1!H491)</f>
        <v/>
      </c>
      <c r="I491" s="5" t="str">
        <f>IF(ISBLANK(Лист1!I491),"",Лист1!I491)</f>
        <v/>
      </c>
      <c r="J491" s="5" t="str">
        <f>IF(ISBLANK(Лист1!J491),"",Лист1!J491)</f>
        <v/>
      </c>
      <c r="K491" s="5" t="str">
        <f>IF(ISBLANK(Лист1!K491),"",Лист1!K491)</f>
        <v/>
      </c>
      <c r="L491" s="5" t="str">
        <f>IF(ISBLANK(Лист1!L491),"",Лист1!L491)</f>
        <v/>
      </c>
      <c r="M491" s="5" t="str">
        <f>IF(ISBLANK(Лист1!M491),"",Лист1!M491)</f>
        <v/>
      </c>
      <c r="N491" s="5" t="str">
        <f>IF(ISBLANK(Лист1!N491),"",Лист1!N491)</f>
        <v/>
      </c>
      <c r="O491" s="5" t="str">
        <f>IF(ISBLANK(Лист1!O491),"",Лист1!O491)</f>
        <v/>
      </c>
      <c r="P491" s="5" t="str">
        <f>IF(ISBLANK(Лист1!P491),"",Лист1!P491)</f>
        <v/>
      </c>
      <c r="Q491" s="5" t="str">
        <f>IF(ISBLANK(Лист1!Q491),"",Лист1!Q491)</f>
        <v/>
      </c>
      <c r="R491" s="5" t="str">
        <f>IF(ISBLANK(Лист1!R491),"",Лист1!R491)</f>
        <v/>
      </c>
      <c r="S491" s="5" t="str">
        <f>IF(ISBLANK(Лист1!S491),"",Лист1!S491)</f>
        <v/>
      </c>
      <c r="T491" s="5" t="str">
        <f>IF(ISBLANK(Лист1!T491),"",Лист1!T491)</f>
        <v/>
      </c>
      <c r="U491" s="5" t="str">
        <f>IF(ISBLANK(Лист1!U491),"",Лист1!U491)</f>
        <v/>
      </c>
      <c r="V491" s="5" t="str">
        <f>IF(ISBLANK(Лист1!V491),"",Лист1!V491)</f>
        <v/>
      </c>
      <c r="W491" s="5" t="str">
        <f>IF(ISBLANK(Лист1!W491),"",Лист1!W491)</f>
        <v/>
      </c>
      <c r="X491" s="5" t="str">
        <f>IF(ISBLANK(Лист1!X491),"",Лист1!X491)</f>
        <v/>
      </c>
      <c r="Y491" s="5" t="str">
        <f>IF(ISERROR(VLOOKUP($X491,Лист2!$A$2:$G$498,1,FALSE)),"",VLOOKUP($X491,Лист2!$A$2:$G$498,1,FALSE))</f>
        <v/>
      </c>
      <c r="Z491" s="5" t="str">
        <f>IF(ISERROR(VLOOKUP($X491,Лист2!$A$2:$G$498,5,FALSE)),"",VLOOKUP($X491,Лист2!$A$2:$G$498,5,FALSE))</f>
        <v/>
      </c>
      <c r="AA491" s="5" t="str">
        <f>IF(ISERROR(VLOOKUP($X491,Лист2!$A$2:$G$498,6,FALSE)),"",VLOOKUP($X491,Лист2!$A$2:$G$498,6,FALSE))</f>
        <v/>
      </c>
      <c r="AB491" s="5" t="str">
        <f>IF(ISERROR(VLOOKUP($X491,Лист2!$A$2:$G$498,7,FALSE)),"",VLOOKUP($X491,Лист2!$A$2:$G$498,7,FALSE))</f>
        <v/>
      </c>
    </row>
    <row r="492" spans="1:28" x14ac:dyDescent="0.25">
      <c r="A492" s="5" t="str">
        <f>IF(ISBLANK(Лист1!A492),"",Лист1!A492)</f>
        <v/>
      </c>
      <c r="B492" s="5" t="str">
        <f>IF(ISBLANK(Лист1!B492),"",Лист1!B492)</f>
        <v/>
      </c>
      <c r="C492" s="5" t="str">
        <f>IF(ISBLANK(Лист1!C492),"",Лист1!C492)</f>
        <v/>
      </c>
      <c r="D492" s="5" t="str">
        <f>IF(ISBLANK(Лист1!D492),"",Лист1!D492)</f>
        <v/>
      </c>
      <c r="E492" s="5" t="str">
        <f>IF(ISBLANK(Лист1!E492),"",Лист1!E492)</f>
        <v/>
      </c>
      <c r="F492" s="5" t="str">
        <f>IF(ISBLANK(Лист1!F492),"",Лист1!F492)</f>
        <v/>
      </c>
      <c r="G492" s="5" t="str">
        <f>IF(ISBLANK(Лист1!G492),"",Лист1!G492)</f>
        <v/>
      </c>
      <c r="H492" s="5" t="str">
        <f>IF(ISBLANK(Лист1!H492),"",Лист1!H492)</f>
        <v/>
      </c>
      <c r="I492" s="5" t="str">
        <f>IF(ISBLANK(Лист1!I492),"",Лист1!I492)</f>
        <v/>
      </c>
      <c r="J492" s="5" t="str">
        <f>IF(ISBLANK(Лист1!J492),"",Лист1!J492)</f>
        <v/>
      </c>
      <c r="K492" s="5" t="str">
        <f>IF(ISBLANK(Лист1!K492),"",Лист1!K492)</f>
        <v/>
      </c>
      <c r="L492" s="5" t="str">
        <f>IF(ISBLANK(Лист1!L492),"",Лист1!L492)</f>
        <v/>
      </c>
      <c r="M492" s="5" t="str">
        <f>IF(ISBLANK(Лист1!M492),"",Лист1!M492)</f>
        <v/>
      </c>
      <c r="N492" s="5" t="str">
        <f>IF(ISBLANK(Лист1!N492),"",Лист1!N492)</f>
        <v/>
      </c>
      <c r="O492" s="5" t="str">
        <f>IF(ISBLANK(Лист1!O492),"",Лист1!O492)</f>
        <v/>
      </c>
      <c r="P492" s="5" t="str">
        <f>IF(ISBLANK(Лист1!P492),"",Лист1!P492)</f>
        <v/>
      </c>
      <c r="Q492" s="5" t="str">
        <f>IF(ISBLANK(Лист1!Q492),"",Лист1!Q492)</f>
        <v/>
      </c>
      <c r="R492" s="5" t="str">
        <f>IF(ISBLANK(Лист1!R492),"",Лист1!R492)</f>
        <v/>
      </c>
      <c r="S492" s="5" t="str">
        <f>IF(ISBLANK(Лист1!S492),"",Лист1!S492)</f>
        <v/>
      </c>
      <c r="T492" s="5" t="str">
        <f>IF(ISBLANK(Лист1!T492),"",Лист1!T492)</f>
        <v/>
      </c>
      <c r="U492" s="5" t="str">
        <f>IF(ISBLANK(Лист1!U492),"",Лист1!U492)</f>
        <v/>
      </c>
      <c r="V492" s="5" t="str">
        <f>IF(ISBLANK(Лист1!V492),"",Лист1!V492)</f>
        <v/>
      </c>
      <c r="W492" s="5" t="str">
        <f>IF(ISBLANK(Лист1!W492),"",Лист1!W492)</f>
        <v/>
      </c>
      <c r="X492" s="5" t="str">
        <f>IF(ISBLANK(Лист1!X492),"",Лист1!X492)</f>
        <v/>
      </c>
      <c r="Y492" s="5" t="str">
        <f>IF(ISERROR(VLOOKUP($X492,Лист2!$A$2:$G$498,1,FALSE)),"",VLOOKUP($X492,Лист2!$A$2:$G$498,1,FALSE))</f>
        <v/>
      </c>
      <c r="Z492" s="5" t="str">
        <f>IF(ISERROR(VLOOKUP($X492,Лист2!$A$2:$G$498,5,FALSE)),"",VLOOKUP($X492,Лист2!$A$2:$G$498,5,FALSE))</f>
        <v/>
      </c>
      <c r="AA492" s="5" t="str">
        <f>IF(ISERROR(VLOOKUP($X492,Лист2!$A$2:$G$498,6,FALSE)),"",VLOOKUP($X492,Лист2!$A$2:$G$498,6,FALSE))</f>
        <v/>
      </c>
      <c r="AB492" s="5" t="str">
        <f>IF(ISERROR(VLOOKUP($X492,Лист2!$A$2:$G$498,7,FALSE)),"",VLOOKUP($X492,Лист2!$A$2:$G$498,7,FALSE))</f>
        <v/>
      </c>
    </row>
    <row r="493" spans="1:28" x14ac:dyDescent="0.25">
      <c r="A493" s="5" t="str">
        <f>IF(ISBLANK(Лист1!A493),"",Лист1!A493)</f>
        <v/>
      </c>
      <c r="B493" s="5" t="str">
        <f>IF(ISBLANK(Лист1!B493),"",Лист1!B493)</f>
        <v/>
      </c>
      <c r="C493" s="5" t="str">
        <f>IF(ISBLANK(Лист1!C493),"",Лист1!C493)</f>
        <v/>
      </c>
      <c r="D493" s="5" t="str">
        <f>IF(ISBLANK(Лист1!D493),"",Лист1!D493)</f>
        <v/>
      </c>
      <c r="E493" s="5" t="str">
        <f>IF(ISBLANK(Лист1!E493),"",Лист1!E493)</f>
        <v/>
      </c>
      <c r="F493" s="5" t="str">
        <f>IF(ISBLANK(Лист1!F493),"",Лист1!F493)</f>
        <v/>
      </c>
      <c r="G493" s="5" t="str">
        <f>IF(ISBLANK(Лист1!G493),"",Лист1!G493)</f>
        <v/>
      </c>
      <c r="H493" s="5" t="str">
        <f>IF(ISBLANK(Лист1!H493),"",Лист1!H493)</f>
        <v/>
      </c>
      <c r="I493" s="5" t="str">
        <f>IF(ISBLANK(Лист1!I493),"",Лист1!I493)</f>
        <v/>
      </c>
      <c r="J493" s="5" t="str">
        <f>IF(ISBLANK(Лист1!J493),"",Лист1!J493)</f>
        <v/>
      </c>
      <c r="K493" s="5" t="str">
        <f>IF(ISBLANK(Лист1!K493),"",Лист1!K493)</f>
        <v/>
      </c>
      <c r="L493" s="5" t="str">
        <f>IF(ISBLANK(Лист1!L493),"",Лист1!L493)</f>
        <v/>
      </c>
      <c r="M493" s="5" t="str">
        <f>IF(ISBLANK(Лист1!M493),"",Лист1!M493)</f>
        <v/>
      </c>
      <c r="N493" s="5" t="str">
        <f>IF(ISBLANK(Лист1!N493),"",Лист1!N493)</f>
        <v/>
      </c>
      <c r="O493" s="5" t="str">
        <f>IF(ISBLANK(Лист1!O493),"",Лист1!O493)</f>
        <v/>
      </c>
      <c r="P493" s="5" t="str">
        <f>IF(ISBLANK(Лист1!P493),"",Лист1!P493)</f>
        <v/>
      </c>
      <c r="Q493" s="5" t="str">
        <f>IF(ISBLANK(Лист1!Q493),"",Лист1!Q493)</f>
        <v/>
      </c>
      <c r="R493" s="5" t="str">
        <f>IF(ISBLANK(Лист1!R493),"",Лист1!R493)</f>
        <v/>
      </c>
      <c r="S493" s="5" t="str">
        <f>IF(ISBLANK(Лист1!S493),"",Лист1!S493)</f>
        <v/>
      </c>
      <c r="T493" s="5" t="str">
        <f>IF(ISBLANK(Лист1!T493),"",Лист1!T493)</f>
        <v/>
      </c>
      <c r="U493" s="5" t="str">
        <f>IF(ISBLANK(Лист1!U493),"",Лист1!U493)</f>
        <v/>
      </c>
      <c r="V493" s="5" t="str">
        <f>IF(ISBLANK(Лист1!V493),"",Лист1!V493)</f>
        <v/>
      </c>
      <c r="W493" s="5" t="str">
        <f>IF(ISBLANK(Лист1!W493),"",Лист1!W493)</f>
        <v/>
      </c>
      <c r="X493" s="5" t="str">
        <f>IF(ISBLANK(Лист1!X493),"",Лист1!X493)</f>
        <v/>
      </c>
      <c r="Y493" s="5" t="str">
        <f>IF(ISERROR(VLOOKUP($X493,Лист2!$A$2:$G$498,1,FALSE)),"",VLOOKUP($X493,Лист2!$A$2:$G$498,1,FALSE))</f>
        <v/>
      </c>
      <c r="Z493" s="5" t="str">
        <f>IF(ISERROR(VLOOKUP($X493,Лист2!$A$2:$G$498,5,FALSE)),"",VLOOKUP($X493,Лист2!$A$2:$G$498,5,FALSE))</f>
        <v/>
      </c>
      <c r="AA493" s="5" t="str">
        <f>IF(ISERROR(VLOOKUP($X493,Лист2!$A$2:$G$498,6,FALSE)),"",VLOOKUP($X493,Лист2!$A$2:$G$498,6,FALSE))</f>
        <v/>
      </c>
      <c r="AB493" s="5" t="str">
        <f>IF(ISERROR(VLOOKUP($X493,Лист2!$A$2:$G$498,7,FALSE)),"",VLOOKUP($X493,Лист2!$A$2:$G$498,7,FALSE))</f>
        <v/>
      </c>
    </row>
    <row r="494" spans="1:28" x14ac:dyDescent="0.25">
      <c r="A494" s="5" t="str">
        <f>IF(ISBLANK(Лист1!A494),"",Лист1!A494)</f>
        <v/>
      </c>
      <c r="B494" s="5" t="str">
        <f>IF(ISBLANK(Лист1!B494),"",Лист1!B494)</f>
        <v/>
      </c>
      <c r="C494" s="5" t="str">
        <f>IF(ISBLANK(Лист1!C494),"",Лист1!C494)</f>
        <v/>
      </c>
      <c r="D494" s="5" t="str">
        <f>IF(ISBLANK(Лист1!D494),"",Лист1!D494)</f>
        <v/>
      </c>
      <c r="E494" s="5" t="str">
        <f>IF(ISBLANK(Лист1!E494),"",Лист1!E494)</f>
        <v/>
      </c>
      <c r="F494" s="5" t="str">
        <f>IF(ISBLANK(Лист1!F494),"",Лист1!F494)</f>
        <v/>
      </c>
      <c r="G494" s="5" t="str">
        <f>IF(ISBLANK(Лист1!G494),"",Лист1!G494)</f>
        <v/>
      </c>
      <c r="H494" s="5" t="str">
        <f>IF(ISBLANK(Лист1!H494),"",Лист1!H494)</f>
        <v/>
      </c>
      <c r="I494" s="5" t="str">
        <f>IF(ISBLANK(Лист1!I494),"",Лист1!I494)</f>
        <v/>
      </c>
      <c r="J494" s="5" t="str">
        <f>IF(ISBLANK(Лист1!J494),"",Лист1!J494)</f>
        <v/>
      </c>
      <c r="K494" s="5" t="str">
        <f>IF(ISBLANK(Лист1!K494),"",Лист1!K494)</f>
        <v/>
      </c>
      <c r="L494" s="5" t="str">
        <f>IF(ISBLANK(Лист1!L494),"",Лист1!L494)</f>
        <v/>
      </c>
      <c r="M494" s="5" t="str">
        <f>IF(ISBLANK(Лист1!M494),"",Лист1!M494)</f>
        <v/>
      </c>
      <c r="N494" s="5" t="str">
        <f>IF(ISBLANK(Лист1!N494),"",Лист1!N494)</f>
        <v/>
      </c>
      <c r="O494" s="5" t="str">
        <f>IF(ISBLANK(Лист1!O494),"",Лист1!O494)</f>
        <v/>
      </c>
      <c r="P494" s="5" t="str">
        <f>IF(ISBLANK(Лист1!P494),"",Лист1!P494)</f>
        <v/>
      </c>
      <c r="Q494" s="5" t="str">
        <f>IF(ISBLANK(Лист1!Q494),"",Лист1!Q494)</f>
        <v/>
      </c>
      <c r="R494" s="5" t="str">
        <f>IF(ISBLANK(Лист1!R494),"",Лист1!R494)</f>
        <v/>
      </c>
      <c r="S494" s="5" t="str">
        <f>IF(ISBLANK(Лист1!S494),"",Лист1!S494)</f>
        <v/>
      </c>
      <c r="T494" s="5" t="str">
        <f>IF(ISBLANK(Лист1!T494),"",Лист1!T494)</f>
        <v/>
      </c>
      <c r="U494" s="5" t="str">
        <f>IF(ISBLANK(Лист1!U494),"",Лист1!U494)</f>
        <v/>
      </c>
      <c r="V494" s="5" t="str">
        <f>IF(ISBLANK(Лист1!V494),"",Лист1!V494)</f>
        <v/>
      </c>
      <c r="W494" s="5" t="str">
        <f>IF(ISBLANK(Лист1!W494),"",Лист1!W494)</f>
        <v/>
      </c>
      <c r="X494" s="5" t="str">
        <f>IF(ISBLANK(Лист1!X494),"",Лист1!X494)</f>
        <v/>
      </c>
      <c r="Y494" s="5" t="str">
        <f>IF(ISERROR(VLOOKUP($X494,Лист2!$A$2:$G$498,1,FALSE)),"",VLOOKUP($X494,Лист2!$A$2:$G$498,1,FALSE))</f>
        <v/>
      </c>
      <c r="Z494" s="5" t="str">
        <f>IF(ISERROR(VLOOKUP($X494,Лист2!$A$2:$G$498,5,FALSE)),"",VLOOKUP($X494,Лист2!$A$2:$G$498,5,FALSE))</f>
        <v/>
      </c>
      <c r="AA494" s="5" t="str">
        <f>IF(ISERROR(VLOOKUP($X494,Лист2!$A$2:$G$498,6,FALSE)),"",VLOOKUP($X494,Лист2!$A$2:$G$498,6,FALSE))</f>
        <v/>
      </c>
      <c r="AB494" s="5" t="str">
        <f>IF(ISERROR(VLOOKUP($X494,Лист2!$A$2:$G$498,7,FALSE)),"",VLOOKUP($X494,Лист2!$A$2:$G$498,7,FALSE))</f>
        <v/>
      </c>
    </row>
    <row r="495" spans="1:28" x14ac:dyDescent="0.25">
      <c r="A495" s="5" t="str">
        <f>IF(ISBLANK(Лист1!A495),"",Лист1!A495)</f>
        <v/>
      </c>
      <c r="B495" s="5" t="str">
        <f>IF(ISBLANK(Лист1!B495),"",Лист1!B495)</f>
        <v/>
      </c>
      <c r="C495" s="5" t="str">
        <f>IF(ISBLANK(Лист1!C495),"",Лист1!C495)</f>
        <v/>
      </c>
      <c r="D495" s="5" t="str">
        <f>IF(ISBLANK(Лист1!D495),"",Лист1!D495)</f>
        <v/>
      </c>
      <c r="E495" s="5" t="str">
        <f>IF(ISBLANK(Лист1!E495),"",Лист1!E495)</f>
        <v/>
      </c>
      <c r="F495" s="5" t="str">
        <f>IF(ISBLANK(Лист1!F495),"",Лист1!F495)</f>
        <v/>
      </c>
      <c r="G495" s="5" t="str">
        <f>IF(ISBLANK(Лист1!G495),"",Лист1!G495)</f>
        <v/>
      </c>
      <c r="H495" s="5" t="str">
        <f>IF(ISBLANK(Лист1!H495),"",Лист1!H495)</f>
        <v/>
      </c>
      <c r="I495" s="5" t="str">
        <f>IF(ISBLANK(Лист1!I495),"",Лист1!I495)</f>
        <v/>
      </c>
      <c r="J495" s="5" t="str">
        <f>IF(ISBLANK(Лист1!J495),"",Лист1!J495)</f>
        <v/>
      </c>
      <c r="K495" s="5" t="str">
        <f>IF(ISBLANK(Лист1!K495),"",Лист1!K495)</f>
        <v/>
      </c>
      <c r="L495" s="5" t="str">
        <f>IF(ISBLANK(Лист1!L495),"",Лист1!L495)</f>
        <v/>
      </c>
      <c r="M495" s="5" t="str">
        <f>IF(ISBLANK(Лист1!M495),"",Лист1!M495)</f>
        <v/>
      </c>
      <c r="N495" s="5" t="str">
        <f>IF(ISBLANK(Лист1!N495),"",Лист1!N495)</f>
        <v/>
      </c>
      <c r="O495" s="5" t="str">
        <f>IF(ISBLANK(Лист1!O495),"",Лист1!O495)</f>
        <v/>
      </c>
      <c r="P495" s="5" t="str">
        <f>IF(ISBLANK(Лист1!P495),"",Лист1!P495)</f>
        <v/>
      </c>
      <c r="Q495" s="5" t="str">
        <f>IF(ISBLANK(Лист1!Q495),"",Лист1!Q495)</f>
        <v/>
      </c>
      <c r="R495" s="5" t="str">
        <f>IF(ISBLANK(Лист1!R495),"",Лист1!R495)</f>
        <v/>
      </c>
      <c r="S495" s="5" t="str">
        <f>IF(ISBLANK(Лист1!S495),"",Лист1!S495)</f>
        <v/>
      </c>
      <c r="T495" s="5" t="str">
        <f>IF(ISBLANK(Лист1!T495),"",Лист1!T495)</f>
        <v/>
      </c>
      <c r="U495" s="5" t="str">
        <f>IF(ISBLANK(Лист1!U495),"",Лист1!U495)</f>
        <v/>
      </c>
      <c r="V495" s="5" t="str">
        <f>IF(ISBLANK(Лист1!V495),"",Лист1!V495)</f>
        <v/>
      </c>
      <c r="W495" s="5" t="str">
        <f>IF(ISBLANK(Лист1!W495),"",Лист1!W495)</f>
        <v/>
      </c>
      <c r="X495" s="5" t="str">
        <f>IF(ISBLANK(Лист1!X495),"",Лист1!X495)</f>
        <v/>
      </c>
      <c r="Y495" s="5" t="str">
        <f>IF(ISERROR(VLOOKUP($X495,Лист2!$A$2:$G$498,1,FALSE)),"",VLOOKUP($X495,Лист2!$A$2:$G$498,1,FALSE))</f>
        <v/>
      </c>
      <c r="Z495" s="5" t="str">
        <f>IF(ISERROR(VLOOKUP($X495,Лист2!$A$2:$G$498,5,FALSE)),"",VLOOKUP($X495,Лист2!$A$2:$G$498,5,FALSE))</f>
        <v/>
      </c>
      <c r="AA495" s="5" t="str">
        <f>IF(ISERROR(VLOOKUP($X495,Лист2!$A$2:$G$498,6,FALSE)),"",VLOOKUP($X495,Лист2!$A$2:$G$498,6,FALSE))</f>
        <v/>
      </c>
      <c r="AB495" s="5" t="str">
        <f>IF(ISERROR(VLOOKUP($X495,Лист2!$A$2:$G$498,7,FALSE)),"",VLOOKUP($X495,Лист2!$A$2:$G$498,7,FALSE))</f>
        <v/>
      </c>
    </row>
    <row r="496" spans="1:28" x14ac:dyDescent="0.25">
      <c r="A496" s="5" t="str">
        <f>IF(ISBLANK(Лист1!A496),"",Лист1!A496)</f>
        <v/>
      </c>
      <c r="B496" s="5" t="str">
        <f>IF(ISBLANK(Лист1!B496),"",Лист1!B496)</f>
        <v/>
      </c>
      <c r="C496" s="5" t="str">
        <f>IF(ISBLANK(Лист1!C496),"",Лист1!C496)</f>
        <v/>
      </c>
      <c r="D496" s="5" t="str">
        <f>IF(ISBLANK(Лист1!D496),"",Лист1!D496)</f>
        <v/>
      </c>
      <c r="E496" s="5" t="str">
        <f>IF(ISBLANK(Лист1!E496),"",Лист1!E496)</f>
        <v/>
      </c>
      <c r="F496" s="5" t="str">
        <f>IF(ISBLANK(Лист1!F496),"",Лист1!F496)</f>
        <v/>
      </c>
      <c r="G496" s="5" t="str">
        <f>IF(ISBLANK(Лист1!G496),"",Лист1!G496)</f>
        <v/>
      </c>
      <c r="H496" s="5" t="str">
        <f>IF(ISBLANK(Лист1!H496),"",Лист1!H496)</f>
        <v/>
      </c>
      <c r="I496" s="5" t="str">
        <f>IF(ISBLANK(Лист1!I496),"",Лист1!I496)</f>
        <v/>
      </c>
      <c r="J496" s="5" t="str">
        <f>IF(ISBLANK(Лист1!J496),"",Лист1!J496)</f>
        <v/>
      </c>
      <c r="K496" s="5" t="str">
        <f>IF(ISBLANK(Лист1!K496),"",Лист1!K496)</f>
        <v/>
      </c>
      <c r="L496" s="5" t="str">
        <f>IF(ISBLANK(Лист1!L496),"",Лист1!L496)</f>
        <v/>
      </c>
      <c r="M496" s="5" t="str">
        <f>IF(ISBLANK(Лист1!M496),"",Лист1!M496)</f>
        <v/>
      </c>
      <c r="N496" s="5" t="str">
        <f>IF(ISBLANK(Лист1!N496),"",Лист1!N496)</f>
        <v/>
      </c>
      <c r="O496" s="5" t="str">
        <f>IF(ISBLANK(Лист1!O496),"",Лист1!O496)</f>
        <v/>
      </c>
      <c r="P496" s="5" t="str">
        <f>IF(ISBLANK(Лист1!P496),"",Лист1!P496)</f>
        <v/>
      </c>
      <c r="Q496" s="5" t="str">
        <f>IF(ISBLANK(Лист1!Q496),"",Лист1!Q496)</f>
        <v/>
      </c>
      <c r="R496" s="5" t="str">
        <f>IF(ISBLANK(Лист1!R496),"",Лист1!R496)</f>
        <v/>
      </c>
      <c r="S496" s="5" t="str">
        <f>IF(ISBLANK(Лист1!S496),"",Лист1!S496)</f>
        <v/>
      </c>
      <c r="T496" s="5" t="str">
        <f>IF(ISBLANK(Лист1!T496),"",Лист1!T496)</f>
        <v/>
      </c>
      <c r="U496" s="5" t="str">
        <f>IF(ISBLANK(Лист1!U496),"",Лист1!U496)</f>
        <v/>
      </c>
      <c r="V496" s="5" t="str">
        <f>IF(ISBLANK(Лист1!V496),"",Лист1!V496)</f>
        <v/>
      </c>
      <c r="W496" s="5" t="str">
        <f>IF(ISBLANK(Лист1!W496),"",Лист1!W496)</f>
        <v/>
      </c>
      <c r="X496" s="5" t="str">
        <f>IF(ISBLANK(Лист1!X496),"",Лист1!X496)</f>
        <v/>
      </c>
      <c r="Y496" s="5" t="str">
        <f>IF(ISERROR(VLOOKUP($X496,Лист2!$A$2:$G$498,1,FALSE)),"",VLOOKUP($X496,Лист2!$A$2:$G$498,1,FALSE))</f>
        <v/>
      </c>
      <c r="Z496" s="5" t="str">
        <f>IF(ISERROR(VLOOKUP($X496,Лист2!$A$2:$G$498,5,FALSE)),"",VLOOKUP($X496,Лист2!$A$2:$G$498,5,FALSE))</f>
        <v/>
      </c>
      <c r="AA496" s="5" t="str">
        <f>IF(ISERROR(VLOOKUP($X496,Лист2!$A$2:$G$498,6,FALSE)),"",VLOOKUP($X496,Лист2!$A$2:$G$498,6,FALSE))</f>
        <v/>
      </c>
      <c r="AB496" s="5" t="str">
        <f>IF(ISERROR(VLOOKUP($X496,Лист2!$A$2:$G$498,7,FALSE)),"",VLOOKUP($X496,Лист2!$A$2:$G$498,7,FALSE))</f>
        <v/>
      </c>
    </row>
    <row r="497" spans="1:28" x14ac:dyDescent="0.25">
      <c r="A497" s="5" t="str">
        <f>IF(ISBLANK(Лист1!A497),"",Лист1!A497)</f>
        <v/>
      </c>
      <c r="B497" s="5" t="str">
        <f>IF(ISBLANK(Лист1!B497),"",Лист1!B497)</f>
        <v/>
      </c>
      <c r="C497" s="5" t="str">
        <f>IF(ISBLANK(Лист1!C497),"",Лист1!C497)</f>
        <v/>
      </c>
      <c r="D497" s="5" t="str">
        <f>IF(ISBLANK(Лист1!D497),"",Лист1!D497)</f>
        <v/>
      </c>
      <c r="E497" s="5" t="str">
        <f>IF(ISBLANK(Лист1!E497),"",Лист1!E497)</f>
        <v/>
      </c>
      <c r="F497" s="5" t="str">
        <f>IF(ISBLANK(Лист1!F497),"",Лист1!F497)</f>
        <v/>
      </c>
      <c r="G497" s="5" t="str">
        <f>IF(ISBLANK(Лист1!G497),"",Лист1!G497)</f>
        <v/>
      </c>
      <c r="H497" s="5" t="str">
        <f>IF(ISBLANK(Лист1!H497),"",Лист1!H497)</f>
        <v/>
      </c>
      <c r="I497" s="5" t="str">
        <f>IF(ISBLANK(Лист1!I497),"",Лист1!I497)</f>
        <v/>
      </c>
      <c r="J497" s="5" t="str">
        <f>IF(ISBLANK(Лист1!J497),"",Лист1!J497)</f>
        <v/>
      </c>
      <c r="K497" s="5" t="str">
        <f>IF(ISBLANK(Лист1!K497),"",Лист1!K497)</f>
        <v/>
      </c>
      <c r="L497" s="5" t="str">
        <f>IF(ISBLANK(Лист1!L497),"",Лист1!L497)</f>
        <v/>
      </c>
      <c r="M497" s="5" t="str">
        <f>IF(ISBLANK(Лист1!M497),"",Лист1!M497)</f>
        <v/>
      </c>
      <c r="N497" s="5" t="str">
        <f>IF(ISBLANK(Лист1!N497),"",Лист1!N497)</f>
        <v/>
      </c>
      <c r="O497" s="5" t="str">
        <f>IF(ISBLANK(Лист1!O497),"",Лист1!O497)</f>
        <v/>
      </c>
      <c r="P497" s="5" t="str">
        <f>IF(ISBLANK(Лист1!P497),"",Лист1!P497)</f>
        <v/>
      </c>
      <c r="Q497" s="5" t="str">
        <f>IF(ISBLANK(Лист1!Q497),"",Лист1!Q497)</f>
        <v/>
      </c>
      <c r="R497" s="5" t="str">
        <f>IF(ISBLANK(Лист1!R497),"",Лист1!R497)</f>
        <v/>
      </c>
      <c r="S497" s="5" t="str">
        <f>IF(ISBLANK(Лист1!S497),"",Лист1!S497)</f>
        <v/>
      </c>
      <c r="T497" s="5" t="str">
        <f>IF(ISBLANK(Лист1!T497),"",Лист1!T497)</f>
        <v/>
      </c>
      <c r="U497" s="5" t="str">
        <f>IF(ISBLANK(Лист1!U497),"",Лист1!U497)</f>
        <v/>
      </c>
      <c r="V497" s="5" t="str">
        <f>IF(ISBLANK(Лист1!V497),"",Лист1!V497)</f>
        <v/>
      </c>
      <c r="W497" s="5" t="str">
        <f>IF(ISBLANK(Лист1!W497),"",Лист1!W497)</f>
        <v/>
      </c>
      <c r="X497" s="5" t="str">
        <f>IF(ISBLANK(Лист1!X497),"",Лист1!X497)</f>
        <v/>
      </c>
      <c r="Y497" s="5" t="str">
        <f>IF(ISERROR(VLOOKUP($X497,Лист2!$A$2:$G$498,1,FALSE)),"",VLOOKUP($X497,Лист2!$A$2:$G$498,1,FALSE))</f>
        <v/>
      </c>
      <c r="Z497" s="5" t="str">
        <f>IF(ISERROR(VLOOKUP($X497,Лист2!$A$2:$G$498,5,FALSE)),"",VLOOKUP($X497,Лист2!$A$2:$G$498,5,FALSE))</f>
        <v/>
      </c>
      <c r="AA497" s="5" t="str">
        <f>IF(ISERROR(VLOOKUP($X497,Лист2!$A$2:$G$498,6,FALSE)),"",VLOOKUP($X497,Лист2!$A$2:$G$498,6,FALSE))</f>
        <v/>
      </c>
      <c r="AB497" s="5" t="str">
        <f>IF(ISERROR(VLOOKUP($X497,Лист2!$A$2:$G$498,7,FALSE)),"",VLOOKUP($X497,Лист2!$A$2:$G$498,7,FALSE))</f>
        <v/>
      </c>
    </row>
    <row r="498" spans="1:28" x14ac:dyDescent="0.25">
      <c r="A498" s="5" t="str">
        <f>IF(ISBLANK(Лист1!A498),"",Лист1!A498)</f>
        <v/>
      </c>
      <c r="B498" s="5" t="str">
        <f>IF(ISBLANK(Лист1!B498),"",Лист1!B498)</f>
        <v/>
      </c>
      <c r="C498" s="5" t="str">
        <f>IF(ISBLANK(Лист1!C498),"",Лист1!C498)</f>
        <v/>
      </c>
      <c r="D498" s="5" t="str">
        <f>IF(ISBLANK(Лист1!D498),"",Лист1!D498)</f>
        <v/>
      </c>
      <c r="E498" s="5" t="str">
        <f>IF(ISBLANK(Лист1!E498),"",Лист1!E498)</f>
        <v/>
      </c>
      <c r="F498" s="5" t="str">
        <f>IF(ISBLANK(Лист1!F498),"",Лист1!F498)</f>
        <v/>
      </c>
      <c r="G498" s="5" t="str">
        <f>IF(ISBLANK(Лист1!G498),"",Лист1!G498)</f>
        <v/>
      </c>
      <c r="H498" s="5" t="str">
        <f>IF(ISBLANK(Лист1!H498),"",Лист1!H498)</f>
        <v/>
      </c>
      <c r="I498" s="5" t="str">
        <f>IF(ISBLANK(Лист1!I498),"",Лист1!I498)</f>
        <v/>
      </c>
      <c r="J498" s="5" t="str">
        <f>IF(ISBLANK(Лист1!J498),"",Лист1!J498)</f>
        <v/>
      </c>
      <c r="K498" s="5" t="str">
        <f>IF(ISBLANK(Лист1!K498),"",Лист1!K498)</f>
        <v/>
      </c>
      <c r="L498" s="5" t="str">
        <f>IF(ISBLANK(Лист1!L498),"",Лист1!L498)</f>
        <v/>
      </c>
      <c r="M498" s="5" t="str">
        <f>IF(ISBLANK(Лист1!M498),"",Лист1!M498)</f>
        <v/>
      </c>
      <c r="N498" s="5" t="str">
        <f>IF(ISBLANK(Лист1!N498),"",Лист1!N498)</f>
        <v/>
      </c>
      <c r="O498" s="5" t="str">
        <f>IF(ISBLANK(Лист1!O498),"",Лист1!O498)</f>
        <v/>
      </c>
      <c r="P498" s="5" t="str">
        <f>IF(ISBLANK(Лист1!P498),"",Лист1!P498)</f>
        <v/>
      </c>
      <c r="Q498" s="5" t="str">
        <f>IF(ISBLANK(Лист1!Q498),"",Лист1!Q498)</f>
        <v/>
      </c>
      <c r="R498" s="5" t="str">
        <f>IF(ISBLANK(Лист1!R498),"",Лист1!R498)</f>
        <v/>
      </c>
      <c r="S498" s="5" t="str">
        <f>IF(ISBLANK(Лист1!S498),"",Лист1!S498)</f>
        <v/>
      </c>
      <c r="T498" s="5" t="str">
        <f>IF(ISBLANK(Лист1!T498),"",Лист1!T498)</f>
        <v/>
      </c>
      <c r="U498" s="5" t="str">
        <f>IF(ISBLANK(Лист1!U498),"",Лист1!U498)</f>
        <v/>
      </c>
      <c r="V498" s="5" t="str">
        <f>IF(ISBLANK(Лист1!V498),"",Лист1!V498)</f>
        <v/>
      </c>
      <c r="W498" s="5" t="str">
        <f>IF(ISBLANK(Лист1!W498),"",Лист1!W498)</f>
        <v/>
      </c>
      <c r="X498" s="5" t="str">
        <f>IF(ISBLANK(Лист1!X498),"",Лист1!X498)</f>
        <v/>
      </c>
      <c r="Y498" s="5" t="str">
        <f>IF(ISERROR(VLOOKUP($X498,Лист2!$A$2:$G$498,1,FALSE)),"",VLOOKUP($X498,Лист2!$A$2:$G$498,1,FALSE))</f>
        <v/>
      </c>
      <c r="Z498" s="5" t="str">
        <f>IF(ISERROR(VLOOKUP($X498,Лист2!$A$2:$G$498,5,FALSE)),"",VLOOKUP($X498,Лист2!$A$2:$G$498,5,FALSE))</f>
        <v/>
      </c>
      <c r="AA498" s="5" t="str">
        <f>IF(ISERROR(VLOOKUP($X498,Лист2!$A$2:$G$498,6,FALSE)),"",VLOOKUP($X498,Лист2!$A$2:$G$498,6,FALSE))</f>
        <v/>
      </c>
      <c r="AB498" s="5" t="str">
        <f>IF(ISERROR(VLOOKUP($X498,Лист2!$A$2:$G$498,7,FALSE)),"",VLOOKUP($X498,Лист2!$A$2:$G$498,7,FALSE))</f>
        <v/>
      </c>
    </row>
    <row r="499" spans="1:28" x14ac:dyDescent="0.25">
      <c r="A499" s="5" t="str">
        <f>IF(ISBLANK(Лист1!A499),"",Лист1!A499)</f>
        <v/>
      </c>
      <c r="B499" s="5" t="str">
        <f>IF(ISBLANK(Лист1!B499),"",Лист1!B499)</f>
        <v/>
      </c>
      <c r="C499" s="5" t="str">
        <f>IF(ISBLANK(Лист1!C499),"",Лист1!C499)</f>
        <v/>
      </c>
      <c r="D499" s="5" t="str">
        <f>IF(ISBLANK(Лист1!D499),"",Лист1!D499)</f>
        <v/>
      </c>
      <c r="E499" s="5" t="str">
        <f>IF(ISBLANK(Лист1!E499),"",Лист1!E499)</f>
        <v/>
      </c>
      <c r="F499" s="5" t="str">
        <f>IF(ISBLANK(Лист1!F499),"",Лист1!F499)</f>
        <v/>
      </c>
      <c r="G499" s="5" t="str">
        <f>IF(ISBLANK(Лист1!G499),"",Лист1!G499)</f>
        <v/>
      </c>
      <c r="H499" s="5" t="str">
        <f>IF(ISBLANK(Лист1!H499),"",Лист1!H499)</f>
        <v/>
      </c>
      <c r="I499" s="5" t="str">
        <f>IF(ISBLANK(Лист1!I499),"",Лист1!I499)</f>
        <v/>
      </c>
      <c r="J499" s="5" t="str">
        <f>IF(ISBLANK(Лист1!J499),"",Лист1!J499)</f>
        <v/>
      </c>
      <c r="K499" s="5" t="str">
        <f>IF(ISBLANK(Лист1!K499),"",Лист1!K499)</f>
        <v/>
      </c>
      <c r="L499" s="5" t="str">
        <f>IF(ISBLANK(Лист1!L499),"",Лист1!L499)</f>
        <v/>
      </c>
      <c r="M499" s="5" t="str">
        <f>IF(ISBLANK(Лист1!M499),"",Лист1!M499)</f>
        <v/>
      </c>
      <c r="N499" s="5" t="str">
        <f>IF(ISBLANK(Лист1!N499),"",Лист1!N499)</f>
        <v/>
      </c>
      <c r="O499" s="5" t="str">
        <f>IF(ISBLANK(Лист1!O499),"",Лист1!O499)</f>
        <v/>
      </c>
      <c r="P499" s="5" t="str">
        <f>IF(ISBLANK(Лист1!P499),"",Лист1!P499)</f>
        <v/>
      </c>
      <c r="Q499" s="5" t="str">
        <f>IF(ISBLANK(Лист1!Q499),"",Лист1!Q499)</f>
        <v/>
      </c>
      <c r="R499" s="5" t="str">
        <f>IF(ISBLANK(Лист1!R499),"",Лист1!R499)</f>
        <v/>
      </c>
      <c r="S499" s="5" t="str">
        <f>IF(ISBLANK(Лист1!S499),"",Лист1!S499)</f>
        <v/>
      </c>
      <c r="T499" s="5" t="str">
        <f>IF(ISBLANK(Лист1!T499),"",Лист1!T499)</f>
        <v/>
      </c>
      <c r="U499" s="5" t="str">
        <f>IF(ISBLANK(Лист1!U499),"",Лист1!U499)</f>
        <v/>
      </c>
      <c r="V499" s="5" t="str">
        <f>IF(ISBLANK(Лист1!V499),"",Лист1!V499)</f>
        <v/>
      </c>
      <c r="W499" s="5" t="str">
        <f>IF(ISBLANK(Лист1!W499),"",Лист1!W499)</f>
        <v/>
      </c>
      <c r="X499" s="5" t="str">
        <f>IF(ISBLANK(Лист1!X499),"",Лист1!X499)</f>
        <v/>
      </c>
      <c r="Y499" s="5" t="str">
        <f>IF(ISERROR(VLOOKUP($X499,Лист2!$A$2:$G$498,1,FALSE)),"",VLOOKUP($X499,Лист2!$A$2:$G$498,1,FALSE))</f>
        <v/>
      </c>
      <c r="Z499" s="5" t="str">
        <f>IF(ISERROR(VLOOKUP($X499,Лист2!$A$2:$G$498,5,FALSE)),"",VLOOKUP($X499,Лист2!$A$2:$G$498,5,FALSE))</f>
        <v/>
      </c>
      <c r="AA499" s="5" t="str">
        <f>IF(ISERROR(VLOOKUP($X499,Лист2!$A$2:$G$498,6,FALSE)),"",VLOOKUP($X499,Лист2!$A$2:$G$498,6,FALSE))</f>
        <v/>
      </c>
      <c r="AB499" s="5" t="str">
        <f>IF(ISERROR(VLOOKUP($X499,Лист2!$A$2:$G$498,7,FALSE)),"",VLOOKUP($X499,Лист2!$A$2:$G$498,7,FALSE))</f>
        <v/>
      </c>
    </row>
    <row r="500" spans="1:28" x14ac:dyDescent="0.25">
      <c r="A500" s="5" t="str">
        <f>IF(ISBLANK(Лист1!A500),"",Лист1!A500)</f>
        <v/>
      </c>
      <c r="B500" s="5" t="str">
        <f>IF(ISBLANK(Лист1!B500),"",Лист1!B500)</f>
        <v/>
      </c>
      <c r="C500" s="5" t="str">
        <f>IF(ISBLANK(Лист1!C500),"",Лист1!C500)</f>
        <v/>
      </c>
      <c r="D500" s="5" t="str">
        <f>IF(ISBLANK(Лист1!D500),"",Лист1!D500)</f>
        <v/>
      </c>
      <c r="E500" s="5" t="str">
        <f>IF(ISBLANK(Лист1!E500),"",Лист1!E500)</f>
        <v/>
      </c>
      <c r="F500" s="5" t="str">
        <f>IF(ISBLANK(Лист1!F500),"",Лист1!F500)</f>
        <v/>
      </c>
      <c r="G500" s="5" t="str">
        <f>IF(ISBLANK(Лист1!G500),"",Лист1!G500)</f>
        <v/>
      </c>
      <c r="H500" s="5" t="str">
        <f>IF(ISBLANK(Лист1!H500),"",Лист1!H500)</f>
        <v/>
      </c>
      <c r="I500" s="5" t="str">
        <f>IF(ISBLANK(Лист1!I500),"",Лист1!I500)</f>
        <v/>
      </c>
      <c r="J500" s="5" t="str">
        <f>IF(ISBLANK(Лист1!J500),"",Лист1!J500)</f>
        <v/>
      </c>
      <c r="K500" s="5" t="str">
        <f>IF(ISBLANK(Лист1!K500),"",Лист1!K500)</f>
        <v/>
      </c>
      <c r="L500" s="5" t="str">
        <f>IF(ISBLANK(Лист1!L500),"",Лист1!L500)</f>
        <v/>
      </c>
      <c r="M500" s="5" t="str">
        <f>IF(ISBLANK(Лист1!M500),"",Лист1!M500)</f>
        <v/>
      </c>
      <c r="N500" s="5" t="str">
        <f>IF(ISBLANK(Лист1!N500),"",Лист1!N500)</f>
        <v/>
      </c>
      <c r="O500" s="5" t="str">
        <f>IF(ISBLANK(Лист1!O500),"",Лист1!O500)</f>
        <v/>
      </c>
      <c r="P500" s="5" t="str">
        <f>IF(ISBLANK(Лист1!P500),"",Лист1!P500)</f>
        <v/>
      </c>
      <c r="Q500" s="5" t="str">
        <f>IF(ISBLANK(Лист1!Q500),"",Лист1!Q500)</f>
        <v/>
      </c>
      <c r="R500" s="5" t="str">
        <f>IF(ISBLANK(Лист1!R500),"",Лист1!R500)</f>
        <v/>
      </c>
      <c r="S500" s="5" t="str">
        <f>IF(ISBLANK(Лист1!S500),"",Лист1!S500)</f>
        <v/>
      </c>
      <c r="T500" s="5" t="str">
        <f>IF(ISBLANK(Лист1!T500),"",Лист1!T500)</f>
        <v/>
      </c>
      <c r="U500" s="5" t="str">
        <f>IF(ISBLANK(Лист1!U500),"",Лист1!U500)</f>
        <v/>
      </c>
      <c r="V500" s="5" t="str">
        <f>IF(ISBLANK(Лист1!V500),"",Лист1!V500)</f>
        <v/>
      </c>
      <c r="W500" s="5" t="str">
        <f>IF(ISBLANK(Лист1!W500),"",Лист1!W500)</f>
        <v/>
      </c>
      <c r="X500" s="5" t="str">
        <f>IF(ISBLANK(Лист1!X500),"",Лист1!X500)</f>
        <v/>
      </c>
      <c r="Y500" s="5" t="str">
        <f>IF(ISERROR(VLOOKUP($X500,Лист2!$A$2:$G$498,1,FALSE)),"",VLOOKUP($X500,Лист2!$A$2:$G$498,1,FALSE))</f>
        <v/>
      </c>
      <c r="Z500" s="5" t="str">
        <f>IF(ISERROR(VLOOKUP($X500,Лист2!$A$2:$G$498,5,FALSE)),"",VLOOKUP($X500,Лист2!$A$2:$G$498,5,FALSE))</f>
        <v/>
      </c>
      <c r="AA500" s="5" t="str">
        <f>IF(ISERROR(VLOOKUP($X500,Лист2!$A$2:$G$498,6,FALSE)),"",VLOOKUP($X500,Лист2!$A$2:$G$498,6,FALSE))</f>
        <v/>
      </c>
      <c r="AB500" s="5" t="str">
        <f>IF(ISERROR(VLOOKUP($X500,Лист2!$A$2:$G$498,7,FALSE)),"",VLOOKUP($X500,Лист2!$A$2:$G$498,7,FALSE))</f>
        <v/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2025-06-20T12:17:07Z</dcterms:modified>
</cp:coreProperties>
</file>